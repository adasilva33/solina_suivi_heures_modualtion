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solina_suivi_heures_modualtion/"/>
    </mc:Choice>
  </mc:AlternateContent>
  <xr:revisionPtr revIDLastSave="0" documentId="13_ncr:1_{6F0DAC64-5A84-224E-969E-8203EB0D6744}" xr6:coauthVersionLast="47" xr6:coauthVersionMax="47" xr10:uidLastSave="{00000000-0000-0000-0000-000000000000}"/>
  <bookViews>
    <workbookView xWindow="-3740" yWindow="-21100" windowWidth="38400" windowHeight="21100" activeTab="3" xr2:uid="{837C05E8-56EF-4E1E-B95F-5007036FEB5F}"/>
  </bookViews>
  <sheets>
    <sheet name="REGLES" sheetId="179" r:id="rId1"/>
    <sheet name="paramètres" sheetId="184" r:id="rId2"/>
    <sheet name="detail par semaine" sheetId="185" r:id="rId3"/>
    <sheet name="MODU 2025" sheetId="182" r:id="rId4"/>
  </sheets>
  <externalReferences>
    <externalReference r:id="rId5"/>
  </externalReferences>
  <definedNames>
    <definedName name="_xlnm._FilterDatabase" localSheetId="2" hidden="1">'detail par semaine'!$AC$2:$AM$45</definedName>
    <definedName name="_xlnm._FilterDatabase" localSheetId="3" hidden="1">'MODU 2025'!$B$7:$BI$48</definedName>
    <definedName name="_xleta.LEFT" hidden="1" xlm="1">#NAME?</definedName>
    <definedName name="INTERIM">[1]Interim!$A$3:$A$37</definedName>
    <definedName name="_xlnm.Print_Area" localSheetId="3">'MODU 2025'!$B$1:$BO$48</definedName>
    <definedName name="_xlnm.Print_Titles" localSheetId="3">'MODU 2025'!$B:$B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" i="185" l="1"/>
  <c r="AE6" i="185"/>
  <c r="AE3" i="185"/>
  <c r="AF3" i="185"/>
  <c r="AG3" i="185"/>
  <c r="AH3" i="185"/>
  <c r="AI3" i="185"/>
  <c r="AJ3" i="185"/>
  <c r="AK3" i="185"/>
  <c r="AL3" i="185"/>
  <c r="AM3" i="185"/>
  <c r="AD3" i="185"/>
  <c r="AC5" i="185"/>
  <c r="AD6" i="185"/>
  <c r="AF6" i="185"/>
  <c r="AG6" i="185"/>
  <c r="AH6" i="185"/>
  <c r="AI6" i="185"/>
  <c r="AJ6" i="185"/>
  <c r="AK6" i="185"/>
  <c r="AL6" i="185"/>
  <c r="AM6" i="185"/>
  <c r="AC7" i="185"/>
  <c r="AD7" i="185"/>
  <c r="AE7" i="185"/>
  <c r="AF7" i="185"/>
  <c r="AG7" i="185"/>
  <c r="AH7" i="185"/>
  <c r="AI7" i="185"/>
  <c r="AJ7" i="185"/>
  <c r="AK7" i="185"/>
  <c r="AL7" i="185"/>
  <c r="AM7" i="185"/>
  <c r="AC8" i="185"/>
  <c r="AD8" i="185"/>
  <c r="AE8" i="185"/>
  <c r="AF8" i="185"/>
  <c r="AG8" i="185"/>
  <c r="AH8" i="185"/>
  <c r="AI8" i="185"/>
  <c r="AJ8" i="185"/>
  <c r="AK8" i="185"/>
  <c r="AL8" i="185"/>
  <c r="AM8" i="185"/>
  <c r="AC9" i="185"/>
  <c r="AD9" i="185"/>
  <c r="AE9" i="185"/>
  <c r="AF9" i="185"/>
  <c r="AG9" i="185"/>
  <c r="AH9" i="185"/>
  <c r="AI9" i="185"/>
  <c r="AJ9" i="185"/>
  <c r="AK9" i="185"/>
  <c r="AL9" i="185"/>
  <c r="AM9" i="185"/>
  <c r="AC10" i="185"/>
  <c r="AD10" i="185"/>
  <c r="AE10" i="185"/>
  <c r="AF10" i="185"/>
  <c r="AG10" i="185"/>
  <c r="AH10" i="185"/>
  <c r="AI10" i="185"/>
  <c r="AJ10" i="185"/>
  <c r="AK10" i="185"/>
  <c r="AL10" i="185"/>
  <c r="AM10" i="185"/>
  <c r="AC11" i="185"/>
  <c r="AD11" i="185"/>
  <c r="AE11" i="185"/>
  <c r="AF11" i="185"/>
  <c r="AG11" i="185"/>
  <c r="AH11" i="185"/>
  <c r="AI11" i="185"/>
  <c r="AJ11" i="185"/>
  <c r="AK11" i="185"/>
  <c r="AL11" i="185"/>
  <c r="AM11" i="185"/>
  <c r="AC12" i="185"/>
  <c r="AD12" i="185"/>
  <c r="AE12" i="185"/>
  <c r="AF12" i="185"/>
  <c r="AG12" i="185"/>
  <c r="AH12" i="185"/>
  <c r="AI12" i="185"/>
  <c r="AJ12" i="185"/>
  <c r="AK12" i="185"/>
  <c r="AL12" i="185"/>
  <c r="AM12" i="185"/>
  <c r="AC13" i="185"/>
  <c r="AD13" i="185"/>
  <c r="AE13" i="185"/>
  <c r="AF13" i="185"/>
  <c r="AG13" i="185"/>
  <c r="AH13" i="185"/>
  <c r="AI13" i="185"/>
  <c r="AJ13" i="185"/>
  <c r="AK13" i="185"/>
  <c r="AL13" i="185"/>
  <c r="AM13" i="185"/>
  <c r="AC14" i="185"/>
  <c r="AD14" i="185"/>
  <c r="AE14" i="185"/>
  <c r="AF14" i="185"/>
  <c r="AG14" i="185"/>
  <c r="AH14" i="185"/>
  <c r="AI14" i="185"/>
  <c r="AJ14" i="185"/>
  <c r="AK14" i="185"/>
  <c r="AL14" i="185"/>
  <c r="AM14" i="185"/>
  <c r="AC15" i="185"/>
  <c r="AD15" i="185"/>
  <c r="AE15" i="185"/>
  <c r="AF15" i="185"/>
  <c r="AG15" i="185"/>
  <c r="AH15" i="185"/>
  <c r="AI15" i="185"/>
  <c r="AJ15" i="185"/>
  <c r="AK15" i="185"/>
  <c r="AL15" i="185"/>
  <c r="AM15" i="185"/>
  <c r="AC16" i="185"/>
  <c r="AD16" i="185"/>
  <c r="AE16" i="185"/>
  <c r="AF16" i="185"/>
  <c r="AG16" i="185"/>
  <c r="AH16" i="185"/>
  <c r="AI16" i="185"/>
  <c r="AJ16" i="185"/>
  <c r="AK16" i="185"/>
  <c r="AL16" i="185"/>
  <c r="AM16" i="185"/>
  <c r="AC17" i="185"/>
  <c r="AD17" i="185"/>
  <c r="AE17" i="185"/>
  <c r="AF17" i="185"/>
  <c r="AG17" i="185"/>
  <c r="AH17" i="185"/>
  <c r="AI17" i="185"/>
  <c r="AJ17" i="185"/>
  <c r="AK17" i="185"/>
  <c r="AL17" i="185"/>
  <c r="AM17" i="185"/>
  <c r="AC18" i="185"/>
  <c r="AD18" i="185"/>
  <c r="AE18" i="185"/>
  <c r="AF18" i="185"/>
  <c r="AG18" i="185"/>
  <c r="AH18" i="185"/>
  <c r="AI18" i="185"/>
  <c r="AJ18" i="185"/>
  <c r="AK18" i="185"/>
  <c r="AL18" i="185"/>
  <c r="AM18" i="185"/>
  <c r="AC19" i="185"/>
  <c r="AD19" i="185"/>
  <c r="AE19" i="185"/>
  <c r="AF19" i="185"/>
  <c r="AG19" i="185"/>
  <c r="AH19" i="185"/>
  <c r="AI19" i="185"/>
  <c r="AJ19" i="185"/>
  <c r="AK19" i="185"/>
  <c r="AL19" i="185"/>
  <c r="AM19" i="185"/>
  <c r="AC20" i="185"/>
  <c r="AD20" i="185"/>
  <c r="AE20" i="185"/>
  <c r="AF20" i="185"/>
  <c r="AG20" i="185"/>
  <c r="AH20" i="185"/>
  <c r="AI20" i="185"/>
  <c r="AJ20" i="185"/>
  <c r="AK20" i="185"/>
  <c r="AL20" i="185"/>
  <c r="AM20" i="185"/>
  <c r="AC21" i="185"/>
  <c r="AD21" i="185"/>
  <c r="AE21" i="185"/>
  <c r="AF21" i="185"/>
  <c r="AG21" i="185"/>
  <c r="AH21" i="185"/>
  <c r="AI21" i="185"/>
  <c r="AJ21" i="185"/>
  <c r="AK21" i="185"/>
  <c r="AL21" i="185"/>
  <c r="AM21" i="185"/>
  <c r="AC22" i="185"/>
  <c r="AD22" i="185"/>
  <c r="AE22" i="185"/>
  <c r="AF22" i="185"/>
  <c r="AG22" i="185"/>
  <c r="AH22" i="185"/>
  <c r="AI22" i="185"/>
  <c r="AJ22" i="185"/>
  <c r="AK22" i="185"/>
  <c r="AL22" i="185"/>
  <c r="AM22" i="185"/>
  <c r="AC23" i="185"/>
  <c r="AD23" i="185"/>
  <c r="AE23" i="185"/>
  <c r="AF23" i="185"/>
  <c r="AG23" i="185"/>
  <c r="AH23" i="185"/>
  <c r="AI23" i="185"/>
  <c r="AJ23" i="185"/>
  <c r="AK23" i="185"/>
  <c r="AL23" i="185"/>
  <c r="AM23" i="185"/>
  <c r="AC24" i="185"/>
  <c r="AD24" i="185"/>
  <c r="AE24" i="185"/>
  <c r="AF24" i="185"/>
  <c r="AG24" i="185"/>
  <c r="AH24" i="185"/>
  <c r="AI24" i="185"/>
  <c r="AJ24" i="185"/>
  <c r="AK24" i="185"/>
  <c r="AL24" i="185"/>
  <c r="AM24" i="185"/>
  <c r="AC25" i="185"/>
  <c r="AD25" i="185"/>
  <c r="AE25" i="185"/>
  <c r="AF25" i="185"/>
  <c r="AG25" i="185"/>
  <c r="AH25" i="185"/>
  <c r="AI25" i="185"/>
  <c r="AJ25" i="185"/>
  <c r="AK25" i="185"/>
  <c r="AL25" i="185"/>
  <c r="AM25" i="185"/>
  <c r="AC26" i="185"/>
  <c r="AD26" i="185"/>
  <c r="AE26" i="185"/>
  <c r="AF26" i="185"/>
  <c r="AG26" i="185"/>
  <c r="AH26" i="185"/>
  <c r="AI26" i="185"/>
  <c r="AJ26" i="185"/>
  <c r="AK26" i="185"/>
  <c r="AL26" i="185"/>
  <c r="AM26" i="185"/>
  <c r="AC27" i="185"/>
  <c r="AD27" i="185"/>
  <c r="AE27" i="185"/>
  <c r="AF27" i="185"/>
  <c r="AG27" i="185"/>
  <c r="AH27" i="185"/>
  <c r="AI27" i="185"/>
  <c r="AJ27" i="185"/>
  <c r="AK27" i="185"/>
  <c r="AL27" i="185"/>
  <c r="AM27" i="185"/>
  <c r="AC28" i="185"/>
  <c r="AD28" i="185"/>
  <c r="AE28" i="185"/>
  <c r="AF28" i="185"/>
  <c r="AG28" i="185"/>
  <c r="AH28" i="185"/>
  <c r="AI28" i="185"/>
  <c r="AJ28" i="185"/>
  <c r="AK28" i="185"/>
  <c r="AL28" i="185"/>
  <c r="AM28" i="185"/>
  <c r="AC29" i="185"/>
  <c r="AD29" i="185"/>
  <c r="AE29" i="185"/>
  <c r="AF29" i="185"/>
  <c r="AG29" i="185"/>
  <c r="AH29" i="185"/>
  <c r="AI29" i="185"/>
  <c r="AJ29" i="185"/>
  <c r="AK29" i="185"/>
  <c r="AL29" i="185"/>
  <c r="AM29" i="185"/>
  <c r="AC30" i="185"/>
  <c r="AD30" i="185"/>
  <c r="AE30" i="185"/>
  <c r="AF30" i="185"/>
  <c r="AG30" i="185"/>
  <c r="AH30" i="185"/>
  <c r="AI30" i="185"/>
  <c r="AJ30" i="185"/>
  <c r="AK30" i="185"/>
  <c r="AL30" i="185"/>
  <c r="AM30" i="185"/>
  <c r="AC31" i="185"/>
  <c r="AD31" i="185"/>
  <c r="AE31" i="185"/>
  <c r="AF31" i="185"/>
  <c r="AG31" i="185"/>
  <c r="AH31" i="185"/>
  <c r="AI31" i="185"/>
  <c r="AJ31" i="185"/>
  <c r="AK31" i="185"/>
  <c r="AL31" i="185"/>
  <c r="AM31" i="185"/>
  <c r="AC32" i="185"/>
  <c r="AD32" i="185"/>
  <c r="AE32" i="185"/>
  <c r="AF32" i="185"/>
  <c r="AG32" i="185"/>
  <c r="AH32" i="185"/>
  <c r="AI32" i="185"/>
  <c r="AJ32" i="185"/>
  <c r="AK32" i="185"/>
  <c r="AL32" i="185"/>
  <c r="AM32" i="185"/>
  <c r="AC33" i="185"/>
  <c r="AD33" i="185"/>
  <c r="AE33" i="185"/>
  <c r="AF33" i="185"/>
  <c r="AG33" i="185"/>
  <c r="AH33" i="185"/>
  <c r="AI33" i="185"/>
  <c r="AJ33" i="185"/>
  <c r="AK33" i="185"/>
  <c r="AL33" i="185"/>
  <c r="AM33" i="185"/>
  <c r="AC34" i="185"/>
  <c r="AD34" i="185"/>
  <c r="AE34" i="185"/>
  <c r="AF34" i="185"/>
  <c r="AG34" i="185"/>
  <c r="AH34" i="185"/>
  <c r="AI34" i="185"/>
  <c r="AJ34" i="185"/>
  <c r="AK34" i="185"/>
  <c r="AL34" i="185"/>
  <c r="AM34" i="185"/>
  <c r="AC35" i="185"/>
  <c r="AD35" i="185"/>
  <c r="AE35" i="185"/>
  <c r="AF35" i="185"/>
  <c r="AG35" i="185"/>
  <c r="AH35" i="185"/>
  <c r="AI35" i="185"/>
  <c r="AJ35" i="185"/>
  <c r="AK35" i="185"/>
  <c r="AL35" i="185"/>
  <c r="AM35" i="185"/>
  <c r="AC36" i="185"/>
  <c r="AD36" i="185"/>
  <c r="AE36" i="185"/>
  <c r="AF36" i="185"/>
  <c r="AG36" i="185"/>
  <c r="AH36" i="185"/>
  <c r="AI36" i="185"/>
  <c r="AJ36" i="185"/>
  <c r="AK36" i="185"/>
  <c r="AL36" i="185"/>
  <c r="AM36" i="185"/>
  <c r="AC37" i="185"/>
  <c r="AD37" i="185"/>
  <c r="AE37" i="185"/>
  <c r="AF37" i="185"/>
  <c r="AG37" i="185"/>
  <c r="AH37" i="185"/>
  <c r="AI37" i="185"/>
  <c r="AJ37" i="185"/>
  <c r="AK37" i="185"/>
  <c r="AL37" i="185"/>
  <c r="AM37" i="185"/>
  <c r="AC38" i="185"/>
  <c r="AD38" i="185"/>
  <c r="AE38" i="185"/>
  <c r="AF38" i="185"/>
  <c r="AG38" i="185"/>
  <c r="AH38" i="185"/>
  <c r="AI38" i="185"/>
  <c r="AJ38" i="185"/>
  <c r="AK38" i="185"/>
  <c r="AL38" i="185"/>
  <c r="AM38" i="185"/>
  <c r="AC39" i="185"/>
  <c r="AD39" i="185"/>
  <c r="AE39" i="185"/>
  <c r="AF39" i="185"/>
  <c r="AG39" i="185"/>
  <c r="AH39" i="185"/>
  <c r="AI39" i="185"/>
  <c r="AJ39" i="185"/>
  <c r="AK39" i="185"/>
  <c r="AL39" i="185"/>
  <c r="AM39" i="185"/>
  <c r="AC40" i="185"/>
  <c r="AD40" i="185"/>
  <c r="AE40" i="185"/>
  <c r="AF40" i="185"/>
  <c r="AG40" i="185"/>
  <c r="AH40" i="185"/>
  <c r="AI40" i="185"/>
  <c r="AJ40" i="185"/>
  <c r="AK40" i="185"/>
  <c r="AL40" i="185"/>
  <c r="AM40" i="185"/>
  <c r="AC41" i="185"/>
  <c r="AD41" i="185"/>
  <c r="AE41" i="185"/>
  <c r="AF41" i="185"/>
  <c r="AG41" i="185"/>
  <c r="AH41" i="185"/>
  <c r="AI41" i="185"/>
  <c r="AJ41" i="185"/>
  <c r="AK41" i="185"/>
  <c r="AL41" i="185"/>
  <c r="AM41" i="185"/>
  <c r="AC42" i="185"/>
  <c r="AD42" i="185"/>
  <c r="AE42" i="185"/>
  <c r="AF42" i="185"/>
  <c r="AG42" i="185"/>
  <c r="AH42" i="185"/>
  <c r="AI42" i="185"/>
  <c r="AJ42" i="185"/>
  <c r="AK42" i="185"/>
  <c r="AL42" i="185"/>
  <c r="AM42" i="185"/>
  <c r="AC43" i="185"/>
  <c r="AD43" i="185"/>
  <c r="AE43" i="185"/>
  <c r="AF43" i="185"/>
  <c r="AG43" i="185"/>
  <c r="AH43" i="185"/>
  <c r="AI43" i="185"/>
  <c r="AJ43" i="185"/>
  <c r="AK43" i="185"/>
  <c r="AL43" i="185"/>
  <c r="AM43" i="185"/>
  <c r="AC44" i="185"/>
  <c r="AD44" i="185"/>
  <c r="AE44" i="185"/>
  <c r="AF44" i="185"/>
  <c r="AG44" i="185"/>
  <c r="AH44" i="185"/>
  <c r="AI44" i="185"/>
  <c r="AJ44" i="185"/>
  <c r="AK44" i="185"/>
  <c r="AL44" i="185"/>
  <c r="AM44" i="185"/>
  <c r="AD5" i="185"/>
  <c r="AE5" i="185"/>
  <c r="AF5" i="185"/>
  <c r="AG5" i="185"/>
  <c r="AH5" i="185"/>
  <c r="AI5" i="185"/>
  <c r="AJ5" i="185"/>
  <c r="AK5" i="185"/>
  <c r="AL5" i="185"/>
  <c r="AM5" i="185"/>
  <c r="DC2" i="185"/>
  <c r="DB2" i="185"/>
  <c r="BL48" i="182"/>
  <c r="BU19" i="185" a="1"/>
  <c r="BU19" i="185" s="1"/>
  <c r="BP24" i="185" a="1"/>
  <c r="BP24" i="185" s="1"/>
  <c r="BQ24" i="185" a="1"/>
  <c r="BQ24" i="185" s="1"/>
  <c r="BV44" i="185" a="1"/>
  <c r="BV44" i="185" s="1"/>
  <c r="BX44" i="185" a="1"/>
  <c r="BX44" i="185" s="1"/>
  <c r="BB14" i="185" a="1"/>
  <c r="BB14" i="185" s="1"/>
  <c r="BJ14" i="185" a="1"/>
  <c r="BJ14" i="185" s="1"/>
  <c r="BK14" i="185" a="1"/>
  <c r="BK14" i="185" s="1"/>
  <c r="C14" i="184"/>
  <c r="C13" i="184"/>
  <c r="C12" i="184"/>
  <c r="BK48" i="182"/>
  <c r="BJ48" i="182"/>
  <c r="CZ4" i="185"/>
  <c r="BN48" i="182"/>
  <c r="BP4" i="185"/>
  <c r="BQ4" i="185"/>
  <c r="BR4" i="185"/>
  <c r="BS4" i="185"/>
  <c r="BT4" i="185"/>
  <c r="BU4" i="185"/>
  <c r="BV4" i="185"/>
  <c r="BW4" i="185"/>
  <c r="BX4" i="185"/>
  <c r="BY4" i="185"/>
  <c r="BO4" i="185"/>
  <c r="AY4" i="185"/>
  <c r="AX4" i="185"/>
  <c r="AW4" i="185"/>
  <c r="AV4" i="185"/>
  <c r="AU4" i="185"/>
  <c r="AT4" i="185"/>
  <c r="AS4" i="185"/>
  <c r="AR4" i="185"/>
  <c r="AQ4" i="185"/>
  <c r="AP4" i="185"/>
  <c r="AO4" i="185"/>
  <c r="E5" i="185"/>
  <c r="B6" i="185"/>
  <c r="B7" i="185"/>
  <c r="B8" i="185"/>
  <c r="B9" i="185"/>
  <c r="B10" i="185"/>
  <c r="B11" i="185"/>
  <c r="B12" i="185"/>
  <c r="B13" i="185"/>
  <c r="B14" i="185"/>
  <c r="B15" i="185"/>
  <c r="B16" i="185"/>
  <c r="B17" i="185"/>
  <c r="B18" i="185"/>
  <c r="B19" i="185"/>
  <c r="B20" i="185"/>
  <c r="B21" i="185"/>
  <c r="B22" i="185"/>
  <c r="B23" i="185"/>
  <c r="B24" i="185"/>
  <c r="B25" i="185"/>
  <c r="B26" i="185"/>
  <c r="B27" i="185"/>
  <c r="B28" i="185"/>
  <c r="B29" i="185"/>
  <c r="B30" i="185"/>
  <c r="B31" i="185"/>
  <c r="B32" i="185"/>
  <c r="B33" i="185"/>
  <c r="B34" i="185"/>
  <c r="B35" i="185"/>
  <c r="B36" i="185"/>
  <c r="B37" i="185"/>
  <c r="B38" i="185"/>
  <c r="B39" i="185"/>
  <c r="B40" i="185"/>
  <c r="B41" i="185"/>
  <c r="B42" i="185"/>
  <c r="B43" i="185"/>
  <c r="B44" i="185"/>
  <c r="B5" i="185"/>
  <c r="E6" i="185"/>
  <c r="F6" i="185"/>
  <c r="G6" i="185"/>
  <c r="H6" i="185"/>
  <c r="I6" i="185"/>
  <c r="J6" i="185"/>
  <c r="K6" i="185"/>
  <c r="L6" i="185"/>
  <c r="M6" i="185"/>
  <c r="N6" i="185"/>
  <c r="O6" i="185"/>
  <c r="E7" i="185"/>
  <c r="F7" i="185"/>
  <c r="G7" i="185"/>
  <c r="H7" i="185"/>
  <c r="I7" i="185"/>
  <c r="J7" i="185"/>
  <c r="K7" i="185"/>
  <c r="L7" i="185"/>
  <c r="M7" i="185"/>
  <c r="N7" i="185"/>
  <c r="O7" i="185"/>
  <c r="E8" i="185"/>
  <c r="F8" i="185"/>
  <c r="G8" i="185"/>
  <c r="H8" i="185"/>
  <c r="I8" i="185"/>
  <c r="J8" i="185"/>
  <c r="K8" i="185"/>
  <c r="L8" i="185"/>
  <c r="M8" i="185"/>
  <c r="N8" i="185"/>
  <c r="O8" i="185"/>
  <c r="E9" i="185"/>
  <c r="F9" i="185"/>
  <c r="G9" i="185"/>
  <c r="H9" i="185"/>
  <c r="I9" i="185"/>
  <c r="J9" i="185"/>
  <c r="K9" i="185"/>
  <c r="L9" i="185"/>
  <c r="M9" i="185"/>
  <c r="N9" i="185"/>
  <c r="O9" i="185"/>
  <c r="E10" i="185"/>
  <c r="F10" i="185"/>
  <c r="G10" i="185"/>
  <c r="H10" i="185"/>
  <c r="I10" i="185"/>
  <c r="J10" i="185"/>
  <c r="K10" i="185"/>
  <c r="L10" i="185"/>
  <c r="M10" i="185"/>
  <c r="N10" i="185"/>
  <c r="O10" i="185"/>
  <c r="E11" i="185"/>
  <c r="F11" i="185"/>
  <c r="G11" i="185"/>
  <c r="H11" i="185"/>
  <c r="I11" i="185"/>
  <c r="J11" i="185"/>
  <c r="K11" i="185"/>
  <c r="L11" i="185"/>
  <c r="M11" i="185"/>
  <c r="N11" i="185"/>
  <c r="O11" i="185"/>
  <c r="E12" i="185"/>
  <c r="F12" i="185"/>
  <c r="G12" i="185"/>
  <c r="H12" i="185"/>
  <c r="I12" i="185"/>
  <c r="J12" i="185"/>
  <c r="K12" i="185"/>
  <c r="L12" i="185"/>
  <c r="M12" i="185"/>
  <c r="N12" i="185"/>
  <c r="O12" i="185"/>
  <c r="E13" i="185"/>
  <c r="F13" i="185"/>
  <c r="G13" i="185"/>
  <c r="H13" i="185"/>
  <c r="I13" i="185"/>
  <c r="J13" i="185"/>
  <c r="K13" i="185"/>
  <c r="L13" i="185"/>
  <c r="M13" i="185"/>
  <c r="N13" i="185"/>
  <c r="O13" i="185"/>
  <c r="E14" i="185"/>
  <c r="F14" i="185"/>
  <c r="G14" i="185"/>
  <c r="H14" i="185"/>
  <c r="I14" i="185"/>
  <c r="J14" i="185"/>
  <c r="K14" i="185"/>
  <c r="L14" i="185"/>
  <c r="M14" i="185"/>
  <c r="N14" i="185"/>
  <c r="O14" i="185"/>
  <c r="E15" i="185"/>
  <c r="F15" i="185"/>
  <c r="G15" i="185"/>
  <c r="H15" i="185"/>
  <c r="I15" i="185"/>
  <c r="J15" i="185"/>
  <c r="K15" i="185"/>
  <c r="L15" i="185"/>
  <c r="M15" i="185"/>
  <c r="N15" i="185"/>
  <c r="O15" i="185"/>
  <c r="E16" i="185"/>
  <c r="F16" i="185"/>
  <c r="G16" i="185"/>
  <c r="H16" i="185"/>
  <c r="I16" i="185"/>
  <c r="J16" i="185"/>
  <c r="K16" i="185"/>
  <c r="L16" i="185"/>
  <c r="M16" i="185"/>
  <c r="N16" i="185"/>
  <c r="O16" i="185"/>
  <c r="E17" i="185"/>
  <c r="F17" i="185"/>
  <c r="G17" i="185"/>
  <c r="H17" i="185"/>
  <c r="I17" i="185"/>
  <c r="J17" i="185"/>
  <c r="K17" i="185"/>
  <c r="L17" i="185"/>
  <c r="M17" i="185"/>
  <c r="N17" i="185"/>
  <c r="O17" i="185"/>
  <c r="E18" i="185"/>
  <c r="F18" i="185"/>
  <c r="G18" i="185"/>
  <c r="H18" i="185"/>
  <c r="I18" i="185"/>
  <c r="J18" i="185"/>
  <c r="K18" i="185"/>
  <c r="L18" i="185"/>
  <c r="M18" i="185"/>
  <c r="N18" i="185"/>
  <c r="O18" i="185"/>
  <c r="E19" i="185"/>
  <c r="F19" i="185"/>
  <c r="G19" i="185"/>
  <c r="H19" i="185"/>
  <c r="I19" i="185"/>
  <c r="J19" i="185"/>
  <c r="K19" i="185"/>
  <c r="L19" i="185"/>
  <c r="M19" i="185"/>
  <c r="N19" i="185"/>
  <c r="O19" i="185"/>
  <c r="E20" i="185"/>
  <c r="F20" i="185"/>
  <c r="G20" i="185"/>
  <c r="H20" i="185"/>
  <c r="I20" i="185"/>
  <c r="J20" i="185"/>
  <c r="K20" i="185"/>
  <c r="L20" i="185"/>
  <c r="M20" i="185"/>
  <c r="N20" i="185"/>
  <c r="O20" i="185"/>
  <c r="E21" i="185"/>
  <c r="F21" i="185"/>
  <c r="G21" i="185"/>
  <c r="H21" i="185"/>
  <c r="I21" i="185"/>
  <c r="J21" i="185"/>
  <c r="K21" i="185"/>
  <c r="L21" i="185"/>
  <c r="M21" i="185"/>
  <c r="N21" i="185"/>
  <c r="O21" i="185"/>
  <c r="E22" i="185"/>
  <c r="F22" i="185"/>
  <c r="G22" i="185"/>
  <c r="H22" i="185"/>
  <c r="I22" i="185"/>
  <c r="J22" i="185"/>
  <c r="K22" i="185"/>
  <c r="L22" i="185"/>
  <c r="M22" i="185"/>
  <c r="N22" i="185"/>
  <c r="O22" i="185"/>
  <c r="E23" i="185"/>
  <c r="F23" i="185"/>
  <c r="G23" i="185"/>
  <c r="H23" i="185"/>
  <c r="I23" i="185"/>
  <c r="J23" i="185"/>
  <c r="K23" i="185"/>
  <c r="L23" i="185"/>
  <c r="M23" i="185"/>
  <c r="N23" i="185"/>
  <c r="O23" i="185"/>
  <c r="E24" i="185"/>
  <c r="F24" i="185"/>
  <c r="G24" i="185"/>
  <c r="H24" i="185"/>
  <c r="I24" i="185"/>
  <c r="J24" i="185"/>
  <c r="K24" i="185"/>
  <c r="L24" i="185"/>
  <c r="M24" i="185"/>
  <c r="N24" i="185"/>
  <c r="O24" i="185"/>
  <c r="E25" i="185"/>
  <c r="F25" i="185"/>
  <c r="G25" i="185"/>
  <c r="H25" i="185"/>
  <c r="I25" i="185"/>
  <c r="J25" i="185"/>
  <c r="K25" i="185"/>
  <c r="L25" i="185"/>
  <c r="M25" i="185"/>
  <c r="N25" i="185"/>
  <c r="O25" i="185"/>
  <c r="E26" i="185"/>
  <c r="F26" i="185"/>
  <c r="G26" i="185"/>
  <c r="H26" i="185"/>
  <c r="I26" i="185"/>
  <c r="J26" i="185"/>
  <c r="K26" i="185"/>
  <c r="L26" i="185"/>
  <c r="M26" i="185"/>
  <c r="N26" i="185"/>
  <c r="O26" i="185"/>
  <c r="E27" i="185"/>
  <c r="F27" i="185"/>
  <c r="G27" i="185"/>
  <c r="H27" i="185"/>
  <c r="I27" i="185"/>
  <c r="J27" i="185"/>
  <c r="K27" i="185"/>
  <c r="L27" i="185"/>
  <c r="M27" i="185"/>
  <c r="N27" i="185"/>
  <c r="O27" i="185"/>
  <c r="E28" i="185"/>
  <c r="F28" i="185"/>
  <c r="G28" i="185"/>
  <c r="H28" i="185"/>
  <c r="I28" i="185"/>
  <c r="J28" i="185"/>
  <c r="K28" i="185"/>
  <c r="L28" i="185"/>
  <c r="M28" i="185"/>
  <c r="N28" i="185"/>
  <c r="O28" i="185"/>
  <c r="E29" i="185"/>
  <c r="F29" i="185"/>
  <c r="G29" i="185"/>
  <c r="H29" i="185"/>
  <c r="I29" i="185"/>
  <c r="J29" i="185"/>
  <c r="K29" i="185"/>
  <c r="L29" i="185"/>
  <c r="M29" i="185"/>
  <c r="N29" i="185"/>
  <c r="O29" i="185"/>
  <c r="E30" i="185"/>
  <c r="F30" i="185"/>
  <c r="G30" i="185"/>
  <c r="H30" i="185"/>
  <c r="I30" i="185"/>
  <c r="J30" i="185"/>
  <c r="K30" i="185"/>
  <c r="L30" i="185"/>
  <c r="M30" i="185"/>
  <c r="N30" i="185"/>
  <c r="O30" i="185"/>
  <c r="E31" i="185"/>
  <c r="F31" i="185"/>
  <c r="G31" i="185"/>
  <c r="H31" i="185"/>
  <c r="I31" i="185"/>
  <c r="J31" i="185"/>
  <c r="K31" i="185"/>
  <c r="L31" i="185"/>
  <c r="M31" i="185"/>
  <c r="N31" i="185"/>
  <c r="O31" i="185"/>
  <c r="E32" i="185"/>
  <c r="F32" i="185"/>
  <c r="G32" i="185"/>
  <c r="H32" i="185"/>
  <c r="I32" i="185"/>
  <c r="J32" i="185"/>
  <c r="K32" i="185"/>
  <c r="L32" i="185"/>
  <c r="M32" i="185"/>
  <c r="N32" i="185"/>
  <c r="O32" i="185"/>
  <c r="E33" i="185"/>
  <c r="F33" i="185"/>
  <c r="G33" i="185"/>
  <c r="H33" i="185"/>
  <c r="I33" i="185"/>
  <c r="J33" i="185"/>
  <c r="K33" i="185"/>
  <c r="L33" i="185"/>
  <c r="M33" i="185"/>
  <c r="N33" i="185"/>
  <c r="O33" i="185"/>
  <c r="E34" i="185"/>
  <c r="F34" i="185"/>
  <c r="G34" i="185"/>
  <c r="H34" i="185"/>
  <c r="I34" i="185"/>
  <c r="J34" i="185"/>
  <c r="K34" i="185"/>
  <c r="L34" i="185"/>
  <c r="M34" i="185"/>
  <c r="N34" i="185"/>
  <c r="O34" i="185"/>
  <c r="E35" i="185"/>
  <c r="F35" i="185"/>
  <c r="G35" i="185"/>
  <c r="H35" i="185"/>
  <c r="I35" i="185"/>
  <c r="J35" i="185"/>
  <c r="K35" i="185"/>
  <c r="L35" i="185"/>
  <c r="M35" i="185"/>
  <c r="N35" i="185"/>
  <c r="O35" i="185"/>
  <c r="E36" i="185"/>
  <c r="F36" i="185"/>
  <c r="G36" i="185"/>
  <c r="H36" i="185"/>
  <c r="I36" i="185"/>
  <c r="J36" i="185"/>
  <c r="K36" i="185"/>
  <c r="L36" i="185"/>
  <c r="M36" i="185"/>
  <c r="N36" i="185"/>
  <c r="O36" i="185"/>
  <c r="E37" i="185"/>
  <c r="F37" i="185"/>
  <c r="G37" i="185"/>
  <c r="H37" i="185"/>
  <c r="I37" i="185"/>
  <c r="J37" i="185"/>
  <c r="K37" i="185"/>
  <c r="L37" i="185"/>
  <c r="M37" i="185"/>
  <c r="N37" i="185"/>
  <c r="O37" i="185"/>
  <c r="E38" i="185"/>
  <c r="F38" i="185"/>
  <c r="G38" i="185"/>
  <c r="H38" i="185"/>
  <c r="I38" i="185"/>
  <c r="J38" i="185"/>
  <c r="K38" i="185"/>
  <c r="L38" i="185"/>
  <c r="M38" i="185"/>
  <c r="N38" i="185"/>
  <c r="O38" i="185"/>
  <c r="E39" i="185"/>
  <c r="F39" i="185"/>
  <c r="G39" i="185"/>
  <c r="H39" i="185"/>
  <c r="I39" i="185"/>
  <c r="J39" i="185"/>
  <c r="K39" i="185"/>
  <c r="L39" i="185"/>
  <c r="M39" i="185"/>
  <c r="N39" i="185"/>
  <c r="O39" i="185"/>
  <c r="E40" i="185"/>
  <c r="F40" i="185"/>
  <c r="G40" i="185"/>
  <c r="H40" i="185"/>
  <c r="I40" i="185"/>
  <c r="J40" i="185"/>
  <c r="K40" i="185"/>
  <c r="L40" i="185"/>
  <c r="M40" i="185"/>
  <c r="N40" i="185"/>
  <c r="O40" i="185"/>
  <c r="E41" i="185"/>
  <c r="F41" i="185"/>
  <c r="G41" i="185"/>
  <c r="H41" i="185"/>
  <c r="I41" i="185"/>
  <c r="J41" i="185"/>
  <c r="K41" i="185"/>
  <c r="L41" i="185"/>
  <c r="M41" i="185"/>
  <c r="N41" i="185"/>
  <c r="O41" i="185"/>
  <c r="E42" i="185"/>
  <c r="F42" i="185"/>
  <c r="G42" i="185"/>
  <c r="H42" i="185"/>
  <c r="I42" i="185"/>
  <c r="J42" i="185"/>
  <c r="K42" i="185"/>
  <c r="L42" i="185"/>
  <c r="M42" i="185"/>
  <c r="N42" i="185"/>
  <c r="O42" i="185"/>
  <c r="E43" i="185"/>
  <c r="F43" i="185"/>
  <c r="G43" i="185"/>
  <c r="H43" i="185"/>
  <c r="I43" i="185"/>
  <c r="J43" i="185"/>
  <c r="K43" i="185"/>
  <c r="L43" i="185"/>
  <c r="M43" i="185"/>
  <c r="N43" i="185"/>
  <c r="O43" i="185"/>
  <c r="E44" i="185"/>
  <c r="F44" i="185"/>
  <c r="G44" i="185"/>
  <c r="H44" i="185"/>
  <c r="I44" i="185"/>
  <c r="J44" i="185"/>
  <c r="K44" i="185"/>
  <c r="L44" i="185"/>
  <c r="M44" i="185"/>
  <c r="N44" i="185"/>
  <c r="O44" i="185"/>
  <c r="F5" i="185"/>
  <c r="G5" i="185"/>
  <c r="H5" i="185"/>
  <c r="I5" i="185"/>
  <c r="J5" i="185"/>
  <c r="K5" i="185"/>
  <c r="L5" i="185"/>
  <c r="M5" i="185"/>
  <c r="N5" i="185"/>
  <c r="O5" i="185"/>
  <c r="F4" i="185"/>
  <c r="AD4" i="185" s="1"/>
  <c r="CC4" i="185" s="1"/>
  <c r="CP4" i="185" s="1"/>
  <c r="G4" i="185"/>
  <c r="AE4" i="185" s="1"/>
  <c r="CD4" i="185" s="1"/>
  <c r="CQ4" i="185" s="1"/>
  <c r="H4" i="185"/>
  <c r="AF4" i="185" s="1"/>
  <c r="CE4" i="185" s="1"/>
  <c r="CR4" i="185" s="1"/>
  <c r="I4" i="185"/>
  <c r="AG4" i="185" s="1"/>
  <c r="CF4" i="185" s="1"/>
  <c r="CS4" i="185" s="1"/>
  <c r="J4" i="185"/>
  <c r="AH4" i="185" s="1"/>
  <c r="CG4" i="185" s="1"/>
  <c r="CT4" i="185" s="1"/>
  <c r="K4" i="185"/>
  <c r="AI4" i="185" s="1"/>
  <c r="CH4" i="185" s="1"/>
  <c r="CU4" i="185" s="1"/>
  <c r="L4" i="185"/>
  <c r="AJ4" i="185" s="1"/>
  <c r="CI4" i="185" s="1"/>
  <c r="CV4" i="185" s="1"/>
  <c r="M4" i="185"/>
  <c r="AK4" i="185" s="1"/>
  <c r="CJ4" i="185" s="1"/>
  <c r="CW4" i="185" s="1"/>
  <c r="N4" i="185"/>
  <c r="AL4" i="185" s="1"/>
  <c r="CK4" i="185" s="1"/>
  <c r="CX4" i="185" s="1"/>
  <c r="O4" i="185"/>
  <c r="AM4" i="185" s="1"/>
  <c r="CL4" i="185" s="1"/>
  <c r="CY4" i="185" s="1"/>
  <c r="E4" i="185"/>
  <c r="AC4" i="185" s="1"/>
  <c r="CB4" i="185" s="1"/>
  <c r="CO4" i="185" s="1"/>
  <c r="C5" i="185"/>
  <c r="BE5" i="185" s="1" a="1"/>
  <c r="BE5" i="185" s="1"/>
  <c r="D5" i="185"/>
  <c r="C6" i="185"/>
  <c r="D6" i="185"/>
  <c r="C7" i="185"/>
  <c r="BU7" i="185" s="1" a="1"/>
  <c r="BU7" i="185" s="1"/>
  <c r="D7" i="185"/>
  <c r="C8" i="185"/>
  <c r="D8" i="185"/>
  <c r="C9" i="185"/>
  <c r="BS9" i="185" s="1" a="1"/>
  <c r="BS9" i="185" s="1"/>
  <c r="D9" i="185"/>
  <c r="C10" i="185"/>
  <c r="BX10" i="185" s="1" a="1"/>
  <c r="BX10" i="185" s="1"/>
  <c r="D10" i="185"/>
  <c r="C11" i="185"/>
  <c r="BQ11" i="185" s="1" a="1"/>
  <c r="BQ11" i="185" s="1"/>
  <c r="D11" i="185"/>
  <c r="C12" i="185"/>
  <c r="D12" i="185"/>
  <c r="C13" i="185"/>
  <c r="D13" i="185"/>
  <c r="C14" i="185"/>
  <c r="BC14" i="185" s="1" a="1"/>
  <c r="BC14" i="185" s="1"/>
  <c r="D14" i="185"/>
  <c r="C15" i="185"/>
  <c r="BY15" i="185" s="1" a="1"/>
  <c r="BY15" i="185" s="1"/>
  <c r="D15" i="185"/>
  <c r="C16" i="185"/>
  <c r="BO16" i="185" s="1" a="1"/>
  <c r="BO16" i="185" s="1"/>
  <c r="D16" i="185"/>
  <c r="C17" i="185"/>
  <c r="BG17" i="185" s="1" a="1"/>
  <c r="BG17" i="185" s="1"/>
  <c r="D17" i="185"/>
  <c r="C18" i="185"/>
  <c r="D18" i="185"/>
  <c r="C19" i="185"/>
  <c r="CT19" i="185" s="1"/>
  <c r="D19" i="185"/>
  <c r="C20" i="185"/>
  <c r="BT20" i="185" s="1" a="1"/>
  <c r="BT20" i="185" s="1"/>
  <c r="D20" i="185"/>
  <c r="C21" i="185"/>
  <c r="CP21" i="185" s="1"/>
  <c r="D21" i="185"/>
  <c r="C22" i="185"/>
  <c r="D22" i="185"/>
  <c r="C23" i="185"/>
  <c r="D23" i="185"/>
  <c r="C24" i="185"/>
  <c r="BY24" i="185" s="1" a="1"/>
  <c r="BY24" i="185" s="1"/>
  <c r="D24" i="185"/>
  <c r="C25" i="185"/>
  <c r="D25" i="185"/>
  <c r="C26" i="185"/>
  <c r="BY26" i="185" s="1" a="1"/>
  <c r="BY26" i="185" s="1"/>
  <c r="D26" i="185"/>
  <c r="C27" i="185"/>
  <c r="D27" i="185"/>
  <c r="C28" i="185"/>
  <c r="BT28" i="185" s="1" a="1"/>
  <c r="BT28" i="185" s="1"/>
  <c r="D28" i="185"/>
  <c r="C29" i="185"/>
  <c r="BQ29" i="185" s="1" a="1"/>
  <c r="BQ29" i="185" s="1"/>
  <c r="D29" i="185"/>
  <c r="C30" i="185"/>
  <c r="BY30" i="185" s="1" a="1"/>
  <c r="BY30" i="185" s="1"/>
  <c r="D30" i="185"/>
  <c r="C31" i="185"/>
  <c r="D31" i="185"/>
  <c r="C32" i="185"/>
  <c r="BS32" i="185" s="1" a="1"/>
  <c r="BS32" i="185" s="1"/>
  <c r="D32" i="185"/>
  <c r="C33" i="185"/>
  <c r="D33" i="185"/>
  <c r="C34" i="185"/>
  <c r="BB34" i="185" s="1" a="1"/>
  <c r="BB34" i="185" s="1"/>
  <c r="D34" i="185"/>
  <c r="C35" i="185"/>
  <c r="BY35" i="185" s="1" a="1"/>
  <c r="BY35" i="185" s="1"/>
  <c r="D35" i="185"/>
  <c r="C36" i="185"/>
  <c r="BI36" i="185" s="1" a="1"/>
  <c r="BI36" i="185" s="1"/>
  <c r="D36" i="185"/>
  <c r="C37" i="185"/>
  <c r="BU37" i="185" s="1" a="1"/>
  <c r="BU37" i="185" s="1"/>
  <c r="D37" i="185"/>
  <c r="C38" i="185"/>
  <c r="D38" i="185"/>
  <c r="C39" i="185"/>
  <c r="CP39" i="185" s="1"/>
  <c r="D39" i="185"/>
  <c r="C40" i="185"/>
  <c r="BS40" i="185" s="1" a="1"/>
  <c r="BS40" i="185" s="1"/>
  <c r="D40" i="185"/>
  <c r="C41" i="185"/>
  <c r="BR41" i="185" s="1" a="1"/>
  <c r="BR41" i="185" s="1"/>
  <c r="D41" i="185"/>
  <c r="C42" i="185"/>
  <c r="D42" i="185"/>
  <c r="C43" i="185"/>
  <c r="D43" i="185"/>
  <c r="C44" i="185"/>
  <c r="BP44" i="185" s="1" a="1"/>
  <c r="BP44" i="185" s="1"/>
  <c r="D44" i="185"/>
  <c r="D4" i="185"/>
  <c r="C4" i="185"/>
  <c r="BL4" i="185"/>
  <c r="BK4" i="185"/>
  <c r="BJ4" i="185"/>
  <c r="BI4" i="185"/>
  <c r="BH4" i="185"/>
  <c r="BG4" i="185"/>
  <c r="BF4" i="185"/>
  <c r="BE4" i="185"/>
  <c r="BD4" i="185"/>
  <c r="BC4" i="185"/>
  <c r="BB4" i="185"/>
  <c r="BR32" i="185" l="1" a="1"/>
  <c r="BR32" i="185" s="1"/>
  <c r="BH34" i="185" a="1"/>
  <c r="BH34" i="185" s="1"/>
  <c r="CV24" i="185"/>
  <c r="BC17" i="185" a="1"/>
  <c r="BC17" i="185" s="1"/>
  <c r="BC36" i="185" a="1"/>
  <c r="BC36" i="185" s="1"/>
  <c r="CW32" i="185"/>
  <c r="BK17" i="185" a="1"/>
  <c r="BK17" i="185" s="1"/>
  <c r="CX40" i="185"/>
  <c r="BI34" i="185" a="1"/>
  <c r="BI34" i="185" s="1"/>
  <c r="BU44" i="185" a="1"/>
  <c r="BU44" i="185" s="1"/>
  <c r="CV32" i="185"/>
  <c r="BD17" i="185" a="1"/>
  <c r="BD17" i="185" s="1"/>
  <c r="CT40" i="185"/>
  <c r="BJ34" i="185" a="1"/>
  <c r="BJ34" i="185" s="1"/>
  <c r="BW44" i="185" a="1"/>
  <c r="BW44" i="185" s="1"/>
  <c r="BU21" i="185" a="1"/>
  <c r="BU21" i="185" s="1"/>
  <c r="BJ5" i="185" a="1"/>
  <c r="BJ5" i="185" s="1"/>
  <c r="BE34" i="185" a="1"/>
  <c r="BE34" i="185" s="1"/>
  <c r="BI14" i="185" a="1"/>
  <c r="BI14" i="185" s="1"/>
  <c r="BQ15" i="185" a="1"/>
  <c r="BQ15" i="185" s="1"/>
  <c r="CP24" i="185"/>
  <c r="BK5" i="185" a="1"/>
  <c r="BK5" i="185" s="1"/>
  <c r="BI5" i="185" a="1"/>
  <c r="BI5" i="185" s="1"/>
  <c r="BG14" i="185" a="1"/>
  <c r="BG14" i="185" s="1"/>
  <c r="BT41" i="185" a="1"/>
  <c r="BT41" i="185" s="1"/>
  <c r="BR30" i="185" a="1"/>
  <c r="BR30" i="185" s="1"/>
  <c r="BP15" i="185" a="1"/>
  <c r="BP15" i="185" s="1"/>
  <c r="CR16" i="185"/>
  <c r="BD5" i="185" a="1"/>
  <c r="BD5" i="185" s="1"/>
  <c r="BB36" i="185" a="1"/>
  <c r="BB36" i="185" s="1"/>
  <c r="BE14" i="185" a="1"/>
  <c r="BE14" i="185" s="1"/>
  <c r="BQ30" i="185" a="1"/>
  <c r="BQ30" i="185" s="1"/>
  <c r="CY15" i="185"/>
  <c r="BK36" i="185" a="1"/>
  <c r="BK36" i="185" s="1"/>
  <c r="BD14" i="185" a="1"/>
  <c r="BD14" i="185" s="1"/>
  <c r="BV39" i="185" a="1"/>
  <c r="BV39" i="185" s="1"/>
  <c r="BY29" i="185" a="1"/>
  <c r="BY29" i="185" s="1"/>
  <c r="BP39" i="185" a="1"/>
  <c r="BP39" i="185" s="1"/>
  <c r="BP26" i="185" a="1"/>
  <c r="BP26" i="185" s="1"/>
  <c r="CR43" i="185"/>
  <c r="CS43" i="185"/>
  <c r="CT43" i="185"/>
  <c r="CX43" i="185"/>
  <c r="BP43" i="185" a="1"/>
  <c r="BP43" i="185" s="1"/>
  <c r="BW43" i="185" a="1"/>
  <c r="BW43" i="185" s="1"/>
  <c r="CY43" i="185"/>
  <c r="BT43" i="185" a="1"/>
  <c r="BT43" i="185" s="1"/>
  <c r="BU43" i="185" a="1"/>
  <c r="BU43" i="185" s="1"/>
  <c r="BV43" i="185" a="1"/>
  <c r="BV43" i="185" s="1"/>
  <c r="CO43" i="185"/>
  <c r="BO43" i="185" a="1"/>
  <c r="BO43" i="185" s="1"/>
  <c r="CP43" i="185"/>
  <c r="CQ43" i="185"/>
  <c r="CU43" i="185"/>
  <c r="CV43" i="185"/>
  <c r="BR43" i="185" a="1"/>
  <c r="BR43" i="185" s="1"/>
  <c r="BS43" i="185" a="1"/>
  <c r="BS43" i="185" s="1"/>
  <c r="CW43" i="185"/>
  <c r="BX43" i="185" a="1"/>
  <c r="BX43" i="185" s="1"/>
  <c r="BY43" i="185" a="1"/>
  <c r="BY43" i="185" s="1"/>
  <c r="BQ43" i="185" a="1"/>
  <c r="BQ43" i="185" s="1"/>
  <c r="CR33" i="185"/>
  <c r="CS33" i="185"/>
  <c r="CT33" i="185"/>
  <c r="CU33" i="185"/>
  <c r="BP33" i="185" a="1"/>
  <c r="BP33" i="185" s="1"/>
  <c r="CV33" i="185"/>
  <c r="BW33" i="185" a="1"/>
  <c r="BW33" i="185" s="1"/>
  <c r="BS33" i="185" a="1"/>
  <c r="BS33" i="185" s="1"/>
  <c r="BT33" i="185" a="1"/>
  <c r="BT33" i="185" s="1"/>
  <c r="CO33" i="185"/>
  <c r="BU33" i="185" a="1"/>
  <c r="BU33" i="185" s="1"/>
  <c r="CP33" i="185"/>
  <c r="CQ33" i="185"/>
  <c r="BV33" i="185" a="1"/>
  <c r="BV33" i="185" s="1"/>
  <c r="CW33" i="185"/>
  <c r="CX33" i="185"/>
  <c r="CY33" i="185"/>
  <c r="BQ33" i="185" a="1"/>
  <c r="BQ33" i="185" s="1"/>
  <c r="BY33" i="185" a="1"/>
  <c r="BY33" i="185" s="1"/>
  <c r="BO33" i="185" a="1"/>
  <c r="BO33" i="185" s="1"/>
  <c r="BR33" i="185" a="1"/>
  <c r="BR33" i="185" s="1"/>
  <c r="BX33" i="185" a="1"/>
  <c r="BX33" i="185" s="1"/>
  <c r="CW18" i="185"/>
  <c r="BY18" i="185" a="1"/>
  <c r="BY18" i="185" s="1"/>
  <c r="CX18" i="185"/>
  <c r="CO18" i="185"/>
  <c r="CY18" i="185"/>
  <c r="BS18" i="185" a="1"/>
  <c r="BS18" i="185" s="1"/>
  <c r="BQ18" i="185" a="1"/>
  <c r="BQ18" i="185" s="1"/>
  <c r="CP18" i="185"/>
  <c r="BR18" i="185" a="1"/>
  <c r="BR18" i="185" s="1"/>
  <c r="CR18" i="185"/>
  <c r="CS18" i="185"/>
  <c r="BT18" i="185" a="1"/>
  <c r="BT18" i="185" s="1"/>
  <c r="CT18" i="185"/>
  <c r="CU18" i="185"/>
  <c r="BU18" i="185" a="1"/>
  <c r="BU18" i="185" s="1"/>
  <c r="CV18" i="185"/>
  <c r="BV18" i="185" a="1"/>
  <c r="BV18" i="185" s="1"/>
  <c r="BO18" i="185" a="1"/>
  <c r="BO18" i="185" s="1"/>
  <c r="BX18" i="185" a="1"/>
  <c r="BX18" i="185" s="1"/>
  <c r="CQ18" i="185"/>
  <c r="BP18" i="185" a="1"/>
  <c r="BP18" i="185" s="1"/>
  <c r="BW18" i="185" a="1"/>
  <c r="BW18" i="185" s="1"/>
  <c r="CW8" i="185"/>
  <c r="BW8" i="185" a="1"/>
  <c r="BW8" i="185" s="1"/>
  <c r="CX8" i="185"/>
  <c r="CO8" i="185"/>
  <c r="CY8" i="185"/>
  <c r="BR8" i="185" a="1"/>
  <c r="BR8" i="185" s="1"/>
  <c r="CV8" i="185"/>
  <c r="BT8" i="185" a="1"/>
  <c r="BT8" i="185" s="1"/>
  <c r="BV8" i="185" a="1"/>
  <c r="BV8" i="185" s="1"/>
  <c r="BX8" i="185" a="1"/>
  <c r="BX8" i="185" s="1"/>
  <c r="BO8" i="185" a="1"/>
  <c r="BO8" i="185" s="1"/>
  <c r="BY8" i="185" a="1"/>
  <c r="BY8" i="185" s="1"/>
  <c r="CP8" i="185"/>
  <c r="CQ8" i="185"/>
  <c r="BP8" i="185" a="1"/>
  <c r="BP8" i="185" s="1"/>
  <c r="CR8" i="185"/>
  <c r="BQ8" i="185" a="1"/>
  <c r="BQ8" i="185" s="1"/>
  <c r="CS8" i="185"/>
  <c r="BS8" i="185" a="1"/>
  <c r="BS8" i="185" s="1"/>
  <c r="CT8" i="185"/>
  <c r="CU8" i="185"/>
  <c r="BU8" i="185" a="1"/>
  <c r="BU8" i="185" s="1"/>
  <c r="CW38" i="185"/>
  <c r="CX38" i="185"/>
  <c r="CO38" i="185"/>
  <c r="CY38" i="185"/>
  <c r="CU38" i="185"/>
  <c r="BR38" i="185" a="1"/>
  <c r="BR38" i="185" s="1"/>
  <c r="BX38" i="185" a="1"/>
  <c r="BX38" i="185" s="1"/>
  <c r="CV38" i="185"/>
  <c r="BY38" i="185" a="1"/>
  <c r="BY38" i="185" s="1"/>
  <c r="BT38" i="185" a="1"/>
  <c r="BT38" i="185" s="1"/>
  <c r="CP38" i="185"/>
  <c r="BU38" i="185" a="1"/>
  <c r="BU38" i="185" s="1"/>
  <c r="CQ38" i="185"/>
  <c r="CR38" i="185"/>
  <c r="BO38" i="185" a="1"/>
  <c r="BO38" i="185" s="1"/>
  <c r="BV38" i="185" a="1"/>
  <c r="BV38" i="185" s="1"/>
  <c r="CS38" i="185"/>
  <c r="CT38" i="185"/>
  <c r="BQ38" i="185" a="1"/>
  <c r="BQ38" i="185" s="1"/>
  <c r="BP38" i="185" a="1"/>
  <c r="BP38" i="185" s="1"/>
  <c r="BS38" i="185" a="1"/>
  <c r="BS38" i="185" s="1"/>
  <c r="BW38" i="185" a="1"/>
  <c r="BW38" i="185" s="1"/>
  <c r="CW28" i="185"/>
  <c r="BS28" i="185" a="1"/>
  <c r="BS28" i="185" s="1"/>
  <c r="CX28" i="185"/>
  <c r="CO28" i="185"/>
  <c r="CY28" i="185"/>
  <c r="CR28" i="185"/>
  <c r="BP28" i="185" a="1"/>
  <c r="BP28" i="185" s="1"/>
  <c r="BW28" i="185" a="1"/>
  <c r="BW28" i="185" s="1"/>
  <c r="CS28" i="185"/>
  <c r="BX28" i="185" a="1"/>
  <c r="BX28" i="185" s="1"/>
  <c r="BV28" i="185" a="1"/>
  <c r="BV28" i="185" s="1"/>
  <c r="CP28" i="185"/>
  <c r="BO28" i="185" a="1"/>
  <c r="BO28" i="185" s="1"/>
  <c r="BY28" i="185" a="1"/>
  <c r="BY28" i="185" s="1"/>
  <c r="CQ28" i="185"/>
  <c r="CT28" i="185"/>
  <c r="BQ28" i="185" a="1"/>
  <c r="BQ28" i="185" s="1"/>
  <c r="CU28" i="185"/>
  <c r="CV28" i="185"/>
  <c r="BU28" i="185" a="1"/>
  <c r="BU28" i="185" s="1"/>
  <c r="BR28" i="185" a="1"/>
  <c r="BR28" i="185" s="1"/>
  <c r="CR23" i="185"/>
  <c r="CS23" i="185"/>
  <c r="CT23" i="185"/>
  <c r="BO23" i="185" a="1"/>
  <c r="BO23" i="185" s="1"/>
  <c r="CO23" i="185"/>
  <c r="CP23" i="185"/>
  <c r="BS23" i="185" a="1"/>
  <c r="BS23" i="185" s="1"/>
  <c r="BV23" i="185" a="1"/>
  <c r="BV23" i="185" s="1"/>
  <c r="CQ23" i="185"/>
  <c r="CU23" i="185"/>
  <c r="BW23" i="185" a="1"/>
  <c r="BW23" i="185" s="1"/>
  <c r="CV23" i="185"/>
  <c r="BX23" i="185" a="1"/>
  <c r="BX23" i="185" s="1"/>
  <c r="CW23" i="185"/>
  <c r="BP23" i="185" a="1"/>
  <c r="BP23" i="185" s="1"/>
  <c r="BY23" i="185" a="1"/>
  <c r="BY23" i="185" s="1"/>
  <c r="CX23" i="185"/>
  <c r="CY23" i="185"/>
  <c r="BT23" i="185" a="1"/>
  <c r="BT23" i="185" s="1"/>
  <c r="BQ23" i="185" a="1"/>
  <c r="BQ23" i="185" s="1"/>
  <c r="BR23" i="185" a="1"/>
  <c r="BR23" i="185" s="1"/>
  <c r="BU23" i="185" a="1"/>
  <c r="BU23" i="185" s="1"/>
  <c r="CR13" i="185"/>
  <c r="BX13" i="185" a="1"/>
  <c r="BX13" i="185" s="1"/>
  <c r="CS13" i="185"/>
  <c r="CT13" i="185"/>
  <c r="BY13" i="185" a="1"/>
  <c r="BY13" i="185" s="1"/>
  <c r="CY13" i="185"/>
  <c r="BT13" i="185" a="1"/>
  <c r="BT13" i="185" s="1"/>
  <c r="BP13" i="185" a="1"/>
  <c r="BP13" i="185" s="1"/>
  <c r="CO13" i="185"/>
  <c r="CP13" i="185"/>
  <c r="BQ13" i="185" a="1"/>
  <c r="BQ13" i="185" s="1"/>
  <c r="CQ13" i="185"/>
  <c r="BR13" i="185" a="1"/>
  <c r="BR13" i="185" s="1"/>
  <c r="CU13" i="185"/>
  <c r="BS13" i="185" a="1"/>
  <c r="BS13" i="185" s="1"/>
  <c r="CV13" i="185"/>
  <c r="CW13" i="185"/>
  <c r="CX13" i="185"/>
  <c r="BV13" i="185" a="1"/>
  <c r="BV13" i="185" s="1"/>
  <c r="BU13" i="185" a="1"/>
  <c r="BU13" i="185" s="1"/>
  <c r="BW13" i="185" a="1"/>
  <c r="BW13" i="185" s="1"/>
  <c r="BO13" i="185" a="1"/>
  <c r="BO13" i="185" s="1"/>
  <c r="CS42" i="185"/>
  <c r="CT42" i="185"/>
  <c r="CU42" i="185"/>
  <c r="CV42" i="185"/>
  <c r="BU42" i="185" a="1"/>
  <c r="BU42" i="185" s="1"/>
  <c r="CW42" i="185"/>
  <c r="CR42" i="185"/>
  <c r="BX42" i="185" a="1"/>
  <c r="BX42" i="185" s="1"/>
  <c r="CX42" i="185"/>
  <c r="BQ42" i="185" a="1"/>
  <c r="BQ42" i="185" s="1"/>
  <c r="CY42" i="185"/>
  <c r="BR42" i="185" a="1"/>
  <c r="BR42" i="185" s="1"/>
  <c r="BY42" i="185" a="1"/>
  <c r="BY42" i="185" s="1"/>
  <c r="BS42" i="185" a="1"/>
  <c r="BS42" i="185" s="1"/>
  <c r="CO42" i="185"/>
  <c r="CX37" i="185"/>
  <c r="CO37" i="185"/>
  <c r="CY37" i="185"/>
  <c r="CP37" i="185"/>
  <c r="CS37" i="185"/>
  <c r="CT37" i="185"/>
  <c r="BQ37" i="185" a="1"/>
  <c r="BQ37" i="185" s="1"/>
  <c r="BW37" i="185" a="1"/>
  <c r="BW37" i="185" s="1"/>
  <c r="CV37" i="185"/>
  <c r="BV37" i="185" a="1"/>
  <c r="BV37" i="185" s="1"/>
  <c r="CW37" i="185"/>
  <c r="BO37" i="185" a="1"/>
  <c r="BO37" i="185" s="1"/>
  <c r="BP37" i="185" a="1"/>
  <c r="BP37" i="185" s="1"/>
  <c r="BX37" i="185" a="1"/>
  <c r="BX37" i="185" s="1"/>
  <c r="BY37" i="185" a="1"/>
  <c r="BY37" i="185" s="1"/>
  <c r="BR37" i="185" a="1"/>
  <c r="BR37" i="185" s="1"/>
  <c r="CQ37" i="185"/>
  <c r="BT37" i="185" a="1"/>
  <c r="BT37" i="185" s="1"/>
  <c r="CS32" i="185"/>
  <c r="CT32" i="185"/>
  <c r="CU32" i="185"/>
  <c r="CP32" i="185"/>
  <c r="BU32" i="185" a="1"/>
  <c r="BU32" i="185" s="1"/>
  <c r="CQ32" i="185"/>
  <c r="CX32" i="185"/>
  <c r="CY32" i="185"/>
  <c r="BO32" i="185" a="1"/>
  <c r="BO32" i="185" s="1"/>
  <c r="BW32" i="185" a="1"/>
  <c r="BW32" i="185" s="1"/>
  <c r="BP32" i="185" a="1"/>
  <c r="BP32" i="185" s="1"/>
  <c r="BX32" i="185" a="1"/>
  <c r="BX32" i="185" s="1"/>
  <c r="BQ32" i="185" a="1"/>
  <c r="BQ32" i="185" s="1"/>
  <c r="BY32" i="185" a="1"/>
  <c r="BY32" i="185" s="1"/>
  <c r="CO32" i="185"/>
  <c r="CR32" i="185"/>
  <c r="CX27" i="185"/>
  <c r="BX27" i="185" a="1"/>
  <c r="BX27" i="185" s="1"/>
  <c r="CO27" i="185"/>
  <c r="CY27" i="185"/>
  <c r="CP27" i="185"/>
  <c r="BS27" i="185" a="1"/>
  <c r="BS27" i="185" s="1"/>
  <c r="CQ27" i="185"/>
  <c r="BT27" i="185" a="1"/>
  <c r="BT27" i="185" s="1"/>
  <c r="CW27" i="185"/>
  <c r="BO27" i="185" a="1"/>
  <c r="BO27" i="185" s="1"/>
  <c r="BY27" i="185" a="1"/>
  <c r="BY27" i="185" s="1"/>
  <c r="BP27" i="185" a="1"/>
  <c r="BP27" i="185" s="1"/>
  <c r="BQ27" i="185" a="1"/>
  <c r="BQ27" i="185" s="1"/>
  <c r="BR27" i="185" a="1"/>
  <c r="BR27" i="185" s="1"/>
  <c r="CR27" i="185"/>
  <c r="CS27" i="185"/>
  <c r="CT27" i="185"/>
  <c r="BV27" i="185" a="1"/>
  <c r="BV27" i="185" s="1"/>
  <c r="CS22" i="185"/>
  <c r="BX22" i="185" a="1"/>
  <c r="BX22" i="185" s="1"/>
  <c r="CT22" i="185"/>
  <c r="CU22" i="185"/>
  <c r="BV22" i="185" a="1"/>
  <c r="BV22" i="185" s="1"/>
  <c r="CY22" i="185"/>
  <c r="BW22" i="185" a="1"/>
  <c r="BW22" i="185" s="1"/>
  <c r="BO22" i="185" a="1"/>
  <c r="BO22" i="185" s="1"/>
  <c r="BY22" i="185" a="1"/>
  <c r="BY22" i="185" s="1"/>
  <c r="CO22" i="185"/>
  <c r="BP22" i="185" a="1"/>
  <c r="BP22" i="185" s="1"/>
  <c r="CP22" i="185"/>
  <c r="BQ22" i="185" a="1"/>
  <c r="BQ22" i="185" s="1"/>
  <c r="CQ22" i="185"/>
  <c r="CR22" i="185"/>
  <c r="CV22" i="185"/>
  <c r="BT22" i="185" a="1"/>
  <c r="BT22" i="185" s="1"/>
  <c r="BF17" i="185" a="1"/>
  <c r="BF17" i="185" s="1"/>
  <c r="BL17" i="185" a="1"/>
  <c r="BL17" i="185" s="1"/>
  <c r="CS12" i="185"/>
  <c r="CT12" i="185"/>
  <c r="CU12" i="185"/>
  <c r="BX12" i="185" a="1"/>
  <c r="BX12" i="185" s="1"/>
  <c r="CW12" i="185"/>
  <c r="BO12" i="185" a="1"/>
  <c r="BO12" i="185" s="1"/>
  <c r="BV12" i="185" a="1"/>
  <c r="BV12" i="185" s="1"/>
  <c r="CX12" i="185"/>
  <c r="BW12" i="185" a="1"/>
  <c r="BW12" i="185" s="1"/>
  <c r="CY12" i="185"/>
  <c r="CV12" i="185"/>
  <c r="BQ12" i="185" a="1"/>
  <c r="BQ12" i="185" s="1"/>
  <c r="BR12" i="185" a="1"/>
  <c r="BR12" i="185" s="1"/>
  <c r="BS12" i="185" a="1"/>
  <c r="BS12" i="185" s="1"/>
  <c r="BT12" i="185" a="1"/>
  <c r="BT12" i="185" s="1"/>
  <c r="CO12" i="185"/>
  <c r="CP12" i="185"/>
  <c r="BY12" i="185" a="1"/>
  <c r="BY12" i="185" s="1"/>
  <c r="CX7" i="185"/>
  <c r="CO7" i="185"/>
  <c r="CY7" i="185"/>
  <c r="BP7" i="185" a="1"/>
  <c r="BP7" i="185" s="1"/>
  <c r="CP7" i="185"/>
  <c r="CT7" i="185"/>
  <c r="BW7" i="185" a="1"/>
  <c r="BW7" i="185" s="1"/>
  <c r="CU7" i="185"/>
  <c r="BO7" i="185" a="1"/>
  <c r="BO7" i="185" s="1"/>
  <c r="BX7" i="185" a="1"/>
  <c r="BX7" i="185" s="1"/>
  <c r="CV7" i="185"/>
  <c r="CQ7" i="185"/>
  <c r="BV7" i="185" a="1"/>
  <c r="BV7" i="185" s="1"/>
  <c r="CR7" i="185"/>
  <c r="BY7" i="185" a="1"/>
  <c r="BY7" i="185" s="1"/>
  <c r="CS7" i="185"/>
  <c r="CW7" i="185"/>
  <c r="BQ7" i="185" a="1"/>
  <c r="BQ7" i="185" s="1"/>
  <c r="BR7" i="185" a="1"/>
  <c r="BR7" i="185" s="1"/>
  <c r="BS7" i="185" a="1"/>
  <c r="BS7" i="185" s="1"/>
  <c r="BT7" i="185" a="1"/>
  <c r="BT7" i="185" s="1"/>
  <c r="BJ36" i="185" a="1"/>
  <c r="BJ36" i="185" s="1"/>
  <c r="BE17" i="185" a="1"/>
  <c r="BE17" i="185" s="1"/>
  <c r="BP41" i="185" a="1"/>
  <c r="BP41" i="185" s="1"/>
  <c r="BS37" i="185" a="1"/>
  <c r="BS37" i="185" s="1"/>
  <c r="BU35" i="185" a="1"/>
  <c r="BU35" i="185" s="1"/>
  <c r="BW31" i="185" a="1"/>
  <c r="BW31" i="185" s="1"/>
  <c r="BO30" i="185" a="1"/>
  <c r="BO30" i="185" s="1"/>
  <c r="BX25" i="185" a="1"/>
  <c r="BX25" i="185" s="1"/>
  <c r="BR10" i="185" a="1"/>
  <c r="BR10" i="185" s="1"/>
  <c r="CQ39" i="185"/>
  <c r="CP31" i="185"/>
  <c r="CX22" i="185"/>
  <c r="BW42" i="185" a="1"/>
  <c r="BW42" i="185" s="1"/>
  <c r="BO41" i="185" a="1"/>
  <c r="BO41" i="185" s="1"/>
  <c r="BW27" i="185" a="1"/>
  <c r="BW27" i="185" s="1"/>
  <c r="BW25" i="185" a="1"/>
  <c r="BW25" i="185" s="1"/>
  <c r="BS21" i="185" a="1"/>
  <c r="BS21" i="185" s="1"/>
  <c r="BY16" i="185" a="1"/>
  <c r="BY16" i="185" s="1"/>
  <c r="BU12" i="185" a="1"/>
  <c r="BU12" i="185" s="1"/>
  <c r="BV6" i="185" a="1"/>
  <c r="BV6" i="185" s="1"/>
  <c r="CX30" i="185"/>
  <c r="CW22" i="185"/>
  <c r="BV42" i="185" a="1"/>
  <c r="BV42" i="185" s="1"/>
  <c r="BU40" i="185" a="1"/>
  <c r="BU40" i="185" s="1"/>
  <c r="BQ35" i="185" a="1"/>
  <c r="BQ35" i="185" s="1"/>
  <c r="BU31" i="185" a="1"/>
  <c r="BU31" i="185" s="1"/>
  <c r="BP25" i="185" a="1"/>
  <c r="BP25" i="185" s="1"/>
  <c r="BS16" i="185" a="1"/>
  <c r="BS16" i="185" s="1"/>
  <c r="BP12" i="185" a="1"/>
  <c r="BP12" i="185" s="1"/>
  <c r="BP10" i="185" a="1"/>
  <c r="BP10" i="185" s="1"/>
  <c r="CU37" i="185"/>
  <c r="CR29" i="185"/>
  <c r="CQ21" i="185"/>
  <c r="CR12" i="185"/>
  <c r="BG5" i="185" a="1"/>
  <c r="BG5" i="185" s="1"/>
  <c r="BH36" i="185" a="1"/>
  <c r="BH36" i="185" s="1"/>
  <c r="BJ17" i="185" a="1"/>
  <c r="BJ17" i="185" s="1"/>
  <c r="BT42" i="185" a="1"/>
  <c r="BT42" i="185" s="1"/>
  <c r="BS29" i="185" a="1"/>
  <c r="BS29" i="185" s="1"/>
  <c r="BU27" i="185" a="1"/>
  <c r="BU27" i="185" s="1"/>
  <c r="BW20" i="185" a="1"/>
  <c r="BW20" i="185" s="1"/>
  <c r="BR16" i="185" a="1"/>
  <c r="BR16" i="185" s="1"/>
  <c r="BY11" i="185" a="1"/>
  <c r="BY11" i="185" s="1"/>
  <c r="BO10" i="185" a="1"/>
  <c r="BO10" i="185" s="1"/>
  <c r="CR37" i="185"/>
  <c r="CQ29" i="185"/>
  <c r="CQ12" i="185"/>
  <c r="CT21" i="185"/>
  <c r="BV21" i="185" a="1"/>
  <c r="BV21" i="185" s="1"/>
  <c r="CU21" i="185"/>
  <c r="CV21" i="185"/>
  <c r="BQ21" i="185" a="1"/>
  <c r="BQ21" i="185" s="1"/>
  <c r="BW21" i="185" a="1"/>
  <c r="BW21" i="185" s="1"/>
  <c r="CX21" i="185"/>
  <c r="BO21" i="185" a="1"/>
  <c r="BO21" i="185" s="1"/>
  <c r="BX21" i="185" a="1"/>
  <c r="BX21" i="185" s="1"/>
  <c r="CY21" i="185"/>
  <c r="BP21" i="185" a="1"/>
  <c r="BP21" i="185" s="1"/>
  <c r="BY21" i="185" a="1"/>
  <c r="BY21" i="185" s="1"/>
  <c r="CR21" i="185"/>
  <c r="CS21" i="185"/>
  <c r="CW21" i="185"/>
  <c r="BR21" i="185" a="1"/>
  <c r="BR21" i="185" s="1"/>
  <c r="CO21" i="185"/>
  <c r="BT21" i="185" a="1"/>
  <c r="BT21" i="185" s="1"/>
  <c r="BG36" i="185" a="1"/>
  <c r="BG36" i="185" s="1"/>
  <c r="BB17" i="185" a="1"/>
  <c r="BB17" i="185" s="1"/>
  <c r="BP42" i="185" a="1"/>
  <c r="BP42" i="185" s="1"/>
  <c r="BO31" i="185" a="1"/>
  <c r="BO31" i="185" s="1"/>
  <c r="BU20" i="185" a="1"/>
  <c r="BU20" i="185" s="1"/>
  <c r="BT9" i="185" a="1"/>
  <c r="BT9" i="185" s="1"/>
  <c r="CO44" i="185"/>
  <c r="CW35" i="185"/>
  <c r="CV27" i="185"/>
  <c r="CU19" i="185"/>
  <c r="CX10" i="185"/>
  <c r="CT41" i="185"/>
  <c r="CU41" i="185"/>
  <c r="CV41" i="185"/>
  <c r="CQ41" i="185"/>
  <c r="CR41" i="185"/>
  <c r="BS41" i="185" a="1"/>
  <c r="BS41" i="185" s="1"/>
  <c r="CO41" i="185"/>
  <c r="BU41" i="185" a="1"/>
  <c r="BU41" i="185" s="1"/>
  <c r="CP41" i="185"/>
  <c r="BV41" i="185" a="1"/>
  <c r="BV41" i="185" s="1"/>
  <c r="CS41" i="185"/>
  <c r="CW41" i="185"/>
  <c r="BW41" i="185" a="1"/>
  <c r="BW41" i="185" s="1"/>
  <c r="CX41" i="185"/>
  <c r="CY41" i="185"/>
  <c r="BQ41" i="185" a="1"/>
  <c r="BQ41" i="185" s="1"/>
  <c r="BY41" i="185" a="1"/>
  <c r="BY41" i="185" s="1"/>
  <c r="CO16" i="185"/>
  <c r="CY16" i="185"/>
  <c r="CP16" i="185"/>
  <c r="CQ16" i="185"/>
  <c r="BV16" i="185" a="1"/>
  <c r="BV16" i="185" s="1"/>
  <c r="CU16" i="185"/>
  <c r="BP16" i="185" a="1"/>
  <c r="BP16" i="185" s="1"/>
  <c r="BX16" i="185" a="1"/>
  <c r="BX16" i="185" s="1"/>
  <c r="CV16" i="185"/>
  <c r="BQ16" i="185" a="1"/>
  <c r="BQ16" i="185" s="1"/>
  <c r="CW16" i="185"/>
  <c r="CS16" i="185"/>
  <c r="CT16" i="185"/>
  <c r="BT16" i="185" a="1"/>
  <c r="BT16" i="185" s="1"/>
  <c r="CX16" i="185"/>
  <c r="BU16" i="185" a="1"/>
  <c r="BU16" i="185" s="1"/>
  <c r="BW16" i="185" a="1"/>
  <c r="BW16" i="185" s="1"/>
  <c r="BO42" i="185" a="1"/>
  <c r="BO42" i="185" s="1"/>
  <c r="BU22" i="185" a="1"/>
  <c r="BU22" i="185" s="1"/>
  <c r="BW11" i="185" a="1"/>
  <c r="BW11" i="185" s="1"/>
  <c r="CV35" i="185"/>
  <c r="CU27" i="185"/>
  <c r="CT10" i="185"/>
  <c r="BE36" i="185" a="1"/>
  <c r="BE36" i="185" s="1"/>
  <c r="BL36" i="185" a="1"/>
  <c r="BL36" i="185" s="1"/>
  <c r="CO26" i="185"/>
  <c r="CY26" i="185"/>
  <c r="CP26" i="185"/>
  <c r="CQ26" i="185"/>
  <c r="CX26" i="185"/>
  <c r="BO26" i="185" a="1"/>
  <c r="BO26" i="185" s="1"/>
  <c r="BW26" i="185" a="1"/>
  <c r="BW26" i="185" s="1"/>
  <c r="BX26" i="185" a="1"/>
  <c r="BX26" i="185" s="1"/>
  <c r="CS26" i="185"/>
  <c r="BQ26" i="185" a="1"/>
  <c r="BQ26" i="185" s="1"/>
  <c r="CT26" i="185"/>
  <c r="CU26" i="185"/>
  <c r="BR26" i="185" a="1"/>
  <c r="BR26" i="185" s="1"/>
  <c r="CV26" i="185"/>
  <c r="BS26" i="185" a="1"/>
  <c r="BS26" i="185" s="1"/>
  <c r="CW26" i="185"/>
  <c r="BT26" i="185" a="1"/>
  <c r="BT26" i="185" s="1"/>
  <c r="CO6" i="185"/>
  <c r="CY6" i="185"/>
  <c r="BT6" i="185" a="1"/>
  <c r="BT6" i="185" s="1"/>
  <c r="CP6" i="185"/>
  <c r="BU6" i="185" a="1"/>
  <c r="BU6" i="185" s="1"/>
  <c r="CQ6" i="185"/>
  <c r="BO6" i="185" a="1"/>
  <c r="BO6" i="185" s="1"/>
  <c r="CR6" i="185"/>
  <c r="BQ6" i="185" a="1"/>
  <c r="BQ6" i="185" s="1"/>
  <c r="BY6" i="185" a="1"/>
  <c r="BY6" i="185" s="1"/>
  <c r="CS6" i="185"/>
  <c r="CT6" i="185"/>
  <c r="CU6" i="185"/>
  <c r="CV6" i="185"/>
  <c r="CW6" i="185"/>
  <c r="CX6" i="185"/>
  <c r="BW6" i="185" a="1"/>
  <c r="BW6" i="185" s="1"/>
  <c r="BX6" i="185" a="1"/>
  <c r="BX6" i="185" s="1"/>
  <c r="BP6" i="185" a="1"/>
  <c r="BP6" i="185" s="1"/>
  <c r="BR6" i="185" a="1"/>
  <c r="BR6" i="185" s="1"/>
  <c r="BS6" i="185" a="1"/>
  <c r="BS6" i="185" s="1"/>
  <c r="CU40" i="185"/>
  <c r="CV40" i="185"/>
  <c r="CW40" i="185"/>
  <c r="CO40" i="185"/>
  <c r="BP40" i="185" a="1"/>
  <c r="BP40" i="185" s="1"/>
  <c r="BV40" i="185" a="1"/>
  <c r="BV40" i="185" s="1"/>
  <c r="CP40" i="185"/>
  <c r="BW40" i="185" a="1"/>
  <c r="BW40" i="185" s="1"/>
  <c r="CY40" i="185"/>
  <c r="BO40" i="185" a="1"/>
  <c r="BO40" i="185" s="1"/>
  <c r="BX40" i="185" a="1"/>
  <c r="BX40" i="185" s="1"/>
  <c r="BQ40" i="185" a="1"/>
  <c r="BQ40" i="185" s="1"/>
  <c r="BR40" i="185" a="1"/>
  <c r="BR40" i="185" s="1"/>
  <c r="BY40" i="185" a="1"/>
  <c r="BY40" i="185" s="1"/>
  <c r="CQ40" i="185"/>
  <c r="CR40" i="185"/>
  <c r="CS40" i="185"/>
  <c r="BT40" i="185" a="1"/>
  <c r="BT40" i="185" s="1"/>
  <c r="CU30" i="185"/>
  <c r="CV30" i="185"/>
  <c r="CW30" i="185"/>
  <c r="CY30" i="185"/>
  <c r="BP30" i="185" a="1"/>
  <c r="BP30" i="185" s="1"/>
  <c r="BV30" i="185" a="1"/>
  <c r="BV30" i="185" s="1"/>
  <c r="BS30" i="185" a="1"/>
  <c r="BS30" i="185" s="1"/>
  <c r="CO30" i="185"/>
  <c r="BT30" i="185" a="1"/>
  <c r="BT30" i="185" s="1"/>
  <c r="CP30" i="185"/>
  <c r="CQ30" i="185"/>
  <c r="BU30" i="185" a="1"/>
  <c r="BU30" i="185" s="1"/>
  <c r="CR30" i="185"/>
  <c r="CS30" i="185"/>
  <c r="CT30" i="185"/>
  <c r="BX30" i="185" a="1"/>
  <c r="BX30" i="185" s="1"/>
  <c r="CU20" i="185"/>
  <c r="BO20" i="185" a="1"/>
  <c r="BO20" i="185" s="1"/>
  <c r="CV20" i="185"/>
  <c r="CW20" i="185"/>
  <c r="BP20" i="185" a="1"/>
  <c r="BP20" i="185" s="1"/>
  <c r="CS20" i="185"/>
  <c r="BS20" i="185" a="1"/>
  <c r="BS20" i="185" s="1"/>
  <c r="CT20" i="185"/>
  <c r="BX20" i="185" a="1"/>
  <c r="BX20" i="185" s="1"/>
  <c r="CO20" i="185"/>
  <c r="BY20" i="185" a="1"/>
  <c r="BY20" i="185" s="1"/>
  <c r="CP20" i="185"/>
  <c r="BQ20" i="185" a="1"/>
  <c r="BQ20" i="185" s="1"/>
  <c r="CQ20" i="185"/>
  <c r="BR20" i="185" a="1"/>
  <c r="BR20" i="185" s="1"/>
  <c r="CR20" i="185"/>
  <c r="CX20" i="185"/>
  <c r="CY20" i="185"/>
  <c r="BV20" i="185" a="1"/>
  <c r="BV20" i="185" s="1"/>
  <c r="BI17" i="185" a="1"/>
  <c r="BI17" i="185" s="1"/>
  <c r="CV39" i="185"/>
  <c r="CW39" i="185"/>
  <c r="CX39" i="185"/>
  <c r="BU39" i="185" a="1"/>
  <c r="BU39" i="185" s="1"/>
  <c r="CR39" i="185"/>
  <c r="BQ39" i="185" a="1"/>
  <c r="BQ39" i="185" s="1"/>
  <c r="CS39" i="185"/>
  <c r="BY39" i="185" a="1"/>
  <c r="BY39" i="185" s="1"/>
  <c r="CT39" i="185"/>
  <c r="BR39" i="185" a="1"/>
  <c r="BR39" i="185" s="1"/>
  <c r="CU39" i="185"/>
  <c r="BS39" i="185" a="1"/>
  <c r="BS39" i="185" s="1"/>
  <c r="CY39" i="185"/>
  <c r="BT39" i="185" a="1"/>
  <c r="BT39" i="185" s="1"/>
  <c r="CO39" i="185"/>
  <c r="BO39" i="185" a="1"/>
  <c r="BO39" i="185" s="1"/>
  <c r="BC34" i="185" a="1"/>
  <c r="BC34" i="185" s="1"/>
  <c r="BK34" i="185" a="1"/>
  <c r="BK34" i="185" s="1"/>
  <c r="BD34" i="185" a="1"/>
  <c r="BD34" i="185" s="1"/>
  <c r="BL34" i="185" a="1"/>
  <c r="BL34" i="185" s="1"/>
  <c r="CV29" i="185"/>
  <c r="CW29" i="185"/>
  <c r="CX29" i="185"/>
  <c r="CT29" i="185"/>
  <c r="CU29" i="185"/>
  <c r="BT29" i="185" a="1"/>
  <c r="BT29" i="185" s="1"/>
  <c r="CS29" i="185"/>
  <c r="BU29" i="185" a="1"/>
  <c r="BU29" i="185" s="1"/>
  <c r="CY29" i="185"/>
  <c r="BO29" i="185" a="1"/>
  <c r="BO29" i="185" s="1"/>
  <c r="BV29" i="185" a="1"/>
  <c r="BV29" i="185" s="1"/>
  <c r="BP29" i="185" a="1"/>
  <c r="BP29" i="185" s="1"/>
  <c r="BW29" i="185" a="1"/>
  <c r="BW29" i="185" s="1"/>
  <c r="BX29" i="185" a="1"/>
  <c r="BX29" i="185" s="1"/>
  <c r="CO29" i="185"/>
  <c r="CP29" i="185"/>
  <c r="BR29" i="185" a="1"/>
  <c r="BR29" i="185" s="1"/>
  <c r="CQ24" i="185"/>
  <c r="CR24" i="185"/>
  <c r="CS24" i="185"/>
  <c r="CT24" i="185"/>
  <c r="BV24" i="185" a="1"/>
  <c r="BV24" i="185" s="1"/>
  <c r="CU24" i="185"/>
  <c r="BO24" i="185" a="1"/>
  <c r="BO24" i="185" s="1"/>
  <c r="BW24" i="185" a="1"/>
  <c r="BW24" i="185" s="1"/>
  <c r="CW24" i="185"/>
  <c r="CX24" i="185"/>
  <c r="BU24" i="185" a="1"/>
  <c r="BU24" i="185" s="1"/>
  <c r="CY24" i="185"/>
  <c r="BX24" i="185" a="1"/>
  <c r="BX24" i="185" s="1"/>
  <c r="CO24" i="185"/>
  <c r="BR24" i="185" a="1"/>
  <c r="BR24" i="185" s="1"/>
  <c r="CV19" i="185"/>
  <c r="CW19" i="185"/>
  <c r="CX19" i="185"/>
  <c r="BO19" i="185" a="1"/>
  <c r="BO19" i="185" s="1"/>
  <c r="CQ19" i="185"/>
  <c r="BV19" i="185" a="1"/>
  <c r="BV19" i="185" s="1"/>
  <c r="CR19" i="185"/>
  <c r="BP19" i="185" a="1"/>
  <c r="BP19" i="185" s="1"/>
  <c r="BW19" i="185" a="1"/>
  <c r="BW19" i="185" s="1"/>
  <c r="CY19" i="185"/>
  <c r="BQ19" i="185" a="1"/>
  <c r="BQ19" i="185" s="1"/>
  <c r="BR19" i="185" a="1"/>
  <c r="BR19" i="185" s="1"/>
  <c r="BS19" i="185" a="1"/>
  <c r="BS19" i="185" s="1"/>
  <c r="BT19" i="185" a="1"/>
  <c r="BT19" i="185" s="1"/>
  <c r="CO19" i="185"/>
  <c r="CP19" i="185"/>
  <c r="CS19" i="185"/>
  <c r="BX19" i="185" a="1"/>
  <c r="BX19" i="185" s="1"/>
  <c r="BL14" i="185" a="1"/>
  <c r="BL14" i="185" s="1"/>
  <c r="BF14" i="185" a="1"/>
  <c r="BF14" i="185" s="1"/>
  <c r="CV9" i="185"/>
  <c r="CW9" i="185"/>
  <c r="CX9" i="185"/>
  <c r="BP9" i="185" a="1"/>
  <c r="BP9" i="185" s="1"/>
  <c r="BX9" i="185" a="1"/>
  <c r="BX9" i="185" s="1"/>
  <c r="CO9" i="185"/>
  <c r="BQ9" i="185" a="1"/>
  <c r="BQ9" i="185" s="1"/>
  <c r="BY9" i="185" a="1"/>
  <c r="BY9" i="185" s="1"/>
  <c r="CP9" i="185"/>
  <c r="CQ9" i="185"/>
  <c r="CR9" i="185"/>
  <c r="BU9" i="185" a="1"/>
  <c r="BU9" i="185" s="1"/>
  <c r="CS9" i="185"/>
  <c r="BV9" i="185" a="1"/>
  <c r="BV9" i="185" s="1"/>
  <c r="CT9" i="185"/>
  <c r="BW9" i="185" a="1"/>
  <c r="BW9" i="185" s="1"/>
  <c r="CU9" i="185"/>
  <c r="CY9" i="185"/>
  <c r="BO9" i="185" a="1"/>
  <c r="BO9" i="185" s="1"/>
  <c r="BR9" i="185" a="1"/>
  <c r="BR9" i="185" s="1"/>
  <c r="BL5" i="185" a="1"/>
  <c r="BL5" i="185" s="1"/>
  <c r="BD36" i="185" a="1"/>
  <c r="BD36" i="185" s="1"/>
  <c r="BG34" i="185" a="1"/>
  <c r="BG34" i="185" s="1"/>
  <c r="BH14" i="185" a="1"/>
  <c r="BH14" i="185" s="1"/>
  <c r="BX41" i="185" a="1"/>
  <c r="BX41" i="185" s="1"/>
  <c r="BX39" i="185" a="1"/>
  <c r="BX39" i="185" s="1"/>
  <c r="BV32" i="185" a="1"/>
  <c r="BV32" i="185" s="1"/>
  <c r="BV26" i="185" a="1"/>
  <c r="BV26" i="185" s="1"/>
  <c r="BT24" i="185" a="1"/>
  <c r="BT24" i="185" s="1"/>
  <c r="BS22" i="185" a="1"/>
  <c r="BS22" i="185" s="1"/>
  <c r="CQ42" i="185"/>
  <c r="CR26" i="185"/>
  <c r="CT31" i="185"/>
  <c r="CU31" i="185"/>
  <c r="CV31" i="185"/>
  <c r="BR31" i="185" a="1"/>
  <c r="BR31" i="185" s="1"/>
  <c r="BX31" i="185" a="1"/>
  <c r="BX31" i="185" s="1"/>
  <c r="CO31" i="185"/>
  <c r="BS31" i="185" a="1"/>
  <c r="BS31" i="185" s="1"/>
  <c r="BY31" i="185" a="1"/>
  <c r="BY31" i="185" s="1"/>
  <c r="CQ31" i="185"/>
  <c r="CR31" i="185"/>
  <c r="BP31" i="185" a="1"/>
  <c r="BP31" i="185" s="1"/>
  <c r="CS31" i="185"/>
  <c r="BQ31" i="185" a="1"/>
  <c r="BQ31" i="185" s="1"/>
  <c r="CW31" i="185"/>
  <c r="CX31" i="185"/>
  <c r="BT31" i="185" a="1"/>
  <c r="BT31" i="185" s="1"/>
  <c r="CY31" i="185"/>
  <c r="BV31" i="185" a="1"/>
  <c r="BV31" i="185" s="1"/>
  <c r="CT11" i="185"/>
  <c r="BO11" i="185" a="1"/>
  <c r="BO11" i="185" s="1"/>
  <c r="CU11" i="185"/>
  <c r="CV11" i="185"/>
  <c r="CR11" i="185"/>
  <c r="BR11" i="185" a="1"/>
  <c r="BR11" i="185" s="1"/>
  <c r="CS11" i="185"/>
  <c r="CW11" i="185"/>
  <c r="CO11" i="185"/>
  <c r="BS11" i="185" a="1"/>
  <c r="BS11" i="185" s="1"/>
  <c r="CP11" i="185"/>
  <c r="BT11" i="185" a="1"/>
  <c r="BT11" i="185" s="1"/>
  <c r="CQ11" i="185"/>
  <c r="BU11" i="185" a="1"/>
  <c r="BU11" i="185" s="1"/>
  <c r="CX11" i="185"/>
  <c r="BV11" i="185" a="1"/>
  <c r="BV11" i="185" s="1"/>
  <c r="CY11" i="185"/>
  <c r="BX11" i="185" a="1"/>
  <c r="BX11" i="185" s="1"/>
  <c r="CP35" i="185"/>
  <c r="CQ35" i="185"/>
  <c r="CR35" i="185"/>
  <c r="CY35" i="185"/>
  <c r="BS35" i="185" a="1"/>
  <c r="BS35" i="185" s="1"/>
  <c r="BT35" i="185" a="1"/>
  <c r="BT35" i="185" s="1"/>
  <c r="CX35" i="185"/>
  <c r="BV35" i="185" a="1"/>
  <c r="BV35" i="185" s="1"/>
  <c r="BO35" i="185" a="1"/>
  <c r="BO35" i="185" s="1"/>
  <c r="BW35" i="185" a="1"/>
  <c r="BW35" i="185" s="1"/>
  <c r="CO35" i="185"/>
  <c r="BP35" i="185" a="1"/>
  <c r="BP35" i="185" s="1"/>
  <c r="BX35" i="185" a="1"/>
  <c r="BX35" i="185" s="1"/>
  <c r="CS35" i="185"/>
  <c r="CT35" i="185"/>
  <c r="CU35" i="185"/>
  <c r="BR35" i="185" a="1"/>
  <c r="BR35" i="185" s="1"/>
  <c r="CP25" i="185"/>
  <c r="BR25" i="185" a="1"/>
  <c r="BR25" i="185" s="1"/>
  <c r="BY25" i="185" a="1"/>
  <c r="BY25" i="185" s="1"/>
  <c r="CQ25" i="185"/>
  <c r="CR25" i="185"/>
  <c r="CV25" i="185"/>
  <c r="BS25" i="185" a="1"/>
  <c r="BS25" i="185" s="1"/>
  <c r="CW25" i="185"/>
  <c r="BT25" i="185" a="1"/>
  <c r="BT25" i="185" s="1"/>
  <c r="BQ25" i="185" a="1"/>
  <c r="BQ25" i="185" s="1"/>
  <c r="BU25" i="185" a="1"/>
  <c r="BU25" i="185" s="1"/>
  <c r="CO25" i="185"/>
  <c r="CS25" i="185"/>
  <c r="BV25" i="185" a="1"/>
  <c r="BV25" i="185" s="1"/>
  <c r="CT25" i="185"/>
  <c r="CU25" i="185"/>
  <c r="CX25" i="185"/>
  <c r="BO25" i="185" a="1"/>
  <c r="BO25" i="185" s="1"/>
  <c r="CP15" i="185"/>
  <c r="BT15" i="185" a="1"/>
  <c r="BT15" i="185" s="1"/>
  <c r="CQ15" i="185"/>
  <c r="CR15" i="185"/>
  <c r="BU15" i="185" a="1"/>
  <c r="BU15" i="185" s="1"/>
  <c r="CS15" i="185"/>
  <c r="CT15" i="185"/>
  <c r="CU15" i="185"/>
  <c r="BV15" i="185" a="1"/>
  <c r="BV15" i="185" s="1"/>
  <c r="BW15" i="185" a="1"/>
  <c r="BW15" i="185" s="1"/>
  <c r="BO15" i="185" a="1"/>
  <c r="BO15" i="185" s="1"/>
  <c r="BX15" i="185" a="1"/>
  <c r="BX15" i="185" s="1"/>
  <c r="CO15" i="185"/>
  <c r="CV15" i="185"/>
  <c r="CW15" i="185"/>
  <c r="CX15" i="185"/>
  <c r="BR15" i="185" a="1"/>
  <c r="BR15" i="185" s="1"/>
  <c r="AY10" i="185"/>
  <c r="CU10" i="185"/>
  <c r="CV10" i="185"/>
  <c r="CW10" i="185"/>
  <c r="BU10" i="185" a="1"/>
  <c r="BU10" i="185" s="1"/>
  <c r="CP10" i="185"/>
  <c r="BV10" i="185" a="1"/>
  <c r="BV10" i="185" s="1"/>
  <c r="CQ10" i="185"/>
  <c r="CR10" i="185"/>
  <c r="CY10" i="185"/>
  <c r="BS10" i="185" a="1"/>
  <c r="BS10" i="185" s="1"/>
  <c r="BT10" i="185" a="1"/>
  <c r="BT10" i="185" s="1"/>
  <c r="BW10" i="185" a="1"/>
  <c r="BW10" i="185" s="1"/>
  <c r="CO10" i="185"/>
  <c r="CS10" i="185"/>
  <c r="BQ10" i="185" a="1"/>
  <c r="BQ10" i="185" s="1"/>
  <c r="BY10" i="185" a="1"/>
  <c r="BY10" i="185" s="1"/>
  <c r="BH5" i="185" a="1"/>
  <c r="BH5" i="185" s="1"/>
  <c r="BC5" i="185" a="1"/>
  <c r="BC5" i="185" s="1"/>
  <c r="BB5" i="185" a="1"/>
  <c r="BB5" i="185" s="1"/>
  <c r="BF5" i="185" a="1"/>
  <c r="BF5" i="185" s="1"/>
  <c r="BF36" i="185" a="1"/>
  <c r="BF36" i="185" s="1"/>
  <c r="CQ44" i="185"/>
  <c r="CR44" i="185"/>
  <c r="CS44" i="185"/>
  <c r="BS44" i="185" a="1"/>
  <c r="BS44" i="185" s="1"/>
  <c r="CP44" i="185"/>
  <c r="CT44" i="185"/>
  <c r="BQ44" i="185" a="1"/>
  <c r="BQ44" i="185" s="1"/>
  <c r="BY44" i="185" a="1"/>
  <c r="BY44" i="185" s="1"/>
  <c r="CU44" i="185"/>
  <c r="BR44" i="185" a="1"/>
  <c r="BR44" i="185" s="1"/>
  <c r="CV44" i="185"/>
  <c r="CW44" i="185"/>
  <c r="BT44" i="185" a="1"/>
  <c r="BT44" i="185" s="1"/>
  <c r="CX44" i="185"/>
  <c r="CY44" i="185"/>
  <c r="BO44" i="185" a="1"/>
  <c r="BO44" i="185" s="1"/>
  <c r="BF34" i="185" a="1"/>
  <c r="BF34" i="185" s="1"/>
  <c r="BH17" i="185" a="1"/>
  <c r="BH17" i="185" s="1"/>
  <c r="BW39" i="185" a="1"/>
  <c r="BW39" i="185" s="1"/>
  <c r="BT32" i="185" a="1"/>
  <c r="BT32" i="185" s="1"/>
  <c r="BW30" i="185" a="1"/>
  <c r="BW30" i="185" s="1"/>
  <c r="BU26" i="185" a="1"/>
  <c r="BU26" i="185" s="1"/>
  <c r="BS24" i="185" a="1"/>
  <c r="BS24" i="185" s="1"/>
  <c r="BR22" i="185" a="1"/>
  <c r="BR22" i="185" s="1"/>
  <c r="BY19" i="185" a="1"/>
  <c r="BY19" i="185" s="1"/>
  <c r="BS15" i="185" a="1"/>
  <c r="BS15" i="185" s="1"/>
  <c r="BP11" i="185" a="1"/>
  <c r="BP11" i="185" s="1"/>
  <c r="CP42" i="185"/>
  <c r="CY25" i="185"/>
  <c r="CB5" i="185"/>
  <c r="AV37" i="185"/>
  <c r="AW12" i="185"/>
  <c r="AO6" i="185"/>
  <c r="AO44" i="185"/>
  <c r="AO9" i="185"/>
  <c r="AY43" i="185"/>
  <c r="AS33" i="185"/>
  <c r="AP18" i="185"/>
  <c r="AP8" i="185"/>
  <c r="AS40" i="185"/>
  <c r="AR40" i="185"/>
  <c r="AO40" i="185"/>
  <c r="AQ25" i="185"/>
  <c r="AQ20" i="185"/>
  <c r="AO25" i="185"/>
  <c r="AU6" i="185"/>
  <c r="AT6" i="185"/>
  <c r="AY41" i="185"/>
  <c r="AT40" i="185"/>
  <c r="AQ30" i="185"/>
  <c r="AP30" i="185"/>
  <c r="AR25" i="185"/>
  <c r="AY16" i="185"/>
  <c r="AT35" i="185"/>
  <c r="AR35" i="185"/>
  <c r="AV11" i="185"/>
  <c r="AX11" i="185"/>
  <c r="AQ35" i="185"/>
  <c r="AW10" i="185"/>
  <c r="AV41" i="185"/>
  <c r="AV16" i="185"/>
  <c r="AX20" i="185"/>
  <c r="AU41" i="185"/>
  <c r="AX26" i="185"/>
  <c r="AT41" i="185"/>
  <c r="AW21" i="185"/>
  <c r="AO41" i="185"/>
  <c r="AU26" i="185"/>
  <c r="AY40" i="185"/>
  <c r="AX35" i="185"/>
  <c r="AP31" i="185"/>
  <c r="AX25" i="185"/>
  <c r="AU15" i="185"/>
  <c r="AW40" i="185"/>
  <c r="AW35" i="185"/>
  <c r="AV30" i="185"/>
  <c r="AW25" i="185"/>
  <c r="AW20" i="185"/>
  <c r="AT15" i="185"/>
  <c r="AP10" i="185"/>
  <c r="AY21" i="185"/>
  <c r="AS31" i="185"/>
  <c r="AW15" i="185"/>
  <c r="AY35" i="185"/>
  <c r="AV21" i="185"/>
  <c r="AU10" i="185"/>
  <c r="AT10" i="185"/>
  <c r="AV40" i="185"/>
  <c r="AV35" i="185"/>
  <c r="AS30" i="185"/>
  <c r="AV25" i="185"/>
  <c r="AV20" i="185"/>
  <c r="AQ15" i="185"/>
  <c r="AY6" i="185"/>
  <c r="AO42" i="185"/>
  <c r="AY26" i="185"/>
  <c r="AU11" i="185"/>
  <c r="AT31" i="185"/>
  <c r="AU16" i="185"/>
  <c r="AY37" i="185"/>
  <c r="AV26" i="185"/>
  <c r="AV10" i="185"/>
  <c r="AQ31" i="185"/>
  <c r="AV15" i="185"/>
  <c r="BC6" i="185" a="1"/>
  <c r="BC6" i="185" s="1"/>
  <c r="AU40" i="185"/>
  <c r="AU35" i="185"/>
  <c r="AR30" i="185"/>
  <c r="AU25" i="185"/>
  <c r="AU20" i="185"/>
  <c r="AY11" i="185"/>
  <c r="AX6" i="185"/>
  <c r="AO39" i="185"/>
  <c r="AY39" i="185"/>
  <c r="AP39" i="185"/>
  <c r="AR39" i="185"/>
  <c r="AQ39" i="185"/>
  <c r="AS39" i="185"/>
  <c r="AT39" i="185"/>
  <c r="AW39" i="185"/>
  <c r="CG14" i="185"/>
  <c r="AP13" i="185"/>
  <c r="AR13" i="185"/>
  <c r="AS13" i="185"/>
  <c r="AT13" i="185"/>
  <c r="AU13" i="185"/>
  <c r="AV13" i="185"/>
  <c r="AW13" i="185"/>
  <c r="AX13" i="185"/>
  <c r="AY44" i="185"/>
  <c r="AU42" i="185"/>
  <c r="AV38" i="185"/>
  <c r="AR29" i="185"/>
  <c r="AU24" i="185"/>
  <c r="AQ18" i="185"/>
  <c r="AU9" i="185"/>
  <c r="AW44" i="185"/>
  <c r="AU38" i="185"/>
  <c r="AQ29" i="185"/>
  <c r="AQ24" i="185"/>
  <c r="AS9" i="185"/>
  <c r="AV44" i="185"/>
  <c r="AX33" i="185"/>
  <c r="AX28" i="185"/>
  <c r="AP24" i="185"/>
  <c r="AX37" i="185"/>
  <c r="AW33" i="185"/>
  <c r="AW28" i="185"/>
  <c r="AR23" i="185"/>
  <c r="AY8" i="185"/>
  <c r="AO28" i="185"/>
  <c r="AQ23" i="185"/>
  <c r="AO24" i="185"/>
  <c r="AY24" i="185"/>
  <c r="AS24" i="185"/>
  <c r="AT24" i="185"/>
  <c r="AW24" i="185"/>
  <c r="AX24" i="185"/>
  <c r="AR24" i="185"/>
  <c r="AU43" i="185"/>
  <c r="AP43" i="185"/>
  <c r="AQ43" i="185"/>
  <c r="AR43" i="185"/>
  <c r="AS43" i="185"/>
  <c r="AT43" i="185"/>
  <c r="AX43" i="185"/>
  <c r="AU33" i="185"/>
  <c r="AV33" i="185"/>
  <c r="AY33" i="185"/>
  <c r="AO33" i="185"/>
  <c r="AP33" i="185"/>
  <c r="AQ33" i="185"/>
  <c r="AT33" i="185"/>
  <c r="AP23" i="185"/>
  <c r="AS23" i="185"/>
  <c r="AT23" i="185"/>
  <c r="AU23" i="185"/>
  <c r="AV23" i="185"/>
  <c r="AW23" i="185"/>
  <c r="AX23" i="185"/>
  <c r="AY23" i="185"/>
  <c r="AO23" i="185"/>
  <c r="AU8" i="185"/>
  <c r="AQ8" i="185"/>
  <c r="AR8" i="185"/>
  <c r="AS8" i="185"/>
  <c r="AT8" i="185"/>
  <c r="AV8" i="185"/>
  <c r="AW8" i="185"/>
  <c r="AX8" i="185"/>
  <c r="AV42" i="185"/>
  <c r="AP42" i="185"/>
  <c r="AQ42" i="185"/>
  <c r="AR42" i="185"/>
  <c r="AS42" i="185"/>
  <c r="AT42" i="185"/>
  <c r="AX42" i="185"/>
  <c r="AQ37" i="185"/>
  <c r="AO37" i="185"/>
  <c r="AR37" i="185"/>
  <c r="AP37" i="185"/>
  <c r="AS37" i="185"/>
  <c r="AT37" i="185"/>
  <c r="AW37" i="185"/>
  <c r="AV32" i="185"/>
  <c r="AW32" i="185"/>
  <c r="AX32" i="185"/>
  <c r="AY32" i="185"/>
  <c r="AO32" i="185"/>
  <c r="AP32" i="185"/>
  <c r="AS32" i="185"/>
  <c r="AQ27" i="185"/>
  <c r="AR27" i="185"/>
  <c r="AO27" i="185"/>
  <c r="AP27" i="185"/>
  <c r="AS27" i="185"/>
  <c r="AT27" i="185"/>
  <c r="AU27" i="185"/>
  <c r="AX27" i="185"/>
  <c r="AQ22" i="185"/>
  <c r="AS22" i="185"/>
  <c r="AT22" i="185"/>
  <c r="AP22" i="185"/>
  <c r="AR22" i="185"/>
  <c r="AU22" i="185"/>
  <c r="AV22" i="185"/>
  <c r="AW22" i="185"/>
  <c r="CI17" i="185"/>
  <c r="AQ12" i="185"/>
  <c r="AR12" i="185"/>
  <c r="AS12" i="185"/>
  <c r="AO12" i="185"/>
  <c r="AP12" i="185"/>
  <c r="AT12" i="185"/>
  <c r="AU12" i="185"/>
  <c r="AV12" i="185"/>
  <c r="AY12" i="185"/>
  <c r="AV7" i="185"/>
  <c r="AQ7" i="185"/>
  <c r="AR7" i="185"/>
  <c r="AO7" i="185"/>
  <c r="AP7" i="185"/>
  <c r="AS7" i="185"/>
  <c r="AT7" i="185"/>
  <c r="AU7" i="185"/>
  <c r="AY7" i="185"/>
  <c r="AW43" i="185"/>
  <c r="AX39" i="185"/>
  <c r="AU37" i="185"/>
  <c r="AR33" i="185"/>
  <c r="AY27" i="185"/>
  <c r="AY22" i="185"/>
  <c r="AO8" i="185"/>
  <c r="AT19" i="185"/>
  <c r="AR19" i="185"/>
  <c r="AS19" i="185"/>
  <c r="AW19" i="185"/>
  <c r="AX19" i="185"/>
  <c r="AY19" i="185"/>
  <c r="AQ19" i="185"/>
  <c r="AP28" i="185"/>
  <c r="AQ28" i="185"/>
  <c r="AR28" i="185"/>
  <c r="AS28" i="185"/>
  <c r="AT28" i="185"/>
  <c r="AU28" i="185"/>
  <c r="AV28" i="185"/>
  <c r="AY28" i="185"/>
  <c r="AV43" i="185"/>
  <c r="AV39" i="185"/>
  <c r="AU32" i="185"/>
  <c r="AW27" i="185"/>
  <c r="AX22" i="185"/>
  <c r="AV19" i="185"/>
  <c r="AY13" i="185"/>
  <c r="AX7" i="185"/>
  <c r="AP38" i="185"/>
  <c r="AO38" i="185"/>
  <c r="AR38" i="185"/>
  <c r="AQ38" i="185"/>
  <c r="AS38" i="185"/>
  <c r="AT38" i="185"/>
  <c r="AW38" i="185"/>
  <c r="AO43" i="185"/>
  <c r="AU39" i="185"/>
  <c r="AT32" i="185"/>
  <c r="AV27" i="185"/>
  <c r="AO22" i="185"/>
  <c r="AU19" i="185"/>
  <c r="AQ13" i="185"/>
  <c r="AW7" i="185"/>
  <c r="AT44" i="185"/>
  <c r="AP44" i="185"/>
  <c r="AQ44" i="185"/>
  <c r="AR44" i="185"/>
  <c r="AS44" i="185"/>
  <c r="AU44" i="185"/>
  <c r="AX44" i="185"/>
  <c r="AO29" i="185"/>
  <c r="AY29" i="185"/>
  <c r="AP29" i="185"/>
  <c r="AS29" i="185"/>
  <c r="AT29" i="185"/>
  <c r="AU29" i="185"/>
  <c r="AV29" i="185"/>
  <c r="AW29" i="185"/>
  <c r="AT9" i="185"/>
  <c r="AQ9" i="185"/>
  <c r="AR9" i="185"/>
  <c r="AV9" i="185"/>
  <c r="AW9" i="185"/>
  <c r="AX9" i="185"/>
  <c r="AY9" i="185"/>
  <c r="AP9" i="185"/>
  <c r="AY42" i="185"/>
  <c r="AY38" i="185"/>
  <c r="AR32" i="185"/>
  <c r="AP19" i="185"/>
  <c r="AO13" i="185"/>
  <c r="AU18" i="185"/>
  <c r="AR18" i="185"/>
  <c r="AS18" i="185"/>
  <c r="AT18" i="185"/>
  <c r="AV18" i="185"/>
  <c r="AW18" i="185"/>
  <c r="AX18" i="185"/>
  <c r="AY18" i="185"/>
  <c r="AO18" i="185"/>
  <c r="AW42" i="185"/>
  <c r="AX38" i="185"/>
  <c r="AQ32" i="185"/>
  <c r="AX29" i="185"/>
  <c r="AV24" i="185"/>
  <c r="AO19" i="185"/>
  <c r="AX12" i="185"/>
  <c r="AX41" i="185"/>
  <c r="AR31" i="185"/>
  <c r="AW26" i="185"/>
  <c r="AX21" i="185"/>
  <c r="AX16" i="185"/>
  <c r="AW11" i="185"/>
  <c r="AV6" i="185"/>
  <c r="AO31" i="185"/>
  <c r="AT26" i="185"/>
  <c r="AU21" i="185"/>
  <c r="AP20" i="185"/>
  <c r="AT16" i="185"/>
  <c r="AP15" i="185"/>
  <c r="AT11" i="185"/>
  <c r="AO10" i="185"/>
  <c r="AS6" i="185"/>
  <c r="AS41" i="185"/>
  <c r="AW30" i="185"/>
  <c r="AQ26" i="185"/>
  <c r="AP25" i="185"/>
  <c r="AQ21" i="185"/>
  <c r="AO20" i="185"/>
  <c r="AQ16" i="185"/>
  <c r="AO15" i="185"/>
  <c r="AP11" i="185"/>
  <c r="AP6" i="185"/>
  <c r="AP26" i="185"/>
  <c r="AP21" i="185"/>
  <c r="AP16" i="185"/>
  <c r="AO11" i="185"/>
  <c r="AW41" i="185"/>
  <c r="AW31" i="185"/>
  <c r="AX31" i="185"/>
  <c r="AR26" i="185"/>
  <c r="AS26" i="185"/>
  <c r="AR21" i="185"/>
  <c r="AS21" i="185"/>
  <c r="AT21" i="185"/>
  <c r="AR11" i="185"/>
  <c r="AQ11" i="185"/>
  <c r="AS11" i="185"/>
  <c r="AW6" i="185"/>
  <c r="AQ6" i="185"/>
  <c r="AR6" i="185"/>
  <c r="AR41" i="185"/>
  <c r="AQ41" i="185"/>
  <c r="AQ40" i="185"/>
  <c r="AP35" i="185"/>
  <c r="AV31" i="185"/>
  <c r="AU30" i="185"/>
  <c r="AO26" i="185"/>
  <c r="AO21" i="185"/>
  <c r="AO16" i="185"/>
  <c r="AW16" i="185"/>
  <c r="AR16" i="185"/>
  <c r="AS16" i="185"/>
  <c r="AY31" i="185"/>
  <c r="AX40" i="185"/>
  <c r="AS35" i="185"/>
  <c r="AX30" i="185"/>
  <c r="AO30" i="185"/>
  <c r="AY30" i="185"/>
  <c r="AS25" i="185"/>
  <c r="AT25" i="185"/>
  <c r="AS20" i="185"/>
  <c r="AR20" i="185"/>
  <c r="AT20" i="185"/>
  <c r="AX15" i="185"/>
  <c r="AR15" i="185"/>
  <c r="AS15" i="185"/>
  <c r="AS10" i="185"/>
  <c r="AQ10" i="185"/>
  <c r="AR10" i="185"/>
  <c r="CE5" i="185"/>
  <c r="AP41" i="185"/>
  <c r="AP40" i="185"/>
  <c r="AO35" i="185"/>
  <c r="AU31" i="185"/>
  <c r="AT30" i="185"/>
  <c r="AY25" i="185"/>
  <c r="AY20" i="185"/>
  <c r="AY15" i="185"/>
  <c r="AX10" i="185"/>
  <c r="BB6" i="185" a="1"/>
  <c r="BB6" i="185" s="1"/>
  <c r="CK5" i="185"/>
  <c r="CI5" i="185"/>
  <c r="Z13" i="185"/>
  <c r="S8" i="185"/>
  <c r="Y38" i="185"/>
  <c r="U42" i="185"/>
  <c r="CF32" i="185"/>
  <c r="CH27" i="185"/>
  <c r="BF22" i="185" a="1"/>
  <c r="BF22" i="185" s="1"/>
  <c r="CJ17" i="185"/>
  <c r="CB17" i="185"/>
  <c r="CC17" i="185"/>
  <c r="CD17" i="185"/>
  <c r="CF17" i="185"/>
  <c r="CK17" i="185"/>
  <c r="CL17" i="185"/>
  <c r="CG17" i="185"/>
  <c r="BF12" i="185" a="1"/>
  <c r="BF12" i="185" s="1"/>
  <c r="Q7" i="185"/>
  <c r="CI34" i="185"/>
  <c r="CH17" i="185"/>
  <c r="CG34" i="185"/>
  <c r="CE17" i="185"/>
  <c r="CB34" i="185"/>
  <c r="S28" i="185"/>
  <c r="CK36" i="185"/>
  <c r="CD36" i="185"/>
  <c r="CE36" i="185"/>
  <c r="CF36" i="185"/>
  <c r="CH36" i="185"/>
  <c r="CG36" i="185"/>
  <c r="CI36" i="185"/>
  <c r="CJ36" i="185"/>
  <c r="BB21" i="185" a="1"/>
  <c r="BB21" i="185" s="1"/>
  <c r="AA11" i="185"/>
  <c r="T40" i="185"/>
  <c r="S30" i="185"/>
  <c r="X25" i="185"/>
  <c r="BH20" i="185" a="1"/>
  <c r="BH20" i="185" s="1"/>
  <c r="S10" i="185"/>
  <c r="CC5" i="185"/>
  <c r="CF5" i="185"/>
  <c r="CG5" i="185"/>
  <c r="CH5" i="185"/>
  <c r="CJ5" i="185"/>
  <c r="CD5" i="185"/>
  <c r="CL36" i="185"/>
  <c r="AA43" i="185"/>
  <c r="U23" i="185"/>
  <c r="S26" i="185"/>
  <c r="CH35" i="185"/>
  <c r="CC36" i="185"/>
  <c r="BB33" i="185" a="1"/>
  <c r="BB33" i="185" s="1"/>
  <c r="CJ18" i="185"/>
  <c r="X41" i="185"/>
  <c r="BB31" i="185" a="1"/>
  <c r="BB31" i="185" s="1"/>
  <c r="BB16" i="185" a="1"/>
  <c r="BB16" i="185" s="1"/>
  <c r="Q44" i="185"/>
  <c r="V39" i="185"/>
  <c r="Q34" i="185"/>
  <c r="AO34" i="185" s="1"/>
  <c r="CC34" i="185"/>
  <c r="CD34" i="185"/>
  <c r="CE34" i="185"/>
  <c r="CF34" i="185"/>
  <c r="CH34" i="185"/>
  <c r="CJ34" i="185"/>
  <c r="CK34" i="185"/>
  <c r="CL34" i="185"/>
  <c r="V29" i="185"/>
  <c r="Q24" i="185"/>
  <c r="V19" i="185"/>
  <c r="Q14" i="185"/>
  <c r="AO14" i="185" s="1"/>
  <c r="CC14" i="185"/>
  <c r="CL14" i="185"/>
  <c r="CB14" i="185"/>
  <c r="CD14" i="185"/>
  <c r="CF14" i="185"/>
  <c r="CH14" i="185"/>
  <c r="CI14" i="185"/>
  <c r="CJ14" i="185"/>
  <c r="CK14" i="185"/>
  <c r="V9" i="185"/>
  <c r="CL5" i="185"/>
  <c r="CB36" i="185"/>
  <c r="CE14" i="185"/>
  <c r="CD42" i="185"/>
  <c r="CL41" i="185"/>
  <c r="BJ31" i="185" a="1"/>
  <c r="BJ31" i="185" s="1"/>
  <c r="BB42" i="185" a="1"/>
  <c r="BB42" i="185" s="1"/>
  <c r="BJ41" i="185" a="1"/>
  <c r="BJ41" i="185" s="1"/>
  <c r="BF30" i="185" a="1"/>
  <c r="BF30" i="185" s="1"/>
  <c r="BL21" i="185" a="1"/>
  <c r="BL21" i="185" s="1"/>
  <c r="BJ21" i="185" a="1"/>
  <c r="BJ21" i="185" s="1"/>
  <c r="BF21" i="185" a="1"/>
  <c r="BF21" i="185" s="1"/>
  <c r="CJ37" i="185"/>
  <c r="BH37" i="185" a="1"/>
  <c r="BH37" i="185" s="1"/>
  <c r="BH19" i="185" a="1"/>
  <c r="BH19" i="185" s="1"/>
  <c r="BL11" i="185" a="1"/>
  <c r="BL11" i="185" s="1"/>
  <c r="BJ11" i="185" a="1"/>
  <c r="BJ11" i="185" s="1"/>
  <c r="CF11" i="185"/>
  <c r="BL31" i="185" a="1"/>
  <c r="BL31" i="185" s="1"/>
  <c r="CD10" i="185"/>
  <c r="BD12" i="185" a="1"/>
  <c r="BD12" i="185" s="1"/>
  <c r="BB12" i="185" a="1"/>
  <c r="BB12" i="185" s="1"/>
  <c r="BF41" i="185" a="1"/>
  <c r="BF41" i="185" s="1"/>
  <c r="BG26" i="185" a="1"/>
  <c r="BG26" i="185" s="1"/>
  <c r="BH18" i="185" a="1"/>
  <c r="BH18" i="185" s="1"/>
  <c r="BD41" i="185" a="1"/>
  <c r="BD41" i="185" s="1"/>
  <c r="BF26" i="185" a="1"/>
  <c r="BF26" i="185" s="1"/>
  <c r="BH9" i="185" a="1"/>
  <c r="BH9" i="185" s="1"/>
  <c r="BJ27" i="185" a="1"/>
  <c r="BJ27" i="185" s="1"/>
  <c r="BB40" i="185" a="1"/>
  <c r="BB40" i="185" s="1"/>
  <c r="BL32" i="185" a="1"/>
  <c r="BL32" i="185" s="1"/>
  <c r="BL22" i="185" a="1"/>
  <c r="BL22" i="185" s="1"/>
  <c r="BH8" i="185" a="1"/>
  <c r="BH8" i="185" s="1"/>
  <c r="BD32" i="185" a="1"/>
  <c r="BD32" i="185" s="1"/>
  <c r="BD22" i="185" a="1"/>
  <c r="BD22" i="185" s="1"/>
  <c r="BF16" i="185" a="1"/>
  <c r="BF16" i="185" s="1"/>
  <c r="BJ7" i="185" a="1"/>
  <c r="BJ7" i="185" s="1"/>
  <c r="CH28" i="185"/>
  <c r="BH38" i="185" a="1"/>
  <c r="BH38" i="185" s="1"/>
  <c r="BB32" i="185" a="1"/>
  <c r="BB32" i="185" s="1"/>
  <c r="BB22" i="185" a="1"/>
  <c r="BB22" i="185" s="1"/>
  <c r="CL12" i="185"/>
  <c r="BH7" i="185" a="1"/>
  <c r="BH7" i="185" s="1"/>
  <c r="BB10" i="185" a="1"/>
  <c r="BB10" i="185" s="1"/>
  <c r="CD20" i="185"/>
  <c r="CI28" i="185"/>
  <c r="CI18" i="185"/>
  <c r="BG10" i="185" a="1"/>
  <c r="BG10" i="185" s="1"/>
  <c r="CC43" i="185"/>
  <c r="BE31" i="185" a="1"/>
  <c r="BE31" i="185" s="1"/>
  <c r="BL35" i="185" a="1"/>
  <c r="BL35" i="185" s="1"/>
  <c r="CC12" i="185"/>
  <c r="BH25" i="185" a="1"/>
  <c r="BH25" i="185" s="1"/>
  <c r="CE33" i="185"/>
  <c r="BB20" i="185" a="1"/>
  <c r="BB20" i="185" s="1"/>
  <c r="BE12" i="185" a="1"/>
  <c r="BE12" i="185" s="1"/>
  <c r="CL25" i="185"/>
  <c r="BG6" i="185" a="1"/>
  <c r="BG6" i="185" s="1"/>
  <c r="CL43" i="185"/>
  <c r="BB41" i="185" a="1"/>
  <c r="BB41" i="185" s="1"/>
  <c r="BB35" i="185" a="1"/>
  <c r="BB35" i="185" s="1"/>
  <c r="BF31" i="185" a="1"/>
  <c r="BF31" i="185" s="1"/>
  <c r="BB25" i="185" a="1"/>
  <c r="BB25" i="185" s="1"/>
  <c r="BD21" i="185" a="1"/>
  <c r="BD21" i="185" s="1"/>
  <c r="BD11" i="185" a="1"/>
  <c r="BD11" i="185" s="1"/>
  <c r="BF7" i="185" a="1"/>
  <c r="BF7" i="185" s="1"/>
  <c r="CI38" i="185"/>
  <c r="BK26" i="185" a="1"/>
  <c r="BK26" i="185" s="1"/>
  <c r="CE22" i="185"/>
  <c r="BL15" i="185" a="1"/>
  <c r="BL15" i="185" s="1"/>
  <c r="CI27" i="185"/>
  <c r="BE21" i="185" a="1"/>
  <c r="BE21" i="185" s="1"/>
  <c r="CK15" i="185"/>
  <c r="BI7" i="185" a="1"/>
  <c r="BI7" i="185" s="1"/>
  <c r="CJ25" i="185"/>
  <c r="CG38" i="185"/>
  <c r="CG28" i="185"/>
  <c r="CI16" i="185"/>
  <c r="BE10" i="185" a="1"/>
  <c r="BE10" i="185" s="1"/>
  <c r="CJ35" i="185"/>
  <c r="BH15" i="185" a="1"/>
  <c r="BH15" i="185" s="1"/>
  <c r="CC31" i="185"/>
  <c r="BI25" i="185" a="1"/>
  <c r="BI25" i="185" s="1"/>
  <c r="BI15" i="185" a="1"/>
  <c r="BI15" i="185" s="1"/>
  <c r="BB15" i="185" a="1"/>
  <c r="BB15" i="185" s="1"/>
  <c r="CK42" i="185"/>
  <c r="BC40" i="185" a="1"/>
  <c r="BC40" i="185" s="1"/>
  <c r="BK22" i="185" a="1"/>
  <c r="BK22" i="185" s="1"/>
  <c r="CC20" i="185"/>
  <c r="CC10" i="185"/>
  <c r="CK27" i="185"/>
  <c r="BK41" i="185" a="1"/>
  <c r="BK41" i="185" s="1"/>
  <c r="BG35" i="185" a="1"/>
  <c r="BG35" i="185" s="1"/>
  <c r="CK31" i="185"/>
  <c r="CG25" i="185"/>
  <c r="BK21" i="185" a="1"/>
  <c r="BK21" i="185" s="1"/>
  <c r="BG15" i="185" a="1"/>
  <c r="BG15" i="185" s="1"/>
  <c r="BK11" i="185" a="1"/>
  <c r="BK11" i="185" s="1"/>
  <c r="CD43" i="185"/>
  <c r="BL40" i="185" a="1"/>
  <c r="BL40" i="185" s="1"/>
  <c r="CD31" i="185"/>
  <c r="CF27" i="185"/>
  <c r="CL23" i="185"/>
  <c r="CL13" i="185"/>
  <c r="BB11" i="185" a="1"/>
  <c r="BB11" i="185" s="1"/>
  <c r="BJ6" i="185" a="1"/>
  <c r="BJ6" i="185" s="1"/>
  <c r="BC35" i="185" a="1"/>
  <c r="BC35" i="185" s="1"/>
  <c r="BK16" i="185" a="1"/>
  <c r="BK16" i="185" s="1"/>
  <c r="BI8" i="185" a="1"/>
  <c r="BI8" i="185" s="1"/>
  <c r="BI37" i="185" a="1"/>
  <c r="BI37" i="185" s="1"/>
  <c r="BK35" i="185" a="1"/>
  <c r="BK35" i="185" s="1"/>
  <c r="BC23" i="185" a="1"/>
  <c r="BC23" i="185" s="1"/>
  <c r="CC13" i="185"/>
  <c r="CC32" i="185"/>
  <c r="BI26" i="185" a="1"/>
  <c r="BI26" i="185" s="1"/>
  <c r="BG8" i="185" a="1"/>
  <c r="BG8" i="185" s="1"/>
  <c r="BG37" i="185" a="1"/>
  <c r="BG37" i="185" s="1"/>
  <c r="CC21" i="185"/>
  <c r="BC11" i="185" a="1"/>
  <c r="BC11" i="185" s="1"/>
  <c r="CK32" i="185"/>
  <c r="BC30" i="185" a="1"/>
  <c r="BC30" i="185" s="1"/>
  <c r="BG16" i="185" a="1"/>
  <c r="BG16" i="185" s="1"/>
  <c r="BE16" i="185" a="1"/>
  <c r="BE16" i="185" s="1"/>
  <c r="CK10" i="185"/>
  <c r="BE6" i="185" a="1"/>
  <c r="BE6" i="185" s="1"/>
  <c r="BB43" i="185" a="1"/>
  <c r="BB43" i="185" s="1"/>
  <c r="CL33" i="185"/>
  <c r="CJ26" i="185"/>
  <c r="CD23" i="185"/>
  <c r="BL20" i="185" a="1"/>
  <c r="BL20" i="185" s="1"/>
  <c r="CD13" i="185"/>
  <c r="BL10" i="185" a="1"/>
  <c r="BL10" i="185" s="1"/>
  <c r="CH6" i="185"/>
  <c r="CC15" i="185"/>
  <c r="BD30" i="185" a="1"/>
  <c r="BD30" i="185" s="1"/>
  <c r="BC44" i="185" a="1"/>
  <c r="BC44" i="185" s="1"/>
  <c r="BG40" i="185" a="1"/>
  <c r="BG40" i="185" s="1"/>
  <c r="BG20" i="185" a="1"/>
  <c r="BG20" i="185" s="1"/>
  <c r="BK6" i="185" a="1"/>
  <c r="BK6" i="185" s="1"/>
  <c r="BB30" i="185" a="1"/>
  <c r="BB30" i="185" s="1"/>
  <c r="BE41" i="185" a="1"/>
  <c r="BE41" i="185" s="1"/>
  <c r="BC33" i="185" a="1"/>
  <c r="BC33" i="185" s="1"/>
  <c r="BK25" i="185" a="1"/>
  <c r="BK25" i="185" s="1"/>
  <c r="BE11" i="185" a="1"/>
  <c r="BE11" i="185" s="1"/>
  <c r="BE30" i="185" a="1"/>
  <c r="BE30" i="185" s="1"/>
  <c r="BG18" i="185" a="1"/>
  <c r="BG18" i="185" s="1"/>
  <c r="BC41" i="185" a="1"/>
  <c r="BC41" i="185" s="1"/>
  <c r="BI35" i="185" a="1"/>
  <c r="BI35" i="185" s="1"/>
  <c r="CG27" i="185"/>
  <c r="BG7" i="185" a="1"/>
  <c r="BG7" i="185" s="1"/>
  <c r="BF25" i="185" a="1"/>
  <c r="BF25" i="185" s="1"/>
  <c r="BG31" i="185" a="1"/>
  <c r="BG31" i="185" s="1"/>
  <c r="CG21" i="185"/>
  <c r="BD40" i="185" a="1"/>
  <c r="BD40" i="185" s="1"/>
  <c r="CD33" i="185"/>
  <c r="BH26" i="185" a="1"/>
  <c r="BH26" i="185" s="1"/>
  <c r="BB23" i="185" a="1"/>
  <c r="BB23" i="185" s="1"/>
  <c r="BJ16" i="185" a="1"/>
  <c r="BJ16" i="185" s="1"/>
  <c r="BB13" i="185" a="1"/>
  <c r="BB13" i="185" s="1"/>
  <c r="BF10" i="185" a="1"/>
  <c r="BF10" i="185" s="1"/>
  <c r="BF6" i="185" a="1"/>
  <c r="BF6" i="185" s="1"/>
  <c r="BL24" i="185" a="1"/>
  <c r="BL24" i="185" s="1"/>
  <c r="BB24" i="185" a="1"/>
  <c r="BB24" i="185" s="1"/>
  <c r="BK44" i="185" a="1"/>
  <c r="BK44" i="185" s="1"/>
  <c r="BK43" i="185" a="1"/>
  <c r="BK43" i="185" s="1"/>
  <c r="BB44" i="185" a="1"/>
  <c r="BB44" i="185" s="1"/>
  <c r="BK24" i="185" a="1"/>
  <c r="BK24" i="185" s="1"/>
  <c r="BE39" i="185" a="1"/>
  <c r="BE39" i="185" s="1"/>
  <c r="BE29" i="185" a="1"/>
  <c r="BE29" i="185" s="1"/>
  <c r="CJ24" i="185"/>
  <c r="CF8" i="185"/>
  <c r="BE38" i="185" a="1"/>
  <c r="BE38" i="185" s="1"/>
  <c r="CJ23" i="185"/>
  <c r="CE8" i="185"/>
  <c r="BH44" i="185" a="1"/>
  <c r="BH44" i="185" s="1"/>
  <c r="BC39" i="185" a="1"/>
  <c r="BC39" i="185" s="1"/>
  <c r="CE37" i="185"/>
  <c r="BI33" i="185" a="1"/>
  <c r="BI33" i="185" s="1"/>
  <c r="BJ32" i="185" a="1"/>
  <c r="BJ32" i="185" s="1"/>
  <c r="CC29" i="185"/>
  <c r="BH24" i="185" a="1"/>
  <c r="BH24" i="185" s="1"/>
  <c r="CI23" i="185"/>
  <c r="CC19" i="185"/>
  <c r="BD18" i="185" a="1"/>
  <c r="BD18" i="185" s="1"/>
  <c r="CI13" i="185"/>
  <c r="CJ12" i="185"/>
  <c r="BC9" i="185" a="1"/>
  <c r="BC9" i="185" s="1"/>
  <c r="BD8" i="185" a="1"/>
  <c r="BD8" i="185" s="1"/>
  <c r="BE7" i="185" a="1"/>
  <c r="BE7" i="185" s="1"/>
  <c r="BF19" i="185" a="1"/>
  <c r="BF19" i="185" s="1"/>
  <c r="CF9" i="185"/>
  <c r="CK33" i="185"/>
  <c r="BE19" i="185" a="1"/>
  <c r="BE19" i="185" s="1"/>
  <c r="BF18" i="185" a="1"/>
  <c r="BF18" i="185" s="1"/>
  <c r="BJ43" i="185" a="1"/>
  <c r="BJ43" i="185" s="1"/>
  <c r="BD39" i="185" a="1"/>
  <c r="BD39" i="185" s="1"/>
  <c r="BD29" i="185" a="1"/>
  <c r="BD29" i="185" s="1"/>
  <c r="BF35" i="185" a="1"/>
  <c r="BF35" i="185" s="1"/>
  <c r="CH33" i="185"/>
  <c r="CI32" i="185"/>
  <c r="BL29" i="185" a="1"/>
  <c r="BL29" i="185" s="1"/>
  <c r="BB29" i="185" a="1"/>
  <c r="BB29" i="185" s="1"/>
  <c r="CC28" i="185"/>
  <c r="BG24" i="185" a="1"/>
  <c r="BG24" i="185" s="1"/>
  <c r="BH23" i="185" a="1"/>
  <c r="BH23" i="185" s="1"/>
  <c r="BK20" i="185" a="1"/>
  <c r="BK20" i="185" s="1"/>
  <c r="CL19" i="185"/>
  <c r="BB19" i="185" a="1"/>
  <c r="BB19" i="185" s="1"/>
  <c r="CC18" i="185"/>
  <c r="BF15" i="185" a="1"/>
  <c r="BF15" i="185" s="1"/>
  <c r="CH13" i="185"/>
  <c r="CI12" i="185"/>
  <c r="BB9" i="185" a="1"/>
  <c r="BB9" i="185" s="1"/>
  <c r="CC8" i="185"/>
  <c r="BD7" i="185" a="1"/>
  <c r="BD7" i="185" s="1"/>
  <c r="BG9" i="185" a="1"/>
  <c r="BG9" i="185" s="1"/>
  <c r="BF29" i="185" a="1"/>
  <c r="BF29" i="185" s="1"/>
  <c r="BJ44" i="185" a="1"/>
  <c r="BJ44" i="185" s="1"/>
  <c r="BF38" i="185" a="1"/>
  <c r="BF38" i="185" s="1"/>
  <c r="BI44" i="185" a="1"/>
  <c r="BI44" i="185" s="1"/>
  <c r="CE28" i="185"/>
  <c r="BG44" i="185" a="1"/>
  <c r="BG44" i="185" s="1"/>
  <c r="BH43" i="185" a="1"/>
  <c r="BH43" i="185" s="1"/>
  <c r="BI42" i="185" a="1"/>
  <c r="BI42" i="185" s="1"/>
  <c r="BK40" i="185" a="1"/>
  <c r="BK40" i="185" s="1"/>
  <c r="BL39" i="185" a="1"/>
  <c r="BL39" i="185" s="1"/>
  <c r="BB39" i="185" a="1"/>
  <c r="BB39" i="185" s="1"/>
  <c r="BC38" i="185" a="1"/>
  <c r="BC38" i="185" s="1"/>
  <c r="CD37" i="185"/>
  <c r="BF44" i="185" a="1"/>
  <c r="BF44" i="185" s="1"/>
  <c r="BG43" i="185" a="1"/>
  <c r="BG43" i="185" s="1"/>
  <c r="BH42" i="185" a="1"/>
  <c r="BH42" i="185" s="1"/>
  <c r="CI41" i="185"/>
  <c r="CJ40" i="185"/>
  <c r="BK39" i="185" a="1"/>
  <c r="BK39" i="185" s="1"/>
  <c r="BL38" i="185" a="1"/>
  <c r="BL38" i="185" s="1"/>
  <c r="BB38" i="185" a="1"/>
  <c r="BB38" i="185" s="1"/>
  <c r="BC37" i="185" a="1"/>
  <c r="BC37" i="185" s="1"/>
  <c r="BE35" i="185" a="1"/>
  <c r="BE35" i="185" s="1"/>
  <c r="CG33" i="185"/>
  <c r="BH32" i="185" a="1"/>
  <c r="BH32" i="185" s="1"/>
  <c r="BI31" i="185" a="1"/>
  <c r="BI31" i="185" s="1"/>
  <c r="BJ30" i="185" a="1"/>
  <c r="BJ30" i="185" s="1"/>
  <c r="CL28" i="185"/>
  <c r="BB28" i="185" a="1"/>
  <c r="BB28" i="185" s="1"/>
  <c r="BC27" i="185" a="1"/>
  <c r="BC27" i="185" s="1"/>
  <c r="CD26" i="185"/>
  <c r="BE25" i="185" a="1"/>
  <c r="BE25" i="185" s="1"/>
  <c r="CG23" i="185"/>
  <c r="BI21" i="185" a="1"/>
  <c r="BI21" i="185" s="1"/>
  <c r="CJ20" i="185"/>
  <c r="CK19" i="185"/>
  <c r="BL18" i="185" a="1"/>
  <c r="BL18" i="185" s="1"/>
  <c r="BB18" i="185" a="1"/>
  <c r="BB18" i="185" s="1"/>
  <c r="BD16" i="185" a="1"/>
  <c r="BD16" i="185" s="1"/>
  <c r="BE15" i="185" a="1"/>
  <c r="BE15" i="185" s="1"/>
  <c r="CG13" i="185"/>
  <c r="BH12" i="185" a="1"/>
  <c r="BH12" i="185" s="1"/>
  <c r="BJ10" i="185" a="1"/>
  <c r="BJ10" i="185" s="1"/>
  <c r="BK9" i="185" a="1"/>
  <c r="BK9" i="185" s="1"/>
  <c r="BL8" i="185" a="1"/>
  <c r="BL8" i="185" s="1"/>
  <c r="BB8" i="185" a="1"/>
  <c r="BB8" i="185" s="1"/>
  <c r="CC7" i="185"/>
  <c r="CD6" i="185"/>
  <c r="BJ33" i="185" a="1"/>
  <c r="BJ33" i="185" s="1"/>
  <c r="BD28" i="185" a="1"/>
  <c r="BD28" i="185" s="1"/>
  <c r="BD27" i="185" a="1"/>
  <c r="BD27" i="185" s="1"/>
  <c r="CE44" i="185"/>
  <c r="CF43" i="185"/>
  <c r="CG42" i="185"/>
  <c r="CH41" i="185"/>
  <c r="BI40" i="185" a="1"/>
  <c r="BI40" i="185" s="1"/>
  <c r="BK38" i="185" a="1"/>
  <c r="BK38" i="185" s="1"/>
  <c r="BB37" i="185" a="1"/>
  <c r="BB37" i="185" s="1"/>
  <c r="BD35" i="185" a="1"/>
  <c r="BD35" i="185" s="1"/>
  <c r="CF33" i="185"/>
  <c r="BH31" i="185" a="1"/>
  <c r="BH31" i="185" s="1"/>
  <c r="CI30" i="185"/>
  <c r="CK28" i="185"/>
  <c r="BB27" i="185" a="1"/>
  <c r="BB27" i="185" s="1"/>
  <c r="BC26" i="185" a="1"/>
  <c r="BC26" i="185" s="1"/>
  <c r="BE24" i="185" a="1"/>
  <c r="BE24" i="185" s="1"/>
  <c r="BF23" i="185" a="1"/>
  <c r="BF23" i="185" s="1"/>
  <c r="BG22" i="185" a="1"/>
  <c r="BG22" i="185" s="1"/>
  <c r="BH21" i="185" a="1"/>
  <c r="BH21" i="185" s="1"/>
  <c r="BJ19" i="185" a="1"/>
  <c r="BJ19" i="185" s="1"/>
  <c r="CK18" i="185"/>
  <c r="CC16" i="185"/>
  <c r="BD15" i="185" a="1"/>
  <c r="BD15" i="185" s="1"/>
  <c r="BF13" i="185" a="1"/>
  <c r="BF13" i="185" s="1"/>
  <c r="BG12" i="185" a="1"/>
  <c r="BG12" i="185" s="1"/>
  <c r="CH11" i="185"/>
  <c r="BI10" i="185" a="1"/>
  <c r="BI10" i="185" s="1"/>
  <c r="BJ9" i="185" a="1"/>
  <c r="BJ9" i="185" s="1"/>
  <c r="BK8" i="185" a="1"/>
  <c r="BK8" i="185" s="1"/>
  <c r="CL7" i="185"/>
  <c r="BB7" i="185" a="1"/>
  <c r="BB7" i="185" s="1"/>
  <c r="BF28" i="185" a="1"/>
  <c r="BF28" i="185" s="1"/>
  <c r="CK23" i="185"/>
  <c r="BK13" i="185" a="1"/>
  <c r="BK13" i="185" s="1"/>
  <c r="BI24" i="185" a="1"/>
  <c r="BI24" i="185" s="1"/>
  <c r="BD19" i="185" a="1"/>
  <c r="BD19" i="185" s="1"/>
  <c r="BE18" i="185" a="1"/>
  <c r="BE18" i="185" s="1"/>
  <c r="CJ13" i="185"/>
  <c r="BD9" i="185" a="1"/>
  <c r="BD9" i="185" s="1"/>
  <c r="BI43" i="185" a="1"/>
  <c r="BI43" i="185" s="1"/>
  <c r="BJ42" i="185" a="1"/>
  <c r="BJ42" i="185" s="1"/>
  <c r="CD38" i="185"/>
  <c r="CE43" i="185"/>
  <c r="BF42" i="185" a="1"/>
  <c r="BF42" i="185" s="1"/>
  <c r="BG41" i="185" a="1"/>
  <c r="BG41" i="185" s="1"/>
  <c r="BH40" i="185" a="1"/>
  <c r="BH40" i="185" s="1"/>
  <c r="CJ38" i="185"/>
  <c r="BJ28" i="185" a="1"/>
  <c r="BJ28" i="185" s="1"/>
  <c r="CL26" i="185"/>
  <c r="BB26" i="185" a="1"/>
  <c r="BB26" i="185" s="1"/>
  <c r="BC25" i="185" a="1"/>
  <c r="BC25" i="185" s="1"/>
  <c r="BE23" i="185" a="1"/>
  <c r="BE23" i="185" s="1"/>
  <c r="BI19" i="185" a="1"/>
  <c r="BI19" i="185" s="1"/>
  <c r="CL16" i="185"/>
  <c r="CE13" i="185"/>
  <c r="CG11" i="185"/>
  <c r="BH10" i="185" a="1"/>
  <c r="BH10" i="185" s="1"/>
  <c r="CI9" i="185"/>
  <c r="CJ8" i="185"/>
  <c r="CK7" i="185"/>
  <c r="CL6" i="185"/>
  <c r="Y14" i="185"/>
  <c r="AW14" i="185" s="1"/>
  <c r="CW14" i="185" s="1"/>
  <c r="Z34" i="185"/>
  <c r="AX34" i="185" s="1"/>
  <c r="BX34" i="185" s="1" a="1"/>
  <c r="BX34" i="185" s="1"/>
  <c r="T34" i="185"/>
  <c r="AR34" i="185" s="1"/>
  <c r="CR34" i="185" s="1"/>
  <c r="Z44" i="185"/>
  <c r="R29" i="185"/>
  <c r="W44" i="185"/>
  <c r="Y34" i="185"/>
  <c r="AW34" i="185" s="1"/>
  <c r="BW34" i="185" s="1" a="1"/>
  <c r="BW34" i="185" s="1"/>
  <c r="Y44" i="185"/>
  <c r="W24" i="185"/>
  <c r="Y39" i="185"/>
  <c r="U24" i="185"/>
  <c r="T14" i="185"/>
  <c r="AR14" i="185" s="1"/>
  <c r="BR14" i="185" s="1" a="1"/>
  <c r="BR14" i="185" s="1"/>
  <c r="X44" i="185"/>
  <c r="X39" i="185"/>
  <c r="Q19" i="185"/>
  <c r="Q29" i="185"/>
  <c r="V24" i="185"/>
  <c r="Q39" i="185"/>
  <c r="Z14" i="185"/>
  <c r="AX14" i="185" s="1"/>
  <c r="BX14" i="185" s="1" a="1"/>
  <c r="BX14" i="185" s="1"/>
  <c r="Z11" i="185"/>
  <c r="T24" i="185"/>
  <c r="AA41" i="185"/>
  <c r="V44" i="185"/>
  <c r="AA39" i="185"/>
  <c r="S34" i="185"/>
  <c r="AQ34" i="185" s="1"/>
  <c r="CQ34" i="185" s="1"/>
  <c r="AA9" i="185"/>
  <c r="U29" i="185"/>
  <c r="T19" i="185"/>
  <c r="Z9" i="185"/>
  <c r="T29" i="185"/>
  <c r="S19" i="185"/>
  <c r="Y9" i="185"/>
  <c r="Z39" i="185"/>
  <c r="S29" i="185"/>
  <c r="R19" i="185"/>
  <c r="U9" i="185"/>
  <c r="T20" i="185"/>
  <c r="Q20" i="185"/>
  <c r="R20" i="185"/>
  <c r="Z30" i="185"/>
  <c r="X35" i="185"/>
  <c r="Y35" i="185"/>
  <c r="V35" i="185"/>
  <c r="X20" i="185"/>
  <c r="Q40" i="185"/>
  <c r="U35" i="185"/>
  <c r="Y25" i="185"/>
  <c r="T35" i="185"/>
  <c r="T30" i="185"/>
  <c r="T15" i="185"/>
  <c r="Y15" i="185"/>
  <c r="W15" i="185"/>
  <c r="S35" i="185"/>
  <c r="X15" i="185"/>
  <c r="Q10" i="185"/>
  <c r="T10" i="185"/>
  <c r="X10" i="185"/>
  <c r="Y10" i="185"/>
  <c r="Z10" i="185"/>
  <c r="AA10" i="185"/>
  <c r="R10" i="185"/>
  <c r="AA30" i="185"/>
  <c r="W42" i="185"/>
  <c r="AA42" i="185"/>
  <c r="Z32" i="185"/>
  <c r="X32" i="185"/>
  <c r="W32" i="185"/>
  <c r="AA12" i="185"/>
  <c r="Q12" i="185"/>
  <c r="Q42" i="185"/>
  <c r="V15" i="185"/>
  <c r="W25" i="185"/>
  <c r="S25" i="185"/>
  <c r="U25" i="185"/>
  <c r="T25" i="185"/>
  <c r="S37" i="185"/>
  <c r="T37" i="185"/>
  <c r="Q22" i="185"/>
  <c r="R22" i="185"/>
  <c r="W22" i="185"/>
  <c r="V22" i="185"/>
  <c r="Z37" i="185"/>
  <c r="AA20" i="185"/>
  <c r="U15" i="185"/>
  <c r="S40" i="185"/>
  <c r="W40" i="185"/>
  <c r="Z40" i="185"/>
  <c r="X40" i="185"/>
  <c r="AA40" i="185"/>
  <c r="Y40" i="185"/>
  <c r="Y30" i="185"/>
  <c r="Q30" i="185"/>
  <c r="R30" i="185"/>
  <c r="T5" i="185"/>
  <c r="AR5" i="185" s="1"/>
  <c r="BR5" i="185" s="1" a="1"/>
  <c r="BR5" i="185" s="1"/>
  <c r="W5" i="185"/>
  <c r="AU5" i="185" s="1"/>
  <c r="CU5" i="185" s="1"/>
  <c r="U5" i="185"/>
  <c r="AS5" i="185" s="1"/>
  <c r="BS5" i="185" s="1" a="1"/>
  <c r="BS5" i="185" s="1"/>
  <c r="V5" i="185"/>
  <c r="AT5" i="185" s="1"/>
  <c r="CT5" i="185" s="1"/>
  <c r="Q5" i="185"/>
  <c r="AO5" i="185" s="1"/>
  <c r="X5" i="185"/>
  <c r="AV5" i="185" s="1"/>
  <c r="BV5" i="185" s="1" a="1"/>
  <c r="BV5" i="185" s="1"/>
  <c r="AA17" i="185"/>
  <c r="AY17" i="185" s="1"/>
  <c r="BY17" i="185" s="1" a="1"/>
  <c r="BY17" i="185" s="1"/>
  <c r="R17" i="185"/>
  <c r="AP17" i="185" s="1"/>
  <c r="BP17" i="185" s="1" a="1"/>
  <c r="BP17" i="185" s="1"/>
  <c r="T17" i="185"/>
  <c r="AR17" i="185" s="1"/>
  <c r="BR17" i="185" s="1" a="1"/>
  <c r="BR17" i="185" s="1"/>
  <c r="S17" i="185"/>
  <c r="AQ17" i="185" s="1"/>
  <c r="CQ17" i="185" s="1"/>
  <c r="Q31" i="185"/>
  <c r="R31" i="185"/>
  <c r="S31" i="185"/>
  <c r="W31" i="185"/>
  <c r="Y31" i="185"/>
  <c r="AA21" i="185"/>
  <c r="Q21" i="185"/>
  <c r="R21" i="185"/>
  <c r="W21" i="185"/>
  <c r="X11" i="185"/>
  <c r="Q11" i="185"/>
  <c r="S6" i="185"/>
  <c r="W6" i="185"/>
  <c r="Y5" i="185"/>
  <c r="AW5" i="185" s="1"/>
  <c r="BW5" i="185" s="1" a="1"/>
  <c r="BW5" i="185" s="1"/>
  <c r="Z41" i="185"/>
  <c r="V37" i="185"/>
  <c r="AA32" i="185"/>
  <c r="Z20" i="185"/>
  <c r="X6" i="185"/>
  <c r="R27" i="185"/>
  <c r="W27" i="185"/>
  <c r="U27" i="185"/>
  <c r="V27" i="185"/>
  <c r="AA36" i="185"/>
  <c r="AY36" i="185" s="1"/>
  <c r="BY36" i="185" s="1" a="1"/>
  <c r="BY36" i="185" s="1"/>
  <c r="S36" i="185"/>
  <c r="AQ36" i="185" s="1"/>
  <c r="BQ36" i="185" s="1" a="1"/>
  <c r="BQ36" i="185" s="1"/>
  <c r="W36" i="185"/>
  <c r="AU36" i="185" s="1"/>
  <c r="CU36" i="185" s="1"/>
  <c r="T36" i="185"/>
  <c r="AR36" i="185" s="1"/>
  <c r="CR36" i="185" s="1"/>
  <c r="U36" i="185"/>
  <c r="AS36" i="185" s="1"/>
  <c r="CS36" i="185" s="1"/>
  <c r="R26" i="185"/>
  <c r="U26" i="185"/>
  <c r="W26" i="185"/>
  <c r="V16" i="185"/>
  <c r="R16" i="185"/>
  <c r="T16" i="185"/>
  <c r="S5" i="185"/>
  <c r="AQ5" i="185" s="1"/>
  <c r="CQ5" i="185" s="1"/>
  <c r="R41" i="185"/>
  <c r="U37" i="185"/>
  <c r="Y32" i="185"/>
  <c r="T26" i="185"/>
  <c r="Y20" i="185"/>
  <c r="U44" i="185"/>
  <c r="AA19" i="185"/>
  <c r="T44" i="185"/>
  <c r="T39" i="185"/>
  <c r="W34" i="185"/>
  <c r="AU34" i="185" s="1"/>
  <c r="CU34" i="185" s="1"/>
  <c r="Z29" i="185"/>
  <c r="Z24" i="185"/>
  <c r="Z19" i="185"/>
  <c r="W14" i="185"/>
  <c r="AU14" i="185" s="1"/>
  <c r="BU14" i="185" s="1" a="1"/>
  <c r="BU14" i="185" s="1"/>
  <c r="S9" i="185"/>
  <c r="U39" i="185"/>
  <c r="AA29" i="185"/>
  <c r="X14" i="185"/>
  <c r="AV14" i="185" s="1"/>
  <c r="CV14" i="185" s="1"/>
  <c r="S44" i="185"/>
  <c r="S39" i="185"/>
  <c r="V34" i="185"/>
  <c r="AT34" i="185" s="1"/>
  <c r="CT34" i="185" s="1"/>
  <c r="Y29" i="185"/>
  <c r="Y24" i="185"/>
  <c r="Y19" i="185"/>
  <c r="V14" i="185"/>
  <c r="AT14" i="185" s="1"/>
  <c r="BT14" i="185" s="1" a="1"/>
  <c r="BT14" i="185" s="1"/>
  <c r="R9" i="185"/>
  <c r="X34" i="185"/>
  <c r="AV34" i="185" s="1"/>
  <c r="BV34" i="185" s="1" a="1"/>
  <c r="BV34" i="185" s="1"/>
  <c r="T9" i="185"/>
  <c r="R39" i="185"/>
  <c r="U34" i="185"/>
  <c r="AS34" i="185" s="1"/>
  <c r="BS34" i="185" s="1" a="1"/>
  <c r="BS34" i="185" s="1"/>
  <c r="X29" i="185"/>
  <c r="X24" i="185"/>
  <c r="U19" i="185"/>
  <c r="U14" i="185"/>
  <c r="AS14" i="185" s="1"/>
  <c r="BS14" i="185" s="1" a="1"/>
  <c r="BS14" i="185" s="1"/>
  <c r="Q9" i="185"/>
  <c r="V17" i="185"/>
  <c r="AT17" i="185" s="1"/>
  <c r="BT17" i="185" s="1" a="1"/>
  <c r="BT17" i="185" s="1"/>
  <c r="X13" i="185"/>
  <c r="S7" i="185"/>
  <c r="R33" i="185"/>
  <c r="S33" i="185"/>
  <c r="T33" i="185"/>
  <c r="W18" i="185"/>
  <c r="X18" i="185"/>
  <c r="Y18" i="185"/>
  <c r="Q43" i="185"/>
  <c r="V43" i="185"/>
  <c r="AA38" i="185"/>
  <c r="Q28" i="185"/>
  <c r="AA23" i="185"/>
  <c r="Y22" i="185"/>
  <c r="AA18" i="185"/>
  <c r="V12" i="185"/>
  <c r="U8" i="185"/>
  <c r="U43" i="185"/>
  <c r="R42" i="185"/>
  <c r="Q41" i="185"/>
  <c r="Z38" i="185"/>
  <c r="W37" i="185"/>
  <c r="V36" i="185"/>
  <c r="AT36" i="185" s="1"/>
  <c r="BT36" i="185" s="1" a="1"/>
  <c r="BT36" i="185" s="1"/>
  <c r="X31" i="185"/>
  <c r="AA27" i="185"/>
  <c r="V26" i="185"/>
  <c r="Z23" i="185"/>
  <c r="X22" i="185"/>
  <c r="S21" i="185"/>
  <c r="Z18" i="185"/>
  <c r="U17" i="185"/>
  <c r="AS17" i="185" s="1"/>
  <c r="BS17" i="185" s="1" a="1"/>
  <c r="BS17" i="185" s="1"/>
  <c r="S16" i="185"/>
  <c r="W13" i="185"/>
  <c r="R12" i="185"/>
  <c r="T8" i="185"/>
  <c r="R7" i="185"/>
  <c r="T43" i="185"/>
  <c r="AA33" i="185"/>
  <c r="Y23" i="185"/>
  <c r="V18" i="185"/>
  <c r="V13" i="185"/>
  <c r="W38" i="185"/>
  <c r="X38" i="185"/>
  <c r="W8" i="185"/>
  <c r="X8" i="185"/>
  <c r="Y8" i="185"/>
  <c r="Z33" i="185"/>
  <c r="AA28" i="185"/>
  <c r="X23" i="185"/>
  <c r="U18" i="185"/>
  <c r="U13" i="185"/>
  <c r="R8" i="185"/>
  <c r="V38" i="185"/>
  <c r="Y33" i="185"/>
  <c r="Z28" i="185"/>
  <c r="Q13" i="185"/>
  <c r="S32" i="185"/>
  <c r="T32" i="185"/>
  <c r="U32" i="185"/>
  <c r="X7" i="185"/>
  <c r="Y7" i="185"/>
  <c r="Z7" i="185"/>
  <c r="Z42" i="185"/>
  <c r="Y41" i="185"/>
  <c r="T38" i="185"/>
  <c r="R36" i="185"/>
  <c r="AP36" i="185" s="1"/>
  <c r="BP36" i="185" s="1" a="1"/>
  <c r="BP36" i="185" s="1"/>
  <c r="X33" i="185"/>
  <c r="V32" i="185"/>
  <c r="V28" i="185"/>
  <c r="T27" i="185"/>
  <c r="V23" i="185"/>
  <c r="S18" i="185"/>
  <c r="Q17" i="185"/>
  <c r="AO17" i="185" s="1"/>
  <c r="Y11" i="185"/>
  <c r="AA7" i="185"/>
  <c r="V6" i="185"/>
  <c r="R43" i="185"/>
  <c r="S43" i="185"/>
  <c r="U38" i="185"/>
  <c r="X37" i="185"/>
  <c r="Y37" i="185"/>
  <c r="S12" i="185"/>
  <c r="T12" i="185"/>
  <c r="U12" i="185"/>
  <c r="Z43" i="185"/>
  <c r="Y42" i="185"/>
  <c r="S38" i="185"/>
  <c r="R37" i="185"/>
  <c r="Q36" i="185"/>
  <c r="AO36" i="185" s="1"/>
  <c r="W33" i="185"/>
  <c r="R32" i="185"/>
  <c r="U28" i="185"/>
  <c r="S27" i="185"/>
  <c r="R18" i="185"/>
  <c r="X16" i="185"/>
  <c r="Z12" i="185"/>
  <c r="W7" i="185"/>
  <c r="U6" i="185"/>
  <c r="T18" i="185"/>
  <c r="S22" i="185"/>
  <c r="T22" i="185"/>
  <c r="U22" i="185"/>
  <c r="T31" i="185"/>
  <c r="U31" i="185"/>
  <c r="V31" i="185"/>
  <c r="T21" i="185"/>
  <c r="U21" i="185"/>
  <c r="V21" i="185"/>
  <c r="Z21" i="185"/>
  <c r="Q18" i="185"/>
  <c r="AA13" i="185"/>
  <c r="AA8" i="185"/>
  <c r="R23" i="185"/>
  <c r="S23" i="185"/>
  <c r="T23" i="185"/>
  <c r="Q8" i="185"/>
  <c r="X27" i="185"/>
  <c r="Y27" i="185"/>
  <c r="Z27" i="185"/>
  <c r="T41" i="185"/>
  <c r="U41" i="185"/>
  <c r="Y26" i="185"/>
  <c r="Z26" i="185"/>
  <c r="Q26" i="185"/>
  <c r="AA26" i="185"/>
  <c r="T11" i="185"/>
  <c r="U11" i="185"/>
  <c r="V11" i="185"/>
  <c r="Y43" i="185"/>
  <c r="W41" i="185"/>
  <c r="Q37" i="185"/>
  <c r="V33" i="185"/>
  <c r="Q32" i="185"/>
  <c r="T28" i="185"/>
  <c r="Q23" i="185"/>
  <c r="W16" i="185"/>
  <c r="Y12" i="185"/>
  <c r="V7" i="185"/>
  <c r="T6" i="185"/>
  <c r="X43" i="185"/>
  <c r="V41" i="185"/>
  <c r="Q38" i="185"/>
  <c r="U33" i="185"/>
  <c r="AA31" i="185"/>
  <c r="Q27" i="185"/>
  <c r="AA22" i="185"/>
  <c r="Y21" i="185"/>
  <c r="X12" i="185"/>
  <c r="S11" i="185"/>
  <c r="Z8" i="185"/>
  <c r="U7" i="185"/>
  <c r="W28" i="185"/>
  <c r="X28" i="185"/>
  <c r="Y28" i="185"/>
  <c r="R13" i="185"/>
  <c r="S13" i="185"/>
  <c r="T13" i="185"/>
  <c r="W23" i="185"/>
  <c r="S42" i="185"/>
  <c r="T42" i="185"/>
  <c r="X17" i="185"/>
  <c r="AV17" i="185" s="1"/>
  <c r="CV17" i="185" s="1"/>
  <c r="Y17" i="185"/>
  <c r="AW17" i="185" s="1"/>
  <c r="BW17" i="185" s="1" a="1"/>
  <c r="BW17" i="185" s="1"/>
  <c r="Z17" i="185"/>
  <c r="AX17" i="185" s="1"/>
  <c r="CX17" i="185" s="1"/>
  <c r="Y36" i="185"/>
  <c r="AW36" i="185" s="1"/>
  <c r="BW36" i="185" s="1" a="1"/>
  <c r="BW36" i="185" s="1"/>
  <c r="Z36" i="185"/>
  <c r="AX36" i="185" s="1"/>
  <c r="BX36" i="185" s="1" a="1"/>
  <c r="BX36" i="185" s="1"/>
  <c r="Y16" i="185"/>
  <c r="Z16" i="185"/>
  <c r="Q16" i="185"/>
  <c r="AA16" i="185"/>
  <c r="Y6" i="185"/>
  <c r="Z6" i="185"/>
  <c r="Q6" i="185"/>
  <c r="AA6" i="185"/>
  <c r="X42" i="185"/>
  <c r="R38" i="185"/>
  <c r="W11" i="185"/>
  <c r="U40" i="185"/>
  <c r="V40" i="185"/>
  <c r="Z35" i="185"/>
  <c r="Q35" i="185"/>
  <c r="AA35" i="185"/>
  <c r="R35" i="185"/>
  <c r="U30" i="185"/>
  <c r="W30" i="185"/>
  <c r="V30" i="185"/>
  <c r="Z25" i="185"/>
  <c r="Q25" i="185"/>
  <c r="AA25" i="185"/>
  <c r="R25" i="185"/>
  <c r="U20" i="185"/>
  <c r="V20" i="185"/>
  <c r="W20" i="185"/>
  <c r="Z15" i="185"/>
  <c r="Q15" i="185"/>
  <c r="AA15" i="185"/>
  <c r="R15" i="185"/>
  <c r="U10" i="185"/>
  <c r="V10" i="185"/>
  <c r="W10" i="185"/>
  <c r="AA5" i="185"/>
  <c r="AY5" i="185" s="1"/>
  <c r="CY5" i="185" s="1"/>
  <c r="R5" i="185"/>
  <c r="AP5" i="185" s="1"/>
  <c r="CP5" i="185" s="1"/>
  <c r="Z5" i="185"/>
  <c r="AX5" i="185" s="1"/>
  <c r="BX5" i="185" s="1" a="1"/>
  <c r="BX5" i="185" s="1"/>
  <c r="W43" i="185"/>
  <c r="V42" i="185"/>
  <c r="S41" i="185"/>
  <c r="R40" i="185"/>
  <c r="AA37" i="185"/>
  <c r="X36" i="185"/>
  <c r="AV36" i="185" s="1"/>
  <c r="CV36" i="185" s="1"/>
  <c r="W35" i="185"/>
  <c r="Q33" i="185"/>
  <c r="Z31" i="185"/>
  <c r="X30" i="185"/>
  <c r="R28" i="185"/>
  <c r="X26" i="185"/>
  <c r="V25" i="185"/>
  <c r="Z22" i="185"/>
  <c r="X21" i="185"/>
  <c r="S20" i="185"/>
  <c r="W17" i="185"/>
  <c r="AU17" i="185" s="1"/>
  <c r="BU17" i="185" s="1" a="1"/>
  <c r="BU17" i="185" s="1"/>
  <c r="U16" i="185"/>
  <c r="S15" i="185"/>
  <c r="Y13" i="185"/>
  <c r="W12" i="185"/>
  <c r="R11" i="185"/>
  <c r="V8" i="185"/>
  <c r="T7" i="185"/>
  <c r="R6" i="185"/>
  <c r="S24" i="185"/>
  <c r="X19" i="185"/>
  <c r="S14" i="185"/>
  <c r="AQ14" i="185" s="1"/>
  <c r="BQ14" i="185" s="1" a="1"/>
  <c r="BQ14" i="185" s="1"/>
  <c r="X9" i="185"/>
  <c r="R44" i="185"/>
  <c r="W39" i="185"/>
  <c r="R34" i="185"/>
  <c r="AP34" i="185" s="1"/>
  <c r="BP34" i="185" s="1" a="1"/>
  <c r="BP34" i="185" s="1"/>
  <c r="W29" i="185"/>
  <c r="R24" i="185"/>
  <c r="W19" i="185"/>
  <c r="R14" i="185"/>
  <c r="AP14" i="185" s="1"/>
  <c r="BP14" i="185" s="1" a="1"/>
  <c r="BP14" i="185" s="1"/>
  <c r="W9" i="185"/>
  <c r="AA44" i="185"/>
  <c r="AA34" i="185"/>
  <c r="AY34" i="185" s="1"/>
  <c r="BY34" i="185" s="1" a="1"/>
  <c r="BY34" i="185" s="1"/>
  <c r="AA24" i="185"/>
  <c r="AA14" i="185"/>
  <c r="AY14" i="185" s="1"/>
  <c r="BY14" i="185" s="1" a="1"/>
  <c r="BY14" i="185" s="1"/>
  <c r="AZ16" i="185" l="1"/>
  <c r="AZ18" i="185"/>
  <c r="AZ22" i="185"/>
  <c r="AZ38" i="185"/>
  <c r="AZ21" i="185"/>
  <c r="AZ20" i="185"/>
  <c r="AZ41" i="185"/>
  <c r="BM5" i="185"/>
  <c r="DB5" i="185" s="1"/>
  <c r="BO17" i="185" a="1"/>
  <c r="BO17" i="185" s="1"/>
  <c r="AZ17" i="185"/>
  <c r="CO14" i="185"/>
  <c r="AZ14" i="185"/>
  <c r="AZ30" i="185"/>
  <c r="AZ26" i="185"/>
  <c r="BO36" i="185" a="1"/>
  <c r="BO36" i="185" s="1"/>
  <c r="AZ36" i="185"/>
  <c r="AZ11" i="185"/>
  <c r="AZ42" i="185"/>
  <c r="AZ25" i="185"/>
  <c r="AZ9" i="185"/>
  <c r="BO34" i="185" a="1"/>
  <c r="BO34" i="185" s="1"/>
  <c r="AZ34" i="185"/>
  <c r="AZ19" i="185"/>
  <c r="AZ43" i="185"/>
  <c r="AZ27" i="185"/>
  <c r="AZ44" i="185"/>
  <c r="AZ31" i="185"/>
  <c r="AZ8" i="185"/>
  <c r="AZ24" i="185"/>
  <c r="AZ39" i="185"/>
  <c r="AZ6" i="185"/>
  <c r="AZ35" i="185"/>
  <c r="AZ12" i="185"/>
  <c r="AZ23" i="185"/>
  <c r="AZ40" i="185"/>
  <c r="AZ7" i="185"/>
  <c r="AZ28" i="185"/>
  <c r="AZ10" i="185"/>
  <c r="AZ33" i="185"/>
  <c r="AZ15" i="185"/>
  <c r="AZ13" i="185"/>
  <c r="AZ29" i="185"/>
  <c r="AZ32" i="185"/>
  <c r="AZ37" i="185"/>
  <c r="DE5" i="185"/>
  <c r="AZ5" i="185"/>
  <c r="BO5" i="185" a="1"/>
  <c r="BO5" i="185" s="1"/>
  <c r="CO5" i="185"/>
  <c r="CF37" i="185"/>
  <c r="BF37" i="185" a="1"/>
  <c r="BF37" i="185" s="1"/>
  <c r="CO34" i="185"/>
  <c r="BT34" i="185" a="1"/>
  <c r="BT34" i="185" s="1"/>
  <c r="BY5" i="185" a="1"/>
  <c r="BY5" i="185" s="1"/>
  <c r="BP5" i="185" a="1"/>
  <c r="BP5" i="185" s="1"/>
  <c r="BC10" i="185" a="1"/>
  <c r="BC10" i="185" s="1"/>
  <c r="BG21" i="185" a="1"/>
  <c r="BG21" i="185" s="1"/>
  <c r="BV14" i="185" a="1"/>
  <c r="BV14" i="185" s="1"/>
  <c r="CQ14" i="185"/>
  <c r="BR34" i="185" a="1"/>
  <c r="BR34" i="185" s="1"/>
  <c r="BS36" i="185" a="1"/>
  <c r="BS36" i="185" s="1"/>
  <c r="CQ36" i="185"/>
  <c r="BU5" i="185" a="1"/>
  <c r="BU5" i="185" s="1"/>
  <c r="BH27" i="185" a="1"/>
  <c r="BH27" i="185" s="1"/>
  <c r="CV5" i="185"/>
  <c r="CS17" i="185"/>
  <c r="CW17" i="185"/>
  <c r="BK23" i="185" a="1"/>
  <c r="BK23" i="185" s="1"/>
  <c r="BK18" i="185" a="1"/>
  <c r="BK18" i="185" s="1"/>
  <c r="BD33" i="185" a="1"/>
  <c r="BD33" i="185" s="1"/>
  <c r="BH33" i="185" a="1"/>
  <c r="BH33" i="185" s="1"/>
  <c r="BI41" i="185" a="1"/>
  <c r="BI41" i="185" s="1"/>
  <c r="BQ5" i="185" a="1"/>
  <c r="BQ5" i="185" s="1"/>
  <c r="BC19" i="185" a="1"/>
  <c r="BC19" i="185" s="1"/>
  <c r="CY34" i="185"/>
  <c r="BH6" i="185" a="1"/>
  <c r="BH6" i="185" s="1"/>
  <c r="CT36" i="185"/>
  <c r="CP36" i="185"/>
  <c r="BC15" i="185" a="1"/>
  <c r="BC15" i="185" s="1"/>
  <c r="CR17" i="185"/>
  <c r="BX17" i="185" a="1"/>
  <c r="BX17" i="185" s="1"/>
  <c r="BC43" i="185" a="1"/>
  <c r="BC43" i="185" s="1"/>
  <c r="BH13" i="185" a="1"/>
  <c r="BH13" i="185" s="1"/>
  <c r="BG23" i="185" a="1"/>
  <c r="BG23" i="185" s="1"/>
  <c r="BG38" i="185" a="1"/>
  <c r="BG38" i="185" s="1"/>
  <c r="BE8" i="185" a="1"/>
  <c r="BE8" i="185" s="1"/>
  <c r="BC8" i="185" a="1"/>
  <c r="BC8" i="185" s="1"/>
  <c r="BJ18" i="185" a="1"/>
  <c r="BJ18" i="185" s="1"/>
  <c r="BG33" i="185" a="1"/>
  <c r="BG33" i="185" s="1"/>
  <c r="BE43" i="185" a="1"/>
  <c r="BE43" i="185" s="1"/>
  <c r="CL44" i="185"/>
  <c r="BL44" i="185" a="1"/>
  <c r="BL44" i="185" s="1"/>
  <c r="CK37" i="185"/>
  <c r="BK37" i="185" a="1"/>
  <c r="BK37" i="185" s="1"/>
  <c r="CI29" i="185"/>
  <c r="BI29" i="185" a="1"/>
  <c r="BI29" i="185" s="1"/>
  <c r="CD44" i="185"/>
  <c r="BD44" i="185" a="1"/>
  <c r="BD44" i="185" s="1"/>
  <c r="CE9" i="185"/>
  <c r="BE9" i="185" a="1"/>
  <c r="BE9" i="185" s="1"/>
  <c r="CC24" i="185"/>
  <c r="BC24" i="185" a="1"/>
  <c r="BC24" i="185" s="1"/>
  <c r="CE26" i="185"/>
  <c r="BE26" i="185" a="1"/>
  <c r="BE26" i="185" s="1"/>
  <c r="CH16" i="185"/>
  <c r="BH16" i="185" a="1"/>
  <c r="BH16" i="185" s="1"/>
  <c r="CS5" i="185"/>
  <c r="BF11" i="185" a="1"/>
  <c r="BF11" i="185" s="1"/>
  <c r="BU34" i="185" a="1"/>
  <c r="BU34" i="185" s="1"/>
  <c r="CY14" i="185"/>
  <c r="CP14" i="185"/>
  <c r="CV34" i="185"/>
  <c r="CX34" i="185"/>
  <c r="CY36" i="185"/>
  <c r="BL41" i="185" a="1"/>
  <c r="BL41" i="185" s="1"/>
  <c r="BD31" i="185" a="1"/>
  <c r="BD31" i="185" s="1"/>
  <c r="CW5" i="185"/>
  <c r="BK15" i="185" a="1"/>
  <c r="BK15" i="185" s="1"/>
  <c r="BK7" i="185" a="1"/>
  <c r="BK7" i="185" s="1"/>
  <c r="BI12" i="185" a="1"/>
  <c r="BI12" i="185" s="1"/>
  <c r="BV17" i="185" a="1"/>
  <c r="BV17" i="185" s="1"/>
  <c r="BQ17" i="185" a="1"/>
  <c r="BQ17" i="185" s="1"/>
  <c r="BG13" i="185" a="1"/>
  <c r="BG13" i="185" s="1"/>
  <c r="BC13" i="185" a="1"/>
  <c r="BC13" i="185" s="1"/>
  <c r="BJ40" i="185" a="1"/>
  <c r="BJ40" i="185" s="1"/>
  <c r="BG27" i="185" a="1"/>
  <c r="BG27" i="185" s="1"/>
  <c r="BG42" i="185" a="1"/>
  <c r="BG42" i="185" s="1"/>
  <c r="BW14" i="185" a="1"/>
  <c r="BW14" i="185" s="1"/>
  <c r="BL6" i="185" a="1"/>
  <c r="BL6" i="185" s="1"/>
  <c r="CO36" i="185"/>
  <c r="BC21" i="185" a="1"/>
  <c r="BC21" i="185" s="1"/>
  <c r="BD20" i="185" a="1"/>
  <c r="BD20" i="185" s="1"/>
  <c r="BJ35" i="185" a="1"/>
  <c r="BJ35" i="185" s="1"/>
  <c r="CT14" i="185"/>
  <c r="CP17" i="185"/>
  <c r="BK28" i="185" a="1"/>
  <c r="BK28" i="185" s="1"/>
  <c r="BD38" i="185" a="1"/>
  <c r="BD38" i="185" s="1"/>
  <c r="BC28" i="185" a="1"/>
  <c r="BC28" i="185" s="1"/>
  <c r="BL28" i="185" a="1"/>
  <c r="BL28" i="185" s="1"/>
  <c r="CK12" i="185"/>
  <c r="BK12" i="185" a="1"/>
  <c r="BK12" i="185" s="1"/>
  <c r="CL37" i="185"/>
  <c r="BL37" i="185" a="1"/>
  <c r="BL37" i="185" s="1"/>
  <c r="CJ22" i="185"/>
  <c r="BJ22" i="185" a="1"/>
  <c r="BJ22" i="185" s="1"/>
  <c r="CI11" i="185"/>
  <c r="BI11" i="185" a="1"/>
  <c r="BI11" i="185" s="1"/>
  <c r="CK29" i="185"/>
  <c r="BK29" i="185" a="1"/>
  <c r="BK29" i="185" s="1"/>
  <c r="CL9" i="185"/>
  <c r="BL9" i="185" a="1"/>
  <c r="BL9" i="185" s="1"/>
  <c r="CI22" i="185"/>
  <c r="BI22" i="185" a="1"/>
  <c r="BI22" i="185" s="1"/>
  <c r="CC42" i="185"/>
  <c r="BC42" i="185" a="1"/>
  <c r="BC42" i="185" s="1"/>
  <c r="CJ15" i="185"/>
  <c r="BJ15" i="185" a="1"/>
  <c r="BJ15" i="185" s="1"/>
  <c r="BF9" i="185" a="1"/>
  <c r="BF9" i="185" s="1"/>
  <c r="BJ24" i="185" a="1"/>
  <c r="BJ24" i="185" s="1"/>
  <c r="BH41" i="185" a="1"/>
  <c r="BH41" i="185" s="1"/>
  <c r="CR5" i="185"/>
  <c r="BK10" i="185" a="1"/>
  <c r="BK10" i="185" s="1"/>
  <c r="BH11" i="185" a="1"/>
  <c r="BH11" i="185" s="1"/>
  <c r="BC29" i="185" a="1"/>
  <c r="BC29" i="185" s="1"/>
  <c r="BI9" i="185" a="1"/>
  <c r="BI9" i="185" s="1"/>
  <c r="BO14" i="185" a="1"/>
  <c r="BO14" i="185" s="1"/>
  <c r="BQ34" i="185" a="1"/>
  <c r="BQ34" i="185" s="1"/>
  <c r="BK32" i="185" a="1"/>
  <c r="BK32" i="185" s="1"/>
  <c r="BH35" i="185" a="1"/>
  <c r="BH35" i="185" s="1"/>
  <c r="BD6" i="185" a="1"/>
  <c r="BD6" i="185" s="1"/>
  <c r="BD42" i="185" a="1"/>
  <c r="BD42" i="185" s="1"/>
  <c r="CY17" i="185"/>
  <c r="BK27" i="185" a="1"/>
  <c r="BK27" i="185" s="1"/>
  <c r="BJ37" i="185" a="1"/>
  <c r="BJ37" i="185" s="1"/>
  <c r="BL43" i="185" a="1"/>
  <c r="BL43" i="185" s="1"/>
  <c r="BL33" i="185" a="1"/>
  <c r="BL33" i="185" s="1"/>
  <c r="BD43" i="185" a="1"/>
  <c r="BD43" i="185" s="1"/>
  <c r="CL42" i="185"/>
  <c r="BL42" i="185" a="1"/>
  <c r="BL42" i="185" s="1"/>
  <c r="CE32" i="185"/>
  <c r="BE32" i="185" a="1"/>
  <c r="BE32" i="185" s="1"/>
  <c r="CH30" i="185"/>
  <c r="BH30" i="185" a="1"/>
  <c r="BH30" i="185" s="1"/>
  <c r="CL27" i="185"/>
  <c r="BL27" i="185" a="1"/>
  <c r="BL27" i="185" s="1"/>
  <c r="CF20" i="185"/>
  <c r="BF20" i="185" a="1"/>
  <c r="BF20" i="185" s="1"/>
  <c r="CE40" i="185"/>
  <c r="BE40" i="185" a="1"/>
  <c r="BE40" i="185" s="1"/>
  <c r="CI20" i="185"/>
  <c r="BI20" i="185" a="1"/>
  <c r="BI20" i="185" s="1"/>
  <c r="CJ29" i="185"/>
  <c r="BJ29" i="185" a="1"/>
  <c r="BJ29" i="185" s="1"/>
  <c r="CE27" i="185"/>
  <c r="BE27" i="185" a="1"/>
  <c r="BE27" i="185" s="1"/>
  <c r="CF39" i="185"/>
  <c r="BF39" i="185" a="1"/>
  <c r="BF39" i="185" s="1"/>
  <c r="CG30" i="185"/>
  <c r="BG30" i="185" a="1"/>
  <c r="BG30" i="185" s="1"/>
  <c r="BG25" i="185" a="1"/>
  <c r="BG25" i="185" s="1"/>
  <c r="CP34" i="185"/>
  <c r="CX14" i="185"/>
  <c r="CW34" i="185"/>
  <c r="CX36" i="185"/>
  <c r="BR36" i="185" a="1"/>
  <c r="BR36" i="185" s="1"/>
  <c r="BE37" i="185" a="1"/>
  <c r="BE37" i="185" s="1"/>
  <c r="BC7" i="185" a="1"/>
  <c r="BC7" i="185" s="1"/>
  <c r="CO17" i="185"/>
  <c r="BJ38" i="185" a="1"/>
  <c r="BJ38" i="185" s="1"/>
  <c r="BH28" i="185" a="1"/>
  <c r="BH28" i="185" s="1"/>
  <c r="BF43" i="185" a="1"/>
  <c r="BF43" i="185" s="1"/>
  <c r="BJ13" i="185" a="1"/>
  <c r="BJ13" i="185" s="1"/>
  <c r="BF27" i="185" a="1"/>
  <c r="BF27" i="185" s="1"/>
  <c r="BT5" i="185" a="1"/>
  <c r="BT5" i="185" s="1"/>
  <c r="BK31" i="185" a="1"/>
  <c r="BK31" i="185" s="1"/>
  <c r="CS34" i="185"/>
  <c r="BD37" i="185" a="1"/>
  <c r="BD37" i="185" s="1"/>
  <c r="CW36" i="185"/>
  <c r="BV36" i="185" a="1"/>
  <c r="BV36" i="185" s="1"/>
  <c r="BZ36" i="185" s="1"/>
  <c r="BC20" i="185" a="1"/>
  <c r="BC20" i="185" s="1"/>
  <c r="BK42" i="185" a="1"/>
  <c r="BK42" i="185" s="1"/>
  <c r="BD26" i="185" a="1"/>
  <c r="BD26" i="185" s="1"/>
  <c r="BJ23" i="185" a="1"/>
  <c r="BJ23" i="185" s="1"/>
  <c r="BL13" i="185" a="1"/>
  <c r="BL13" i="185" s="1"/>
  <c r="BE13" i="185" a="1"/>
  <c r="BE13" i="185" s="1"/>
  <c r="BD23" i="185" a="1"/>
  <c r="BD23" i="185" s="1"/>
  <c r="BI28" i="185" a="1"/>
  <c r="BI28" i="185" s="1"/>
  <c r="BI18" i="185" a="1"/>
  <c r="BI18" i="185" s="1"/>
  <c r="CI6" i="185"/>
  <c r="BI6" i="185" a="1"/>
  <c r="BI6" i="185" s="1"/>
  <c r="CH29" i="185"/>
  <c r="BH29" i="185" a="1"/>
  <c r="BH29" i="185" s="1"/>
  <c r="CH22" i="185"/>
  <c r="BH22" i="185" a="1"/>
  <c r="BH22" i="185" s="1"/>
  <c r="CF40" i="185"/>
  <c r="BF40" i="185" a="1"/>
  <c r="BF40" i="185" s="1"/>
  <c r="CC22" i="185"/>
  <c r="BC22" i="185" a="1"/>
  <c r="BC22" i="185" s="1"/>
  <c r="CE42" i="185"/>
  <c r="BE42" i="185" a="1"/>
  <c r="BE42" i="185" s="1"/>
  <c r="CD24" i="185"/>
  <c r="BD24" i="185" a="1"/>
  <c r="BD24" i="185" s="1"/>
  <c r="CI39" i="185"/>
  <c r="BI39" i="185" a="1"/>
  <c r="BI39" i="185" s="1"/>
  <c r="BL12" i="185" a="1"/>
  <c r="BL12" i="185" s="1"/>
  <c r="BJ26" i="185" a="1"/>
  <c r="BJ26" i="185" s="1"/>
  <c r="CX5" i="185"/>
  <c r="BD10" i="185" a="1"/>
  <c r="BD10" i="185" s="1"/>
  <c r="BJ25" i="185" a="1"/>
  <c r="BJ25" i="185" s="1"/>
  <c r="BI32" i="185" a="1"/>
  <c r="BI32" i="185" s="1"/>
  <c r="CS14" i="185"/>
  <c r="BL26" i="185" a="1"/>
  <c r="BL26" i="185" s="1"/>
  <c r="BI16" i="185" a="1"/>
  <c r="BI16" i="185" s="1"/>
  <c r="CU14" i="185"/>
  <c r="BI30" i="185" a="1"/>
  <c r="BI30" i="185" s="1"/>
  <c r="BC12" i="185" a="1"/>
  <c r="BC12" i="185" s="1"/>
  <c r="BC32" i="185" a="1"/>
  <c r="BC32" i="185" s="1"/>
  <c r="BC18" i="185" a="1"/>
  <c r="BC18" i="185" s="1"/>
  <c r="BC31" i="185" a="1"/>
  <c r="BC31" i="185" s="1"/>
  <c r="BE28" i="185" a="1"/>
  <c r="BE28" i="185" s="1"/>
  <c r="BE33" i="185" a="1"/>
  <c r="BE33" i="185" s="1"/>
  <c r="BF8" i="185" a="1"/>
  <c r="BF8" i="185" s="1"/>
  <c r="BK33" i="185" a="1"/>
  <c r="BK33" i="185" s="1"/>
  <c r="BI23" i="185" a="1"/>
  <c r="BI23" i="185" s="1"/>
  <c r="CE20" i="185"/>
  <c r="BE20" i="185" a="1"/>
  <c r="BE20" i="185" s="1"/>
  <c r="CJ39" i="185"/>
  <c r="BJ39" i="185" a="1"/>
  <c r="BJ39" i="185" s="1"/>
  <c r="CL30" i="185"/>
  <c r="BL30" i="185" a="1"/>
  <c r="BL30" i="185" s="1"/>
  <c r="CG19" i="185"/>
  <c r="BG19" i="185" a="1"/>
  <c r="BG19" i="185" s="1"/>
  <c r="CG32" i="185"/>
  <c r="BG32" i="185" a="1"/>
  <c r="BG32" i="185" s="1"/>
  <c r="CF24" i="185"/>
  <c r="BF24" i="185" a="1"/>
  <c r="BF24" i="185" s="1"/>
  <c r="BE44" i="185" a="1"/>
  <c r="BE44" i="185" s="1"/>
  <c r="BL19" i="185" a="1"/>
  <c r="BL19" i="185" s="1"/>
  <c r="CR14" i="185"/>
  <c r="BK19" i="185" a="1"/>
  <c r="BK19" i="185" s="1"/>
  <c r="BU36" i="185" a="1"/>
  <c r="BU36" i="185" s="1"/>
  <c r="BC16" i="185" a="1"/>
  <c r="BC16" i="185" s="1"/>
  <c r="BF32" i="185" a="1"/>
  <c r="BF32" i="185" s="1"/>
  <c r="BL7" i="185" a="1"/>
  <c r="BL7" i="185" s="1"/>
  <c r="BJ12" i="185" a="1"/>
  <c r="BJ12" i="185" s="1"/>
  <c r="CU17" i="185"/>
  <c r="BL23" i="185" a="1"/>
  <c r="BL23" i="185" s="1"/>
  <c r="BF33" i="185" a="1"/>
  <c r="BF33" i="185" s="1"/>
  <c r="CD25" i="185"/>
  <c r="BD25" i="185" a="1"/>
  <c r="BD25" i="185" s="1"/>
  <c r="CK30" i="185"/>
  <c r="BK30" i="185" a="1"/>
  <c r="BK30" i="185" s="1"/>
  <c r="CH39" i="185"/>
  <c r="BH39" i="185" a="1"/>
  <c r="BH39" i="185" s="1"/>
  <c r="CG39" i="185"/>
  <c r="BG39" i="185" a="1"/>
  <c r="BG39" i="185" s="1"/>
  <c r="CG29" i="185"/>
  <c r="BG29" i="185" a="1"/>
  <c r="BG29" i="185" s="1"/>
  <c r="BG11" i="185" a="1"/>
  <c r="BG11" i="185" s="1"/>
  <c r="BJ20" i="185" a="1"/>
  <c r="BJ20" i="185" s="1"/>
  <c r="BL16" i="185" a="1"/>
  <c r="BL16" i="185" s="1"/>
  <c r="BL25" i="185" a="1"/>
  <c r="BL25" i="185" s="1"/>
  <c r="BI27" i="185" a="1"/>
  <c r="BI27" i="185" s="1"/>
  <c r="CT17" i="185"/>
  <c r="BE22" i="185" a="1"/>
  <c r="BE22" i="185" s="1"/>
  <c r="BI13" i="185" a="1"/>
  <c r="BI13" i="185" s="1"/>
  <c r="BD13" i="185" a="1"/>
  <c r="BD13" i="185" s="1"/>
  <c r="BG28" i="185" a="1"/>
  <c r="BG28" i="185" s="1"/>
  <c r="BJ8" i="185" a="1"/>
  <c r="BJ8" i="185" s="1"/>
  <c r="BI38" i="185" a="1"/>
  <c r="BI38" i="185" s="1"/>
  <c r="CZ28" i="185"/>
  <c r="DE26" i="185"/>
  <c r="CZ15" i="185"/>
  <c r="BZ31" i="185"/>
  <c r="CZ33" i="185"/>
  <c r="CZ18" i="185"/>
  <c r="CZ38" i="185"/>
  <c r="BN8" i="182"/>
  <c r="CZ10" i="185"/>
  <c r="BZ23" i="185"/>
  <c r="CZ8" i="185"/>
  <c r="CZ23" i="185"/>
  <c r="CZ16" i="185"/>
  <c r="CZ24" i="185"/>
  <c r="CZ25" i="185"/>
  <c r="CZ29" i="185"/>
  <c r="BZ30" i="185"/>
  <c r="CZ43" i="185"/>
  <c r="CZ35" i="185"/>
  <c r="DE39" i="185"/>
  <c r="BN42" i="182" s="1"/>
  <c r="DE23" i="185"/>
  <c r="BN26" i="182" s="1"/>
  <c r="BZ7" i="185"/>
  <c r="CZ30" i="185"/>
  <c r="CZ37" i="185"/>
  <c r="CZ41" i="185"/>
  <c r="CZ26" i="185"/>
  <c r="CZ44" i="185"/>
  <c r="DE40" i="185"/>
  <c r="BN43" i="182" s="1"/>
  <c r="BZ22" i="185"/>
  <c r="BZ37" i="185"/>
  <c r="BZ33" i="185"/>
  <c r="CZ22" i="185"/>
  <c r="DE14" i="185"/>
  <c r="BN17" i="182" s="1"/>
  <c r="DE25" i="185"/>
  <c r="BN28" i="182" s="1"/>
  <c r="DE20" i="185"/>
  <c r="BN23" i="182" s="1"/>
  <c r="DE12" i="185"/>
  <c r="BN15" i="182" s="1"/>
  <c r="DE36" i="185"/>
  <c r="BN39" i="182" s="1"/>
  <c r="DE6" i="185"/>
  <c r="BN9" i="182" s="1"/>
  <c r="BZ9" i="185"/>
  <c r="DE24" i="185"/>
  <c r="BN27" i="182" s="1"/>
  <c r="DE43" i="185"/>
  <c r="BN46" i="182" s="1"/>
  <c r="BZ28" i="185"/>
  <c r="BZ12" i="185"/>
  <c r="BZ24" i="185"/>
  <c r="CZ40" i="185"/>
  <c r="CZ7" i="185"/>
  <c r="CZ12" i="185"/>
  <c r="CZ9" i="185"/>
  <c r="DE15" i="185"/>
  <c r="BN18" i="182" s="1"/>
  <c r="DE35" i="185"/>
  <c r="BN38" i="182" s="1"/>
  <c r="DE10" i="185"/>
  <c r="BN13" i="182" s="1"/>
  <c r="BZ11" i="185"/>
  <c r="BZ39" i="185"/>
  <c r="BZ15" i="185"/>
  <c r="BZ25" i="185"/>
  <c r="CZ42" i="185"/>
  <c r="CZ31" i="185"/>
  <c r="CZ39" i="185"/>
  <c r="DE30" i="185"/>
  <c r="BN33" i="182" s="1"/>
  <c r="DE16" i="185"/>
  <c r="BN19" i="182" s="1"/>
  <c r="BZ18" i="185"/>
  <c r="BZ44" i="185"/>
  <c r="BZ19" i="185"/>
  <c r="BZ42" i="185"/>
  <c r="BZ41" i="185"/>
  <c r="BZ29" i="185"/>
  <c r="CZ6" i="185"/>
  <c r="CZ13" i="185"/>
  <c r="DE29" i="185"/>
  <c r="BN32" i="182" s="1"/>
  <c r="DE7" i="185"/>
  <c r="BN10" i="182" s="1"/>
  <c r="DE8" i="185"/>
  <c r="BN11" i="182" s="1"/>
  <c r="DE41" i="185"/>
  <c r="BN44" i="182" s="1"/>
  <c r="DE31" i="185"/>
  <c r="BN34" i="182" s="1"/>
  <c r="BZ16" i="185"/>
  <c r="CZ11" i="185"/>
  <c r="CZ21" i="185"/>
  <c r="DE17" i="185"/>
  <c r="BN20" i="182" s="1"/>
  <c r="DE18" i="185"/>
  <c r="BN21" i="182" s="1"/>
  <c r="DE19" i="185"/>
  <c r="BN22" i="182" s="1"/>
  <c r="DE13" i="185"/>
  <c r="BN16" i="182" s="1"/>
  <c r="DE22" i="185"/>
  <c r="BN25" i="182" s="1"/>
  <c r="BZ20" i="185"/>
  <c r="BZ38" i="185"/>
  <c r="BZ8" i="185"/>
  <c r="CZ20" i="185"/>
  <c r="CZ27" i="185"/>
  <c r="DE27" i="185"/>
  <c r="BN30" i="182" s="1"/>
  <c r="DE28" i="185"/>
  <c r="BN31" i="182" s="1"/>
  <c r="DE32" i="185"/>
  <c r="BN35" i="182" s="1"/>
  <c r="BZ40" i="185"/>
  <c r="BZ6" i="185"/>
  <c r="BZ21" i="185"/>
  <c r="BZ10" i="185"/>
  <c r="BZ27" i="185"/>
  <c r="BZ13" i="185"/>
  <c r="DE37" i="185"/>
  <c r="BN40" i="182" s="1"/>
  <c r="DE38" i="185"/>
  <c r="BN41" i="182" s="1"/>
  <c r="DE9" i="185"/>
  <c r="BN12" i="182" s="1"/>
  <c r="DE34" i="185"/>
  <c r="BN37" i="182" s="1"/>
  <c r="DE44" i="185"/>
  <c r="BN47" i="182" s="1"/>
  <c r="DE11" i="185"/>
  <c r="BN14" i="182" s="1"/>
  <c r="DE42" i="185"/>
  <c r="BN45" i="182" s="1"/>
  <c r="DE33" i="185"/>
  <c r="BN36" i="182" s="1"/>
  <c r="DE21" i="185"/>
  <c r="BN24" i="182" s="1"/>
  <c r="BZ26" i="185"/>
  <c r="BZ32" i="185"/>
  <c r="BZ43" i="185"/>
  <c r="BZ35" i="185"/>
  <c r="CZ19" i="185"/>
  <c r="CZ32" i="185"/>
  <c r="CB7" i="185"/>
  <c r="CB8" i="185"/>
  <c r="CB41" i="185"/>
  <c r="CB18" i="185"/>
  <c r="CB13" i="185"/>
  <c r="CB22" i="185"/>
  <c r="CB11" i="185"/>
  <c r="CB39" i="185"/>
  <c r="CB25" i="185"/>
  <c r="CB20" i="185"/>
  <c r="CB24" i="185"/>
  <c r="CB26" i="185"/>
  <c r="BN29" i="182"/>
  <c r="CB29" i="185"/>
  <c r="CB35" i="185"/>
  <c r="CB10" i="185"/>
  <c r="CB6" i="185"/>
  <c r="CB33" i="185"/>
  <c r="CF12" i="185"/>
  <c r="CB21" i="185"/>
  <c r="CF6" i="185"/>
  <c r="CK24" i="185"/>
  <c r="CK16" i="185"/>
  <c r="CF22" i="185"/>
  <c r="CJ9" i="185"/>
  <c r="CG16" i="185"/>
  <c r="CD19" i="185"/>
  <c r="CL29" i="185"/>
  <c r="CK41" i="185"/>
  <c r="CH18" i="185"/>
  <c r="CC35" i="185"/>
  <c r="CE16" i="185"/>
  <c r="CG18" i="185"/>
  <c r="CL40" i="185"/>
  <c r="CE29" i="185"/>
  <c r="CG44" i="185"/>
  <c r="CE6" i="185"/>
  <c r="CF44" i="185"/>
  <c r="CL31" i="185"/>
  <c r="CI24" i="185"/>
  <c r="CE31" i="185"/>
  <c r="CD18" i="185"/>
  <c r="CF26" i="185"/>
  <c r="CL35" i="185"/>
  <c r="CE24" i="185"/>
  <c r="CG26" i="185"/>
  <c r="CH20" i="185"/>
  <c r="CF30" i="185"/>
  <c r="CJ32" i="185"/>
  <c r="CH9" i="185"/>
  <c r="CI19" i="185"/>
  <c r="CH19" i="185"/>
  <c r="CE39" i="185"/>
  <c r="CK44" i="185"/>
  <c r="CG6" i="185"/>
  <c r="CB16" i="185"/>
  <c r="CG31" i="185"/>
  <c r="CF31" i="185"/>
  <c r="CE41" i="185"/>
  <c r="CL38" i="185"/>
  <c r="CE35" i="185"/>
  <c r="CH26" i="185"/>
  <c r="CH23" i="185"/>
  <c r="CH43" i="185"/>
  <c r="CD9" i="185"/>
  <c r="CH10" i="185"/>
  <c r="CB15" i="185"/>
  <c r="CH25" i="185"/>
  <c r="CC30" i="185"/>
  <c r="CD40" i="185"/>
  <c r="CK11" i="185"/>
  <c r="CD11" i="185"/>
  <c r="CB37" i="185"/>
  <c r="CF28" i="185"/>
  <c r="CD28" i="185"/>
  <c r="CE12" i="185"/>
  <c r="CK22" i="185"/>
  <c r="CC38" i="185"/>
  <c r="CD8" i="185"/>
  <c r="CL8" i="185"/>
  <c r="CC9" i="185"/>
  <c r="CD39" i="185"/>
  <c r="CI44" i="185"/>
  <c r="CK6" i="185"/>
  <c r="CH31" i="185"/>
  <c r="CD41" i="185"/>
  <c r="CL18" i="185"/>
  <c r="CJ33" i="185"/>
  <c r="CK43" i="185"/>
  <c r="CG35" i="185"/>
  <c r="CE23" i="185"/>
  <c r="CH15" i="185"/>
  <c r="CG10" i="185"/>
  <c r="CF25" i="185"/>
  <c r="CE25" i="185"/>
  <c r="CB30" i="185"/>
  <c r="CG40" i="185"/>
  <c r="CJ11" i="185"/>
  <c r="CL21" i="185"/>
  <c r="CC39" i="185"/>
  <c r="CK25" i="185"/>
  <c r="CG37" i="185"/>
  <c r="CI37" i="185"/>
  <c r="CH7" i="185"/>
  <c r="CJ7" i="185"/>
  <c r="CB27" i="185"/>
  <c r="CD27" i="185"/>
  <c r="CL32" i="185"/>
  <c r="CB31" i="185"/>
  <c r="CH24" i="185"/>
  <c r="CK38" i="185"/>
  <c r="CF19" i="185"/>
  <c r="CL24" i="185"/>
  <c r="CG24" i="185"/>
  <c r="CF41" i="185"/>
  <c r="CF18" i="185"/>
  <c r="CI33" i="185"/>
  <c r="CD35" i="185"/>
  <c r="CC26" i="185"/>
  <c r="CK20" i="185"/>
  <c r="CF15" i="185"/>
  <c r="CE11" i="185"/>
  <c r="CK21" i="185"/>
  <c r="CE21" i="185"/>
  <c r="CF21" i="185"/>
  <c r="CJ30" i="185"/>
  <c r="CH42" i="185"/>
  <c r="CI7" i="185"/>
  <c r="CG22" i="185"/>
  <c r="CH32" i="185"/>
  <c r="CB38" i="185"/>
  <c r="CI35" i="185"/>
  <c r="CK8" i="185"/>
  <c r="CF23" i="185"/>
  <c r="CC23" i="185"/>
  <c r="CB43" i="185"/>
  <c r="CI25" i="185"/>
  <c r="CI15" i="185"/>
  <c r="CJ21" i="185"/>
  <c r="CB44" i="185"/>
  <c r="CB28" i="185"/>
  <c r="CJ44" i="185"/>
  <c r="CG12" i="185"/>
  <c r="CC27" i="185"/>
  <c r="CH37" i="185"/>
  <c r="CH38" i="185"/>
  <c r="CH40" i="185"/>
  <c r="CK13" i="185"/>
  <c r="CF13" i="185"/>
  <c r="CF10" i="185"/>
  <c r="CK40" i="185"/>
  <c r="CK35" i="185"/>
  <c r="CJ43" i="185"/>
  <c r="CJ16" i="185"/>
  <c r="CC33" i="185"/>
  <c r="CK26" i="185"/>
  <c r="CB23" i="185"/>
  <c r="CI43" i="185"/>
  <c r="CF29" i="185"/>
  <c r="CI10" i="185"/>
  <c r="CG15" i="185"/>
  <c r="CD15" i="185"/>
  <c r="CC25" i="185"/>
  <c r="CB40" i="185"/>
  <c r="CC11" i="185"/>
  <c r="CC37" i="185"/>
  <c r="CH44" i="185"/>
  <c r="CG7" i="185"/>
  <c r="CD22" i="185"/>
  <c r="CI42" i="185"/>
  <c r="CF38" i="185"/>
  <c r="CH8" i="185"/>
  <c r="CH12" i="185"/>
  <c r="CL20" i="185"/>
  <c r="CG9" i="185"/>
  <c r="CD29" i="185"/>
  <c r="CL39" i="185"/>
  <c r="CC44" i="185"/>
  <c r="CF16" i="185"/>
  <c r="CJ41" i="185"/>
  <c r="CG43" i="185"/>
  <c r="CE10" i="185"/>
  <c r="CE15" i="185"/>
  <c r="CD12" i="185"/>
  <c r="CE7" i="185"/>
  <c r="CB12" i="185"/>
  <c r="CJ27" i="185"/>
  <c r="CD32" i="185"/>
  <c r="CC40" i="185"/>
  <c r="CK9" i="185"/>
  <c r="CJ31" i="185"/>
  <c r="CE18" i="185"/>
  <c r="CE30" i="185"/>
  <c r="CI21" i="185"/>
  <c r="CD21" i="185"/>
  <c r="CB42" i="185"/>
  <c r="CF7" i="185"/>
  <c r="CF42" i="185"/>
  <c r="CE38" i="185"/>
  <c r="CI8" i="185"/>
  <c r="CE19" i="185"/>
  <c r="CJ19" i="185"/>
  <c r="CB19" i="185"/>
  <c r="CK39" i="185"/>
  <c r="CJ6" i="185"/>
  <c r="CC6" i="185"/>
  <c r="CD16" i="185"/>
  <c r="CF35" i="185"/>
  <c r="CI26" i="185"/>
  <c r="CI40" i="185"/>
  <c r="CL11" i="185"/>
  <c r="CD7" i="185"/>
  <c r="CB32" i="185"/>
  <c r="CB9" i="185"/>
  <c r="CI31" i="185"/>
  <c r="CC41" i="185"/>
  <c r="CG20" i="185"/>
  <c r="CD30" i="185"/>
  <c r="CJ28" i="185"/>
  <c r="CJ10" i="185"/>
  <c r="CL22" i="185"/>
  <c r="CG8" i="185"/>
  <c r="CG41" i="185"/>
  <c r="CL10" i="185"/>
  <c r="CL15" i="185"/>
  <c r="CH21" i="185"/>
  <c r="CJ42" i="185"/>
  <c r="BZ5" i="185" l="1"/>
  <c r="BZ14" i="185"/>
  <c r="BJ8" i="182"/>
  <c r="BZ17" i="185"/>
  <c r="CZ34" i="185"/>
  <c r="BZ34" i="185"/>
  <c r="CZ14" i="185"/>
  <c r="CZ5" i="185"/>
  <c r="CZ17" i="185"/>
  <c r="CZ36" i="185"/>
  <c r="CM34" i="185"/>
  <c r="DC34" i="185" s="1"/>
  <c r="BM34" i="185"/>
  <c r="DB34" i="185" s="1"/>
  <c r="CM19" i="185"/>
  <c r="BM29" i="185"/>
  <c r="DB29" i="185" s="1"/>
  <c r="CM20" i="185"/>
  <c r="BM38" i="185"/>
  <c r="CM38" i="185"/>
  <c r="BM19" i="185"/>
  <c r="DB19" i="185" s="1"/>
  <c r="CM31" i="185"/>
  <c r="BM31" i="185"/>
  <c r="DB31" i="185" s="1"/>
  <c r="BM20" i="185"/>
  <c r="CM29" i="185"/>
  <c r="CM9" i="185"/>
  <c r="BM7" i="185"/>
  <c r="CM7" i="185"/>
  <c r="BM27" i="185"/>
  <c r="CM27" i="185"/>
  <c r="BM43" i="185"/>
  <c r="CM12" i="185"/>
  <c r="CM40" i="185"/>
  <c r="CM22" i="185"/>
  <c r="BM22" i="185"/>
  <c r="DB22" i="185" s="1"/>
  <c r="CM21" i="185"/>
  <c r="BM23" i="185"/>
  <c r="BK15" i="182" l="1"/>
  <c r="DC12" i="185"/>
  <c r="BK43" i="182"/>
  <c r="DC40" i="185"/>
  <c r="BK34" i="182"/>
  <c r="DC31" i="185"/>
  <c r="BK41" i="182"/>
  <c r="DC38" i="185"/>
  <c r="BK10" i="182"/>
  <c r="DC7" i="185"/>
  <c r="BK30" i="182"/>
  <c r="DC27" i="185"/>
  <c r="DB38" i="185"/>
  <c r="BK23" i="182"/>
  <c r="DC20" i="185"/>
  <c r="BK24" i="182"/>
  <c r="DC21" i="185"/>
  <c r="BK12" i="182"/>
  <c r="DC9" i="185"/>
  <c r="BK22" i="182"/>
  <c r="DC19" i="185"/>
  <c r="BK32" i="182"/>
  <c r="DC29" i="185"/>
  <c r="BK25" i="182"/>
  <c r="DC22" i="185"/>
  <c r="DB7" i="185"/>
  <c r="DB27" i="185"/>
  <c r="DB20" i="185"/>
  <c r="BJ26" i="182"/>
  <c r="BJ10" i="182"/>
  <c r="DD7" i="185"/>
  <c r="BJ32" i="182"/>
  <c r="DD29" i="185"/>
  <c r="BJ25" i="182"/>
  <c r="DD22" i="185"/>
  <c r="DD34" i="185"/>
  <c r="BL37" i="182" s="1"/>
  <c r="BJ23" i="182"/>
  <c r="DD20" i="185"/>
  <c r="BJ46" i="182"/>
  <c r="BJ34" i="182"/>
  <c r="DD31" i="185"/>
  <c r="BJ22" i="182"/>
  <c r="DD19" i="185"/>
  <c r="BJ30" i="182"/>
  <c r="DD27" i="185"/>
  <c r="BJ41" i="182"/>
  <c r="DD38" i="185"/>
  <c r="BJ37" i="182"/>
  <c r="BK37" i="182"/>
  <c r="BM30" i="185"/>
  <c r="BM39" i="185"/>
  <c r="CM39" i="185"/>
  <c r="CM43" i="185"/>
  <c r="BO48" i="182"/>
  <c r="BM12" i="185"/>
  <c r="DB12" i="185" s="1"/>
  <c r="CM30" i="185"/>
  <c r="CM17" i="185"/>
  <c r="BM33" i="185"/>
  <c r="DB33" i="185" s="1"/>
  <c r="BM41" i="185"/>
  <c r="BM9" i="185"/>
  <c r="DB9" i="185" s="1"/>
  <c r="BM16" i="185"/>
  <c r="CM33" i="185"/>
  <c r="CM11" i="185"/>
  <c r="CM14" i="185"/>
  <c r="BM40" i="185"/>
  <c r="DB40" i="185" s="1"/>
  <c r="CM36" i="185"/>
  <c r="BM26" i="185"/>
  <c r="CM18" i="185"/>
  <c r="CM13" i="185"/>
  <c r="BM37" i="185"/>
  <c r="CM37" i="185"/>
  <c r="CM23" i="185"/>
  <c r="BM13" i="185"/>
  <c r="CM8" i="185"/>
  <c r="BM25" i="185"/>
  <c r="BM44" i="185"/>
  <c r="BM18" i="185"/>
  <c r="CM6" i="185"/>
  <c r="CM41" i="185"/>
  <c r="BM8" i="185"/>
  <c r="DB8" i="185" s="1"/>
  <c r="CM25" i="185"/>
  <c r="CM44" i="185"/>
  <c r="CM24" i="185"/>
  <c r="BM24" i="185"/>
  <c r="CM28" i="185"/>
  <c r="BM17" i="185"/>
  <c r="BM11" i="185"/>
  <c r="DB11" i="185" s="1"/>
  <c r="BM21" i="185"/>
  <c r="DB21" i="185" s="1"/>
  <c r="CM35" i="185"/>
  <c r="CM16" i="185"/>
  <c r="BM35" i="185"/>
  <c r="BM36" i="185"/>
  <c r="CM26" i="185"/>
  <c r="BM14" i="185"/>
  <c r="CM5" i="185"/>
  <c r="BM32" i="185"/>
  <c r="CM32" i="185"/>
  <c r="CM10" i="185"/>
  <c r="BM42" i="185"/>
  <c r="CM42" i="185"/>
  <c r="CM15" i="185"/>
  <c r="BM10" i="185"/>
  <c r="BM15" i="185"/>
  <c r="BM28" i="185"/>
  <c r="BM6" i="185"/>
  <c r="BH37" i="182"/>
  <c r="BH8" i="182"/>
  <c r="F4" i="182"/>
  <c r="F6" i="182" s="1"/>
  <c r="DB30" i="185" l="1"/>
  <c r="DB39" i="185"/>
  <c r="DB35" i="185"/>
  <c r="BK18" i="182"/>
  <c r="DC15" i="185"/>
  <c r="BK28" i="182"/>
  <c r="DC25" i="185"/>
  <c r="BK45" i="182"/>
  <c r="DC42" i="185"/>
  <c r="BK19" i="182"/>
  <c r="DC16" i="185"/>
  <c r="DB37" i="185"/>
  <c r="BK38" i="182"/>
  <c r="DC35" i="185"/>
  <c r="BK16" i="182"/>
  <c r="DC13" i="185"/>
  <c r="BK20" i="182"/>
  <c r="DC17" i="185"/>
  <c r="BK40" i="182"/>
  <c r="DC37" i="185"/>
  <c r="DB42" i="185"/>
  <c r="BK44" i="182"/>
  <c r="DC41" i="185"/>
  <c r="BK13" i="182"/>
  <c r="DC10" i="185"/>
  <c r="BK21" i="182"/>
  <c r="DC18" i="185"/>
  <c r="BK35" i="182"/>
  <c r="DC32" i="185"/>
  <c r="BK27" i="182"/>
  <c r="DC24" i="185"/>
  <c r="BK39" i="182"/>
  <c r="DC36" i="185"/>
  <c r="BK33" i="182"/>
  <c r="DC30" i="185"/>
  <c r="BK31" i="182"/>
  <c r="DC28" i="185"/>
  <c r="DB28" i="185"/>
  <c r="BK11" i="182"/>
  <c r="DC8" i="185"/>
  <c r="BK17" i="182"/>
  <c r="DC14" i="185"/>
  <c r="DB15" i="185"/>
  <c r="BK29" i="182"/>
  <c r="DC26" i="185"/>
  <c r="BK14" i="182"/>
  <c r="DC11" i="185"/>
  <c r="BK46" i="182"/>
  <c r="BQ46" i="182" s="1"/>
  <c r="DC43" i="185"/>
  <c r="DB10" i="185"/>
  <c r="DB36" i="185"/>
  <c r="BK47" i="182"/>
  <c r="DC44" i="185"/>
  <c r="BK26" i="182"/>
  <c r="DC23" i="185"/>
  <c r="BK36" i="182"/>
  <c r="DC33" i="185"/>
  <c r="BK42" i="182"/>
  <c r="DC39" i="185"/>
  <c r="DD5" i="185"/>
  <c r="DF5" i="185" s="1"/>
  <c r="DC5" i="185"/>
  <c r="BK9" i="182"/>
  <c r="DC6" i="185"/>
  <c r="DB16" i="185"/>
  <c r="DB41" i="185"/>
  <c r="DB26" i="185"/>
  <c r="DB23" i="185"/>
  <c r="DB25" i="185"/>
  <c r="DB18" i="185"/>
  <c r="DB32" i="185"/>
  <c r="DD17" i="185"/>
  <c r="BL20" i="182" s="1"/>
  <c r="BO20" i="182" s="1"/>
  <c r="DB17" i="185"/>
  <c r="DB44" i="185"/>
  <c r="DB6" i="185"/>
  <c r="DD14" i="185"/>
  <c r="BL17" i="182" s="1"/>
  <c r="DB14" i="185"/>
  <c r="DB24" i="185"/>
  <c r="DB13" i="185"/>
  <c r="DB43" i="185"/>
  <c r="BJ21" i="182"/>
  <c r="DD18" i="185"/>
  <c r="BJ29" i="182"/>
  <c r="DD26" i="185"/>
  <c r="BJ28" i="182"/>
  <c r="DD25" i="185"/>
  <c r="BJ43" i="182"/>
  <c r="DD40" i="185"/>
  <c r="BL25" i="182"/>
  <c r="BO25" i="182" s="1"/>
  <c r="DF22" i="185"/>
  <c r="BJ31" i="182"/>
  <c r="DD28" i="185"/>
  <c r="BJ27" i="182"/>
  <c r="DD24" i="185"/>
  <c r="BL22" i="182"/>
  <c r="BO22" i="182" s="1"/>
  <c r="DF19" i="185"/>
  <c r="BL30" i="182"/>
  <c r="BO30" i="182" s="1"/>
  <c r="DF27" i="185"/>
  <c r="BJ9" i="182"/>
  <c r="DD6" i="185"/>
  <c r="BK8" i="182"/>
  <c r="BJ33" i="182"/>
  <c r="DD30" i="185"/>
  <c r="BL32" i="182"/>
  <c r="BO32" i="182" s="1"/>
  <c r="DF29" i="185"/>
  <c r="DD36" i="185"/>
  <c r="BL39" i="182" s="1"/>
  <c r="BO39" i="182" s="1"/>
  <c r="BJ38" i="182"/>
  <c r="DD35" i="185"/>
  <c r="BJ14" i="182"/>
  <c r="DD11" i="185"/>
  <c r="BJ35" i="182"/>
  <c r="DD32" i="185"/>
  <c r="BJ47" i="182"/>
  <c r="DD44" i="185"/>
  <c r="BJ13" i="182"/>
  <c r="DD10" i="185"/>
  <c r="BL34" i="182"/>
  <c r="BO34" i="182" s="1"/>
  <c r="DF31" i="185"/>
  <c r="BJ19" i="182"/>
  <c r="DD16" i="185"/>
  <c r="BO37" i="182"/>
  <c r="BL10" i="182"/>
  <c r="BO10" i="182" s="1"/>
  <c r="DF7" i="185"/>
  <c r="BJ11" i="182"/>
  <c r="DD8" i="185"/>
  <c r="BJ40" i="182"/>
  <c r="DD37" i="185"/>
  <c r="BJ12" i="182"/>
  <c r="DD9" i="185"/>
  <c r="DF34" i="185"/>
  <c r="DD43" i="185"/>
  <c r="BJ45" i="182"/>
  <c r="DD42" i="185"/>
  <c r="BJ44" i="182"/>
  <c r="DD41" i="185"/>
  <c r="DD23" i="185"/>
  <c r="BJ15" i="182"/>
  <c r="DD12" i="185"/>
  <c r="BJ18" i="182"/>
  <c r="DD15" i="185"/>
  <c r="BJ16" i="182"/>
  <c r="DD13" i="185"/>
  <c r="BJ24" i="182"/>
  <c r="DD21" i="185"/>
  <c r="BJ36" i="182"/>
  <c r="DD33" i="185"/>
  <c r="BJ42" i="182"/>
  <c r="DD39" i="185"/>
  <c r="BL41" i="182"/>
  <c r="BO41" i="182" s="1"/>
  <c r="DF38" i="185"/>
  <c r="BL23" i="182"/>
  <c r="BO23" i="182" s="1"/>
  <c r="DF20" i="185"/>
  <c r="BJ39" i="182"/>
  <c r="BJ20" i="182"/>
  <c r="BJ17" i="182"/>
  <c r="BQ41" i="182"/>
  <c r="BQ10" i="182"/>
  <c r="BQ26" i="182"/>
  <c r="G3" i="182"/>
  <c r="G4" i="182" s="1"/>
  <c r="H3" i="182" s="1"/>
  <c r="H4" i="182" s="1"/>
  <c r="I3" i="182" s="1"/>
  <c r="BQ22" i="182"/>
  <c r="BQ30" i="182"/>
  <c r="BQ34" i="182"/>
  <c r="BQ48" i="182"/>
  <c r="BQ25" i="182"/>
  <c r="BQ37" i="182"/>
  <c r="BQ23" i="182"/>
  <c r="BL8" i="182" l="1"/>
  <c r="BQ33" i="182"/>
  <c r="BQ17" i="182"/>
  <c r="DF14" i="185"/>
  <c r="DF17" i="185"/>
  <c r="BL9" i="182"/>
  <c r="BO9" i="182" s="1"/>
  <c r="DF6" i="185"/>
  <c r="BL42" i="182"/>
  <c r="BO42" i="182" s="1"/>
  <c r="DF39" i="185"/>
  <c r="BL43" i="182"/>
  <c r="BO43" i="182" s="1"/>
  <c r="DF40" i="185"/>
  <c r="BL44" i="182"/>
  <c r="BO44" i="182" s="1"/>
  <c r="DF41" i="185"/>
  <c r="BL11" i="182"/>
  <c r="BO11" i="182" s="1"/>
  <c r="DF8" i="185"/>
  <c r="BL28" i="182"/>
  <c r="BO28" i="182" s="1"/>
  <c r="DF25" i="185"/>
  <c r="BL26" i="182"/>
  <c r="BO26" i="182" s="1"/>
  <c r="DF23" i="185"/>
  <c r="DF36" i="185"/>
  <c r="BL12" i="182"/>
  <c r="BO12" i="182" s="1"/>
  <c r="DF9" i="185"/>
  <c r="BL15" i="182"/>
  <c r="BO15" i="182" s="1"/>
  <c r="DF12" i="185"/>
  <c r="BL36" i="182"/>
  <c r="BO36" i="182" s="1"/>
  <c r="DF33" i="185"/>
  <c r="BL13" i="182"/>
  <c r="BO13" i="182" s="1"/>
  <c r="DF10" i="185"/>
  <c r="BL45" i="182"/>
  <c r="BO45" i="182" s="1"/>
  <c r="DF42" i="185"/>
  <c r="BL24" i="182"/>
  <c r="BO24" i="182" s="1"/>
  <c r="DF21" i="185"/>
  <c r="BL47" i="182"/>
  <c r="BO47" i="182" s="1"/>
  <c r="DF44" i="185"/>
  <c r="BL33" i="182"/>
  <c r="BO33" i="182" s="1"/>
  <c r="DF30" i="185"/>
  <c r="BL27" i="182"/>
  <c r="DF24" i="185"/>
  <c r="BL29" i="182"/>
  <c r="BO29" i="182" s="1"/>
  <c r="DF26" i="185"/>
  <c r="BL16" i="182"/>
  <c r="BO16" i="182" s="1"/>
  <c r="DF13" i="185"/>
  <c r="BL35" i="182"/>
  <c r="BO35" i="182" s="1"/>
  <c r="DF32" i="185"/>
  <c r="BL46" i="182"/>
  <c r="BO46" i="182" s="1"/>
  <c r="DF43" i="185"/>
  <c r="BL31" i="182"/>
  <c r="DF28" i="185"/>
  <c r="BL21" i="182"/>
  <c r="DF18" i="185"/>
  <c r="BL38" i="182"/>
  <c r="BO38" i="182" s="1"/>
  <c r="DF35" i="185"/>
  <c r="BL40" i="182"/>
  <c r="BO40" i="182" s="1"/>
  <c r="DF37" i="185"/>
  <c r="BL18" i="182"/>
  <c r="BO18" i="182" s="1"/>
  <c r="DF15" i="185"/>
  <c r="BL19" i="182"/>
  <c r="BO19" i="182" s="1"/>
  <c r="DF16" i="185"/>
  <c r="BL14" i="182"/>
  <c r="BO14" i="182" s="1"/>
  <c r="DF11" i="185"/>
  <c r="BO8" i="182"/>
  <c r="BQ8" i="182"/>
  <c r="BO17" i="182"/>
  <c r="BQ35" i="182"/>
  <c r="BQ43" i="182"/>
  <c r="BQ31" i="182"/>
  <c r="BO31" i="182"/>
  <c r="BQ21" i="182"/>
  <c r="BO21" i="182"/>
  <c r="BQ9" i="182"/>
  <c r="BQ28" i="182"/>
  <c r="BQ45" i="182"/>
  <c r="BQ40" i="182"/>
  <c r="BQ47" i="182"/>
  <c r="BQ14" i="182"/>
  <c r="BQ11" i="182"/>
  <c r="BQ27" i="182"/>
  <c r="BO27" i="182"/>
  <c r="BQ20" i="182"/>
  <c r="G6" i="182"/>
  <c r="BQ39" i="182"/>
  <c r="BQ15" i="182"/>
  <c r="BQ36" i="182"/>
  <c r="BQ42" i="182"/>
  <c r="BQ18" i="182"/>
  <c r="BQ29" i="182"/>
  <c r="BQ24" i="182"/>
  <c r="BQ19" i="182"/>
  <c r="BQ16" i="182"/>
  <c r="BQ13" i="182"/>
  <c r="BQ44" i="182"/>
  <c r="BQ12" i="182"/>
  <c r="BQ38" i="182"/>
  <c r="H6" i="182"/>
  <c r="I4" i="182"/>
  <c r="J3" i="182" s="1"/>
  <c r="J4" i="182" l="1"/>
  <c r="K3" i="182" s="1"/>
  <c r="I6" i="182"/>
  <c r="K4" i="182" l="1"/>
  <c r="L3" i="182" s="1"/>
  <c r="J6" i="182"/>
  <c r="L4" i="182" l="1"/>
  <c r="M3" i="182" s="1"/>
  <c r="K6" i="182"/>
  <c r="M4" i="182" l="1"/>
  <c r="N3" i="182" s="1"/>
  <c r="L6" i="182"/>
  <c r="M6" i="182" l="1"/>
  <c r="N4" i="182"/>
  <c r="O3" i="182" s="1"/>
  <c r="N6" i="182" l="1"/>
  <c r="O4" i="182"/>
  <c r="P3" i="182" s="1"/>
  <c r="O6" i="182" l="1"/>
  <c r="P4" i="182"/>
  <c r="Q3" i="182" s="1"/>
  <c r="Q4" i="182" l="1"/>
  <c r="R3" i="182" s="1"/>
  <c r="P6" i="182"/>
  <c r="R4" i="182" l="1"/>
  <c r="S3" i="182" s="1"/>
  <c r="Q6" i="182"/>
  <c r="R6" i="182" l="1"/>
  <c r="S4" i="182"/>
  <c r="T3" i="182" s="1"/>
  <c r="T4" i="182" l="1"/>
  <c r="U3" i="182" s="1"/>
  <c r="S6" i="182"/>
  <c r="T6" i="182" l="1"/>
  <c r="U4" i="182"/>
  <c r="V3" i="182" s="1"/>
  <c r="U6" i="182"/>
  <c r="V4" i="182" l="1"/>
  <c r="W3" i="182" s="1"/>
  <c r="V6" i="182" l="1"/>
  <c r="W4" i="182"/>
  <c r="X3" i="182" s="1"/>
  <c r="W6" i="182" l="1"/>
  <c r="X4" i="182"/>
  <c r="Y3" i="182" s="1"/>
  <c r="X6" i="182" l="1"/>
  <c r="Y4" i="182"/>
  <c r="Z3" i="182" s="1"/>
  <c r="Y6" i="182"/>
  <c r="Z4" i="182" l="1"/>
  <c r="AA3" i="182" s="1"/>
  <c r="AA4" i="182" l="1"/>
  <c r="AB3" i="182" s="1"/>
  <c r="Z6" i="182"/>
  <c r="AB4" i="182" l="1"/>
  <c r="AC3" i="182" s="1"/>
  <c r="AA6" i="182"/>
  <c r="AB6" i="182" l="1"/>
  <c r="AC4" i="182"/>
  <c r="AD3" i="182" s="1"/>
  <c r="AD4" i="182" l="1"/>
  <c r="AE3" i="182" s="1"/>
  <c r="AC6" i="182"/>
  <c r="AE4" i="182" l="1"/>
  <c r="AF3" i="182" s="1"/>
  <c r="AD6" i="182"/>
  <c r="AF4" i="182" l="1"/>
  <c r="AG3" i="182" s="1"/>
  <c r="AE6" i="182"/>
  <c r="AG4" i="182" l="1"/>
  <c r="AH3" i="182" s="1"/>
  <c r="AF6" i="182"/>
  <c r="AG6" i="182" l="1"/>
  <c r="AH4" i="182"/>
  <c r="AI3" i="182" s="1"/>
  <c r="AI4" i="182" l="1"/>
  <c r="AJ3" i="182" s="1"/>
  <c r="AH6" i="182"/>
  <c r="AI6" i="182" l="1"/>
  <c r="AJ4" i="182"/>
  <c r="AK3" i="182" s="1"/>
  <c r="AJ6" i="182"/>
  <c r="AK4" i="182" l="1"/>
  <c r="AL3" i="182" s="1"/>
  <c r="AK6" i="182" l="1"/>
  <c r="AL4" i="182"/>
  <c r="AM3" i="182" s="1"/>
  <c r="AL6" i="182" l="1"/>
  <c r="AM4" i="182"/>
  <c r="AN3" i="182" s="1"/>
  <c r="AM6" i="182"/>
  <c r="AN4" i="182" l="1"/>
  <c r="AO3" i="182" s="1"/>
  <c r="AO4" i="182" l="1"/>
  <c r="AP3" i="182" s="1"/>
  <c r="AN6" i="182"/>
  <c r="AP4" i="182" l="1"/>
  <c r="AQ3" i="182" s="1"/>
  <c r="AO6" i="182"/>
  <c r="AP6" i="182" l="1"/>
  <c r="AQ4" i="182"/>
  <c r="AR3" i="182" s="1"/>
  <c r="AR4" i="182" l="1"/>
  <c r="AS3" i="182" s="1"/>
  <c r="AQ6" i="182"/>
  <c r="AR6" i="182" l="1"/>
  <c r="AS4" i="182"/>
  <c r="AT3" i="182" s="1"/>
  <c r="AS6" i="182" l="1"/>
  <c r="AT4" i="182"/>
  <c r="AU3" i="182" s="1"/>
  <c r="AU4" i="182" l="1"/>
  <c r="AV3" i="182" s="1"/>
  <c r="AT6" i="182"/>
  <c r="AV4" i="182" l="1"/>
  <c r="AW3" i="182" s="1"/>
  <c r="AU6" i="182"/>
  <c r="AV6" i="182" l="1"/>
  <c r="AW4" i="182"/>
  <c r="AX3" i="182" s="1"/>
  <c r="AW6" i="182" l="1"/>
  <c r="AX4" i="182"/>
  <c r="AY3" i="182" s="1"/>
  <c r="AX6" i="182" l="1"/>
  <c r="AY4" i="182"/>
  <c r="AZ3" i="182" s="1"/>
  <c r="AY6" i="182" l="1"/>
  <c r="AZ4" i="182"/>
  <c r="BA3" i="182" s="1"/>
  <c r="AZ6" i="182" l="1"/>
  <c r="BA4" i="182"/>
  <c r="BB3" i="182" s="1"/>
  <c r="BB4" i="182" l="1"/>
  <c r="BC3" i="182" s="1"/>
  <c r="BA6" i="182"/>
  <c r="BB6" i="182" l="1"/>
  <c r="BC4" i="182"/>
  <c r="BD3" i="182" s="1"/>
  <c r="BC6" i="182" l="1"/>
  <c r="BD4" i="182"/>
  <c r="BE3" i="182" s="1"/>
  <c r="BE4" i="182" s="1"/>
  <c r="BF3" i="182" s="1"/>
  <c r="BF4" i="182" l="1"/>
  <c r="BF6" i="182" s="1"/>
  <c r="BD6" i="1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Charlotte Badin</author>
  </authors>
  <commentList>
    <comment ref="AE45" authorId="0" shapeId="0" xr:uid="{1A71AA50-F857-401C-92B8-85E7C16FCE18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arrêt maladie
</t>
        </r>
      </text>
    </comment>
    <comment ref="AF45" authorId="0" shapeId="0" xr:uid="{C270AAD8-57BE-411D-904C-E4A90B7CCA37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arrêt maladie</t>
        </r>
      </text>
    </comment>
    <comment ref="AI45" authorId="0" shapeId="0" xr:uid="{65F7B85E-EA18-494C-BECB-C213D14A86C6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AM</t>
        </r>
      </text>
    </comment>
    <comment ref="AJ45" authorId="0" shapeId="0" xr:uid="{7DE91DCA-2A83-4F4B-9E3A-6B537611A65B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<sst xmlns="http://schemas.openxmlformats.org/spreadsheetml/2006/main" count="253" uniqueCount="158">
  <si>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</si>
  <si>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</si>
  <si>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</si>
  <si>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</si>
  <si>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</si>
  <si>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</si>
  <si>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</si>
  <si>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</si>
  <si>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</si>
  <si>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</si>
  <si>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</si>
  <si>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S16</t>
  </si>
  <si>
    <t>S25</t>
  </si>
  <si>
    <t>S26</t>
  </si>
  <si>
    <t>S27</t>
  </si>
  <si>
    <t>S30</t>
  </si>
  <si>
    <t>S31</t>
  </si>
  <si>
    <t>S32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</si>
  <si>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</si>
  <si>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</si>
  <si>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</si>
  <si>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</si>
  <si>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</si>
  <si>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</si>
  <si>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</si>
  <si>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</si>
  <si>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</si>
  <si>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</si>
  <si>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S47</t>
  </si>
  <si>
    <t>S48</t>
  </si>
  <si>
    <t>S49</t>
  </si>
  <si>
    <t>S50</t>
  </si>
  <si>
    <t>S51</t>
  </si>
  <si>
    <t>LECAPITAINE Angélique</t>
  </si>
  <si>
    <t>S14</t>
  </si>
  <si>
    <t>RECCHIA Laetitia</t>
  </si>
  <si>
    <t>S29</t>
  </si>
  <si>
    <t>ROBERT Cécile</t>
  </si>
  <si>
    <t>S1</t>
  </si>
  <si>
    <t>S45</t>
  </si>
  <si>
    <t>BONNERUE Sandrine</t>
  </si>
  <si>
    <t>COCHET Mélina</t>
  </si>
  <si>
    <t>TORRES Corinne</t>
  </si>
  <si>
    <t>BOUILLET Dominique</t>
  </si>
  <si>
    <t>CORTOT Catherine</t>
  </si>
  <si>
    <t>EL BOUKABOUTI Mamouch</t>
  </si>
  <si>
    <t>FENILLE Victoria</t>
  </si>
  <si>
    <t>GOYON Marie Christine</t>
  </si>
  <si>
    <t>TAMAIN Aline</t>
  </si>
  <si>
    <t>Ceci que les autres jours travaillés soient en Journée 40h ou en Equipe 37h</t>
  </si>
  <si>
    <t>GARCIA Béatrice</t>
  </si>
  <si>
    <t>S28</t>
  </si>
  <si>
    <t>S44</t>
  </si>
  <si>
    <t xml:space="preserve">Modification possible sous 4 semaines maximum.  </t>
  </si>
  <si>
    <t>BUFFY Stéphanie</t>
  </si>
  <si>
    <t>S13</t>
  </si>
  <si>
    <t>S15</t>
  </si>
  <si>
    <t>S17</t>
  </si>
  <si>
    <t>S18</t>
  </si>
  <si>
    <t>S19</t>
  </si>
  <si>
    <t>S20</t>
  </si>
  <si>
    <t>S21</t>
  </si>
  <si>
    <t>S22</t>
  </si>
  <si>
    <t>S23</t>
  </si>
  <si>
    <t>S24</t>
  </si>
  <si>
    <t>S33</t>
  </si>
  <si>
    <t>S46</t>
  </si>
  <si>
    <t>S52</t>
  </si>
  <si>
    <t>OUDAN Manon</t>
  </si>
  <si>
    <t>REMY Ancélia</t>
  </si>
  <si>
    <t>REVERCHON Margarida</t>
  </si>
  <si>
    <t>WALCH Vanessa </t>
  </si>
  <si>
    <t>ZEGHIDI Amel</t>
  </si>
  <si>
    <t>ROSSELLO Yasmina</t>
  </si>
  <si>
    <t>BUISSON Cassandra</t>
  </si>
  <si>
    <t>REVERDY Mattéo</t>
  </si>
  <si>
    <t xml:space="preserve">CANU Jason </t>
  </si>
  <si>
    <t>MERLE Benjamin</t>
  </si>
  <si>
    <t>BOUDIER Laure</t>
  </si>
  <si>
    <t>TROUDi Abdelhamid</t>
  </si>
  <si>
    <t>PACHECO Guillaume</t>
  </si>
  <si>
    <t>Service</t>
  </si>
  <si>
    <t>Production</t>
  </si>
  <si>
    <t>Contrat Base</t>
  </si>
  <si>
    <t>VALENTI Dorian</t>
  </si>
  <si>
    <t>REGLES DE SAISIE DU FICHIER</t>
  </si>
  <si>
    <t>Renseigner le service suivant le menu déroulant prévu à cet effet</t>
  </si>
  <si>
    <t>Renseigner le temps de travail du salarié</t>
  </si>
  <si>
    <t>Renseigner les heures semaines par semaines sans tenir compte de majoration, … Renseigner le nombre d'heure au 1/4 d'heure prêt</t>
  </si>
  <si>
    <t>Renseigner le temps restant au 31/12/ de l'année N-1</t>
  </si>
  <si>
    <t>Gestion du compteur de l'année N-1</t>
  </si>
  <si>
    <t>Renseigner selon l'accord du salarié le % de ce compteur de l'année N-1 qui sera pris en congés. Le % payé sera la différence</t>
  </si>
  <si>
    <t>Le type de majoration permet de conserver la règle et pour la partie "pris en congés", de faire le calcul déjà majoré pour le résultat</t>
  </si>
  <si>
    <t>Si les congés sont prises sur le compteur de l'année N-1, il faut venir indiquer la quantité prise dans la colonne BP</t>
  </si>
  <si>
    <t>L'information est à mettre en colonne BN.</t>
  </si>
  <si>
    <t>Venir ici inscire pour chaque semaine, pour chaque service, si il s'agit de modulation (U) ou d'heures majorées (M)</t>
  </si>
  <si>
    <t>Cette décision est prise par la direction en fonction de l'accord 35h en vigueur ou de décisions ponctuelles</t>
  </si>
  <si>
    <t>Le calcul des heures sup avec ou sans majoration en fonction du choix du tableau ci-dessus semaine par semaine, service par service, est fait dans ce tableau</t>
  </si>
  <si>
    <t>NE RIEN ECRIRE EN MANUEL ICI</t>
  </si>
  <si>
    <t>RESULTAT</t>
  </si>
  <si>
    <t>SUR CE TABLEAU, LE RESULTAT DES HEURES RESTANT A ETRE PRISES POUR L'ANNEE N-1</t>
  </si>
  <si>
    <t xml:space="preserve">ET </t>
  </si>
  <si>
    <t>LE NOMBRE D'HEURE A PRENDRE POUR L'ANNEE N</t>
  </si>
  <si>
    <t>Si des heures sont payées durant l'année N, il faut les déduire dans la colonne ci-dessous (colonne BL) sans majoration</t>
  </si>
  <si>
    <t>ALVES Sylvie</t>
  </si>
  <si>
    <t>TOTAL DES HEURES APRES MAJORATION</t>
  </si>
  <si>
    <t>Production CE</t>
  </si>
  <si>
    <r>
      <t xml:space="preserve">Règle identique pour paiement et récupération : de la 36ème heure à la 42ème heure incluse → majoration de 1.25; à partir de la 43ème heure </t>
    </r>
    <r>
      <rPr>
        <sz val="12"/>
        <rFont val="Calibri"/>
        <family val="2"/>
      </rPr>
      <t>→</t>
    </r>
    <r>
      <rPr>
        <sz val="12"/>
        <rFont val="Arial"/>
        <family val="2"/>
      </rPr>
      <t xml:space="preserve"> majoration de 1.5</t>
    </r>
  </si>
  <si>
    <t>NB HEURES RESTANT À RECUPERER (MAJORATION PRISE EN COMPTE)</t>
  </si>
  <si>
    <t>NB HEURES RECUPEREES SUR COMPTEUR DE 2024</t>
  </si>
  <si>
    <t>DUCERF Norbert</t>
  </si>
  <si>
    <t>Logistique</t>
  </si>
  <si>
    <t>COLLINS Tom</t>
  </si>
  <si>
    <t>FANGUIN Nadine</t>
  </si>
  <si>
    <t>LION Sylvie</t>
  </si>
  <si>
    <t>MARZOUGUI Sabri</t>
  </si>
  <si>
    <t>NB HEURES PAYEES (MAJORATION PRISE EN COMPTE)</t>
  </si>
  <si>
    <t>Document affiché chaque semaine au tableau d’affichage.</t>
  </si>
  <si>
    <t>BOLLET DURAFOUR Bérangère</t>
  </si>
  <si>
    <t>comparaison avec Feuille du détail</t>
  </si>
  <si>
    <t>NB HEURE SUP TOTAL ANNUEL</t>
  </si>
  <si>
    <t>PENINGUY Grégory</t>
  </si>
  <si>
    <t>LEMOINE Anthony</t>
  </si>
  <si>
    <t>PAIN Mélanie</t>
  </si>
  <si>
    <r>
      <t xml:space="preserve">Règle pour la modulation en cas de formation : 
</t>
    </r>
    <r>
      <rPr>
        <b/>
        <sz val="16"/>
        <rFont val="Arial"/>
        <family val="2"/>
      </rPr>
      <t>Compter une journée type de travail</t>
    </r>
  </si>
  <si>
    <t>BALLOT Lucas</t>
  </si>
  <si>
    <t>EVENTOVA Natalya</t>
  </si>
  <si>
    <t>Du LUNDI au JEUDI --&gt; 8,25h de Modulation</t>
  </si>
  <si>
    <t>Le VENDREDI --&gt; 8h de Modulation</t>
  </si>
  <si>
    <t>MONIN Margaux</t>
  </si>
  <si>
    <t>MODULATION 2025</t>
  </si>
  <si>
    <t>COMPTEUR MODUL 2025</t>
  </si>
  <si>
    <t>Règles pour la modulation en cas d'absence si semaine 33h ou 41h:</t>
  </si>
  <si>
    <t>S126</t>
  </si>
  <si>
    <t>MAJ le 28/01/2025</t>
  </si>
  <si>
    <t>min</t>
  </si>
  <si>
    <t>max</t>
  </si>
  <si>
    <t>horaires</t>
  </si>
  <si>
    <t>Total</t>
  </si>
  <si>
    <t>Heures faites</t>
  </si>
  <si>
    <t>Heure théorique</t>
  </si>
  <si>
    <t>Total majoré</t>
  </si>
  <si>
    <t>Déduction travail - prévu</t>
  </si>
  <si>
    <t>Aggregat sur 2 semaines - PRODUCTION</t>
  </si>
  <si>
    <t>Majoration à 1,25 - PRODUCTION</t>
  </si>
  <si>
    <t>Majoration à 1,5 - PRODUCTION</t>
  </si>
  <si>
    <t>Majoration à 1,25 - NON PRODUCTION</t>
  </si>
  <si>
    <t>NB HEURES MAJORE À 1,25</t>
  </si>
  <si>
    <t>NB HEURES MAJORE À 1,5</t>
  </si>
  <si>
    <t>Heures recupérées</t>
  </si>
  <si>
    <t>Différentiel heure - NON PRODUCTION</t>
  </si>
  <si>
    <t>Majoration à 1,5 - NON PRODUCTION</t>
  </si>
  <si>
    <t>Mise en forme</t>
  </si>
  <si>
    <t>vert</t>
  </si>
  <si>
    <t>orange</t>
  </si>
  <si>
    <t>rouge</t>
  </si>
  <si>
    <t>noire</t>
  </si>
  <si>
    <t>Total non majoré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</si>
</sst>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\ _F_-;\-* #,##0.00\ _F_-;_-* &quot;-&quot;??\ _F_-;_-@_-"/>
    <numFmt numFmtId="165" formatCode="0.0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2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u/>
      <sz val="18"/>
      <name val="Arial"/>
      <family val="2"/>
    </font>
    <font>
      <sz val="22"/>
      <name val="Arial"/>
      <family val="2"/>
    </font>
    <font>
      <sz val="1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2"/>
      <name val="Calibri"/>
      <family val="2"/>
    </font>
    <font>
      <b/>
      <sz val="26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u/>
      <sz val="14"/>
      <name val="Arial"/>
      <family val="2"/>
    </font>
    <font>
      <sz val="11"/>
      <color theme="1"/>
      <name val="Calibri"/>
      <family val="2"/>
    </font>
    <font>
      <b/>
      <sz val="8"/>
      <color rgb="FF00B0F0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theme="0" tint="-0.14999847407452621"/>
      <name val="Arial"/>
      <family val="2"/>
    </font>
    <font>
      <b/>
      <sz val="10"/>
      <color theme="0" tint="-0.1499984740745262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6" fillId="0" borderId="0"/>
    <xf numFmtId="0" fontId="24" fillId="4" borderId="32" applyNumberFormat="0" applyFont="0" applyAlignment="0" applyProtection="0"/>
  </cellStyleXfs>
  <cellXfs count="161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2" fillId="0" borderId="0" xfId="0" applyNumberFormat="1" applyFont="1" applyAlignment="1">
      <alignment wrapText="1"/>
    </xf>
    <xf numFmtId="165" fontId="0" fillId="0" borderId="0" xfId="0" applyNumberFormat="1"/>
    <xf numFmtId="0" fontId="25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165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14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65" fontId="6" fillId="0" borderId="0" xfId="0" applyNumberFormat="1" applyFont="1" applyAlignment="1">
      <alignment wrapText="1"/>
    </xf>
    <xf numFmtId="0" fontId="11" fillId="0" borderId="0" xfId="0" applyFont="1"/>
    <xf numFmtId="0" fontId="9" fillId="0" borderId="0" xfId="0" applyFont="1" applyAlignment="1">
      <alignment vertical="center"/>
    </xf>
    <xf numFmtId="0" fontId="10" fillId="0" borderId="33" xfId="0" applyFont="1" applyBorder="1" applyAlignment="1">
      <alignment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2" borderId="25" xfId="0" applyFont="1" applyFill="1" applyBorder="1" applyAlignment="1">
      <alignment horizontal="center" vertical="center" textRotation="90" wrapText="1"/>
    </xf>
    <xf numFmtId="0" fontId="6" fillId="0" borderId="0" xfId="0" applyFont="1"/>
    <xf numFmtId="0" fontId="15" fillId="0" borderId="0" xfId="0" applyFont="1"/>
    <xf numFmtId="0" fontId="16" fillId="0" borderId="0" xfId="0" applyFont="1"/>
    <xf numFmtId="0" fontId="8" fillId="2" borderId="23" xfId="0" applyFont="1" applyFill="1" applyBorder="1" applyAlignment="1">
      <alignment horizontal="center" vertical="center" textRotation="90" wrapText="1"/>
    </xf>
    <xf numFmtId="0" fontId="26" fillId="0" borderId="18" xfId="0" applyFont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2" fontId="8" fillId="13" borderId="1" xfId="0" applyNumberFormat="1" applyFont="1" applyFill="1" applyBorder="1" applyAlignment="1">
      <alignment horizontal="center" vertical="center" wrapText="1"/>
    </xf>
    <xf numFmtId="0" fontId="7" fillId="9" borderId="19" xfId="0" applyFont="1" applyFill="1" applyBorder="1" applyAlignment="1">
      <alignment horizontal="center" vertical="center" textRotation="90" wrapText="1"/>
    </xf>
    <xf numFmtId="0" fontId="8" fillId="13" borderId="17" xfId="0" applyFont="1" applyFill="1" applyBorder="1" applyAlignment="1">
      <alignment horizontal="center" vertical="center" textRotation="90" wrapText="1"/>
    </xf>
    <xf numFmtId="0" fontId="7" fillId="6" borderId="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7" fillId="0" borderId="26" xfId="0" applyFont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6" fillId="0" borderId="34" xfId="0" applyFont="1" applyBorder="1"/>
    <xf numFmtId="0" fontId="6" fillId="0" borderId="35" xfId="0" applyFont="1" applyBorder="1"/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7" fillId="6" borderId="5" xfId="0" applyFont="1" applyFill="1" applyBorder="1" applyAlignment="1">
      <alignment horizontal="center" vertical="center" wrapText="1"/>
    </xf>
    <xf numFmtId="14" fontId="7" fillId="0" borderId="0" xfId="0" applyNumberFormat="1" applyFont="1" applyAlignment="1">
      <alignment wrapText="1"/>
    </xf>
    <xf numFmtId="0" fontId="4" fillId="3" borderId="26" xfId="0" applyFont="1" applyFill="1" applyBorder="1" applyAlignment="1">
      <alignment vertical="center" wrapText="1"/>
    </xf>
    <xf numFmtId="0" fontId="4" fillId="3" borderId="29" xfId="0" applyFont="1" applyFill="1" applyBorder="1" applyAlignment="1">
      <alignment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horizontal="center" vertical="center" wrapText="1"/>
    </xf>
    <xf numFmtId="0" fontId="21" fillId="0" borderId="0" xfId="0" applyFont="1"/>
    <xf numFmtId="164" fontId="7" fillId="7" borderId="1" xfId="1" applyFont="1" applyFill="1" applyBorder="1" applyAlignment="1">
      <alignment horizontal="center" vertical="center" wrapText="1"/>
    </xf>
    <xf numFmtId="164" fontId="7" fillId="9" borderId="1" xfId="1" applyFont="1" applyFill="1" applyBorder="1" applyAlignment="1">
      <alignment horizontal="center" vertical="center" wrapText="1"/>
    </xf>
    <xf numFmtId="164" fontId="7" fillId="9" borderId="4" xfId="1" applyFont="1" applyFill="1" applyBorder="1" applyAlignment="1">
      <alignment horizontal="center" vertical="center" wrapText="1"/>
    </xf>
    <xf numFmtId="164" fontId="8" fillId="10" borderId="8" xfId="1" applyFont="1" applyFill="1" applyBorder="1" applyAlignment="1">
      <alignment horizontal="center" vertical="center" wrapText="1"/>
    </xf>
    <xf numFmtId="165" fontId="7" fillId="9" borderId="11" xfId="0" applyNumberFormat="1" applyFont="1" applyFill="1" applyBorder="1" applyAlignment="1">
      <alignment horizontal="center" vertical="center" textRotation="90" wrapText="1"/>
    </xf>
    <xf numFmtId="164" fontId="7" fillId="7" borderId="2" xfId="1" applyFont="1" applyFill="1" applyBorder="1" applyAlignment="1">
      <alignment horizontal="center" vertical="center" wrapText="1"/>
    </xf>
    <xf numFmtId="164" fontId="7" fillId="9" borderId="2" xfId="1" applyFont="1" applyFill="1" applyBorder="1" applyAlignment="1">
      <alignment horizontal="center" vertical="center" wrapText="1"/>
    </xf>
    <xf numFmtId="164" fontId="7" fillId="9" borderId="3" xfId="1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2" fontId="8" fillId="13" borderId="18" xfId="0" applyNumberFormat="1" applyFont="1" applyFill="1" applyBorder="1" applyAlignment="1">
      <alignment horizontal="center" vertical="center" wrapText="1"/>
    </xf>
    <xf numFmtId="2" fontId="8" fillId="13" borderId="4" xfId="0" applyNumberFormat="1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2" fontId="8" fillId="13" borderId="5" xfId="0" applyNumberFormat="1" applyFont="1" applyFill="1" applyBorder="1" applyAlignment="1">
      <alignment horizontal="center" vertical="center" wrapText="1"/>
    </xf>
    <xf numFmtId="0" fontId="8" fillId="14" borderId="23" xfId="0" applyFont="1" applyFill="1" applyBorder="1" applyAlignment="1">
      <alignment horizontal="center" vertical="center" textRotation="90" wrapText="1"/>
    </xf>
    <xf numFmtId="0" fontId="8" fillId="8" borderId="23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1" fontId="7" fillId="9" borderId="18" xfId="0" applyNumberFormat="1" applyFont="1" applyFill="1" applyBorder="1" applyAlignment="1">
      <alignment horizontal="center" vertical="center" textRotation="90" wrapText="1"/>
    </xf>
    <xf numFmtId="11" fontId="8" fillId="10" borderId="13" xfId="0" applyNumberFormat="1" applyFont="1" applyFill="1" applyBorder="1" applyAlignment="1">
      <alignment horizontal="center" vertical="center" textRotation="90" wrapText="1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1" fillId="0" borderId="47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0" fillId="0" borderId="47" xfId="0" applyBorder="1"/>
    <xf numFmtId="0" fontId="3" fillId="0" borderId="47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8" fillId="12" borderId="17" xfId="0" applyFont="1" applyFill="1" applyBorder="1" applyAlignment="1">
      <alignment horizontal="centerContinuous" vertical="center" wrapText="1"/>
    </xf>
    <xf numFmtId="0" fontId="18" fillId="12" borderId="26" xfId="0" applyFont="1" applyFill="1" applyBorder="1" applyAlignment="1">
      <alignment horizontal="centerContinuous" vertical="center" wrapText="1"/>
    </xf>
    <xf numFmtId="0" fontId="18" fillId="12" borderId="30" xfId="0" applyFont="1" applyFill="1" applyBorder="1" applyAlignment="1">
      <alignment horizontal="centerContinuous" vertical="center" wrapText="1"/>
    </xf>
    <xf numFmtId="164" fontId="7" fillId="9" borderId="20" xfId="1" applyFont="1" applyFill="1" applyBorder="1" applyAlignment="1">
      <alignment horizontal="center" vertical="center" wrapText="1"/>
    </xf>
    <xf numFmtId="164" fontId="7" fillId="9" borderId="21" xfId="1" applyFont="1" applyFill="1" applyBorder="1" applyAlignment="1">
      <alignment horizontal="center" vertical="center" wrapText="1"/>
    </xf>
    <xf numFmtId="164" fontId="8" fillId="10" borderId="9" xfId="1" applyFont="1" applyFill="1" applyBorder="1" applyAlignment="1">
      <alignment horizontal="center" vertical="center" wrapText="1"/>
    </xf>
    <xf numFmtId="0" fontId="8" fillId="11" borderId="17" xfId="0" applyFont="1" applyFill="1" applyBorder="1" applyAlignment="1">
      <alignment horizontal="center" vertical="center"/>
    </xf>
    <xf numFmtId="0" fontId="8" fillId="11" borderId="26" xfId="0" applyFont="1" applyFill="1" applyBorder="1" applyAlignment="1">
      <alignment horizontal="center" vertical="center"/>
    </xf>
    <xf numFmtId="0" fontId="8" fillId="11" borderId="30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29" xfId="0" applyFont="1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/>
    </xf>
    <xf numFmtId="0" fontId="7" fillId="12" borderId="10" xfId="0" applyFont="1" applyFill="1" applyBorder="1" applyAlignment="1">
      <alignment horizontal="center" vertical="top" wrapText="1"/>
    </xf>
    <xf numFmtId="0" fontId="7" fillId="12" borderId="0" xfId="0" applyFont="1" applyFill="1" applyAlignment="1">
      <alignment horizontal="center" vertical="top" wrapText="1"/>
    </xf>
    <xf numFmtId="0" fontId="7" fillId="12" borderId="24" xfId="0" applyFont="1" applyFill="1" applyBorder="1" applyAlignment="1">
      <alignment horizontal="center" vertical="top" wrapText="1"/>
    </xf>
    <xf numFmtId="0" fontId="7" fillId="12" borderId="7" xfId="0" applyFont="1" applyFill="1" applyBorder="1" applyAlignment="1">
      <alignment horizontal="center" vertical="top" wrapText="1"/>
    </xf>
    <xf numFmtId="0" fontId="7" fillId="12" borderId="29" xfId="0" applyFont="1" applyFill="1" applyBorder="1" applyAlignment="1">
      <alignment horizontal="center" vertical="top" wrapText="1"/>
    </xf>
    <xf numFmtId="0" fontId="7" fillId="12" borderId="16" xfId="0" applyFont="1" applyFill="1" applyBorder="1" applyAlignment="1">
      <alignment horizontal="center" vertical="top" wrapText="1"/>
    </xf>
    <xf numFmtId="0" fontId="7" fillId="6" borderId="21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10" fillId="0" borderId="38" xfId="0" applyFont="1" applyBorder="1" applyAlignment="1">
      <alignment horizontal="left" vertical="top"/>
    </xf>
    <xf numFmtId="0" fontId="10" fillId="0" borderId="39" xfId="0" applyFont="1" applyBorder="1" applyAlignment="1">
      <alignment horizontal="left" vertical="top"/>
    </xf>
    <xf numFmtId="0" fontId="10" fillId="0" borderId="40" xfId="0" applyFont="1" applyBorder="1" applyAlignment="1">
      <alignment horizontal="left" vertical="top"/>
    </xf>
    <xf numFmtId="0" fontId="7" fillId="6" borderId="20" xfId="0" applyFont="1" applyFill="1" applyBorder="1" applyAlignment="1">
      <alignment horizontal="center" vertical="center" wrapText="1"/>
    </xf>
    <xf numFmtId="0" fontId="7" fillId="6" borderId="22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7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48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43" fontId="7" fillId="0" borderId="0" xfId="0" applyNumberFormat="1" applyFont="1" applyAlignment="1">
      <alignment horizontal="center" vertical="center" wrapText="1"/>
    </xf>
    <xf numFmtId="0" fontId="0" fillId="0" borderId="47" xfId="0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5">
    <cellStyle name="Comma" xfId="1" builtinId="3"/>
    <cellStyle name="Normal" xfId="0" builtinId="0"/>
    <cellStyle name="Normal 2" xfId="2" xr:uid="{D845F676-2592-40B7-A39C-2F069C0F0AC1}"/>
    <cellStyle name="Normal 3" xfId="3" xr:uid="{3147709E-C999-41E8-95D6-F5E0B1550295}"/>
    <cellStyle name="Note" xfId="4" xr:uid="{097C990B-2FEA-4DF8-98B0-136DEF0DAD06}"/>
  </cellStyles>
  <dxfs count="22"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E78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704850</xdr:colOff>
      <xdr:row>3</xdr:row>
      <xdr:rowOff>171450</xdr:rowOff>
    </xdr:from>
    <xdr:to>
      <xdr:col>12</xdr:col>
      <xdr:colOff>447675</xdr:colOff>
      <xdr:row>25</xdr:row>
      <xdr:rowOff>142875</xdr:rowOff>
    </xdr:to>
    <xdr:pic>
      <xdr:nvPicPr>
        <xdr:cNvPr id="15026" name="Image 1">
          <a:extLst>
            <a:ext uri="{FF2B5EF4-FFF2-40B4-BE49-F238E27FC236}">
              <a16:creationId xmlns:a16="http://schemas.microsoft.com/office/drawing/2014/main" id="{92523897-543C-B044-12E2-EE93FB9B5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561975"/>
          <a:ext cx="8124825" cy="354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596265</xdr:colOff>
      <xdr:row>23</xdr:row>
      <xdr:rowOff>106680</xdr:rowOff>
    </xdr:from>
    <xdr:to>
      <xdr:col>2</xdr:col>
      <xdr:colOff>723049</xdr:colOff>
      <xdr:row>29</xdr:row>
      <xdr:rowOff>97234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C96B8052-384D-9F9B-8110-A8FB37B31458}"/>
            </a:ext>
          </a:extLst>
        </xdr:cNvPr>
        <xdr:cNvCxnSpPr/>
      </xdr:nvCxnSpPr>
      <xdr:spPr>
        <a:xfrm flipH="1" flipV="1">
          <a:off x="1257300" y="3825240"/>
          <a:ext cx="60960" cy="10058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685800</xdr:colOff>
      <xdr:row>23</xdr:row>
      <xdr:rowOff>41910</xdr:rowOff>
    </xdr:from>
    <xdr:to>
      <xdr:col>4</xdr:col>
      <xdr:colOff>2203</xdr:colOff>
      <xdr:row>35</xdr:row>
      <xdr:rowOff>20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F7AC2C78-EDCB-0A28-2BEB-ECE498F7EDDB}"/>
            </a:ext>
          </a:extLst>
        </xdr:cNvPr>
        <xdr:cNvCxnSpPr/>
      </xdr:nvCxnSpPr>
      <xdr:spPr>
        <a:xfrm flipH="1" flipV="1">
          <a:off x="2133600" y="3771900"/>
          <a:ext cx="106680" cy="2004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565785</xdr:colOff>
      <xdr:row>25</xdr:row>
      <xdr:rowOff>0</xdr:rowOff>
    </xdr:from>
    <xdr:to>
      <xdr:col>4</xdr:col>
      <xdr:colOff>644475</xdr:colOff>
      <xdr:row>31</xdr:row>
      <xdr:rowOff>0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DB0906A4-438A-43A1-25CA-F655BB701655}"/>
            </a:ext>
          </a:extLst>
        </xdr:cNvPr>
        <xdr:cNvCxnSpPr/>
      </xdr:nvCxnSpPr>
      <xdr:spPr>
        <a:xfrm flipH="1" flipV="1">
          <a:off x="2827020" y="3992880"/>
          <a:ext cx="60960" cy="10058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655320</xdr:colOff>
      <xdr:row>24</xdr:row>
      <xdr:rowOff>123825</xdr:rowOff>
    </xdr:from>
    <xdr:to>
      <xdr:col>6</xdr:col>
      <xdr:colOff>759945</xdr:colOff>
      <xdr:row>29</xdr:row>
      <xdr:rowOff>150572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C5923F10-7264-0D58-E4AA-D1BB039811A9}"/>
            </a:ext>
          </a:extLst>
        </xdr:cNvPr>
        <xdr:cNvCxnSpPr/>
      </xdr:nvCxnSpPr>
      <xdr:spPr>
        <a:xfrm flipH="1" flipV="1">
          <a:off x="4450080" y="4000500"/>
          <a:ext cx="335280" cy="861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619125</xdr:colOff>
      <xdr:row>40</xdr:row>
      <xdr:rowOff>114300</xdr:rowOff>
    </xdr:from>
    <xdr:to>
      <xdr:col>4</xdr:col>
      <xdr:colOff>485775</xdr:colOff>
      <xdr:row>66</xdr:row>
      <xdr:rowOff>158750</xdr:rowOff>
    </xdr:to>
    <xdr:pic>
      <xdr:nvPicPr>
        <xdr:cNvPr id="15031" name="Image 11">
          <a:extLst>
            <a:ext uri="{FF2B5EF4-FFF2-40B4-BE49-F238E27FC236}">
              <a16:creationId xmlns:a16="http://schemas.microsoft.com/office/drawing/2014/main" id="{62987CA4-076F-8313-D786-E9CAD0BAF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572250"/>
          <a:ext cx="2152650" cy="425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790575</xdr:colOff>
      <xdr:row>69</xdr:row>
      <xdr:rowOff>209550</xdr:rowOff>
    </xdr:from>
    <xdr:to>
      <xdr:col>8</xdr:col>
      <xdr:colOff>428625</xdr:colOff>
      <xdr:row>92</xdr:row>
      <xdr:rowOff>158750</xdr:rowOff>
    </xdr:to>
    <xdr:pic>
      <xdr:nvPicPr>
        <xdr:cNvPr id="15032" name="Image 12">
          <a:extLst>
            <a:ext uri="{FF2B5EF4-FFF2-40B4-BE49-F238E27FC236}">
              <a16:creationId xmlns:a16="http://schemas.microsoft.com/office/drawing/2014/main" id="{0FD54BBF-587B-BDC4-41EF-7E368D87E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1315700"/>
          <a:ext cx="5000625" cy="3724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704850</xdr:colOff>
      <xdr:row>91</xdr:row>
      <xdr:rowOff>114300</xdr:rowOff>
    </xdr:from>
    <xdr:to>
      <xdr:col>6</xdr:col>
      <xdr:colOff>819150</xdr:colOff>
      <xdr:row>113</xdr:row>
      <xdr:rowOff>158750</xdr:rowOff>
    </xdr:to>
    <xdr:pic>
      <xdr:nvPicPr>
        <xdr:cNvPr id="15033" name="Image 13">
          <a:extLst>
            <a:ext uri="{FF2B5EF4-FFF2-40B4-BE49-F238E27FC236}">
              <a16:creationId xmlns:a16="http://schemas.microsoft.com/office/drawing/2014/main" id="{1163A83E-38A2-AD46-0693-138E9237F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4830425"/>
          <a:ext cx="3867150" cy="3609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866775</xdr:colOff>
      <xdr:row>118</xdr:row>
      <xdr:rowOff>209550</xdr:rowOff>
    </xdr:from>
    <xdr:to>
      <xdr:col>5</xdr:col>
      <xdr:colOff>822325</xdr:colOff>
      <xdr:row>143</xdr:row>
      <xdr:rowOff>158750</xdr:rowOff>
    </xdr:to>
    <xdr:pic>
      <xdr:nvPicPr>
        <xdr:cNvPr id="15034" name="Image 14">
          <a:extLst>
            <a:ext uri="{FF2B5EF4-FFF2-40B4-BE49-F238E27FC236}">
              <a16:creationId xmlns:a16="http://schemas.microsoft.com/office/drawing/2014/main" id="{C3B366DB-50ED-4A77-FE57-C77C7C032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9288125"/>
          <a:ext cx="3048000" cy="404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127</xdr:row>
      <xdr:rowOff>142875</xdr:rowOff>
    </xdr:from>
    <xdr:to>
      <xdr:col>10</xdr:col>
      <xdr:colOff>2410</xdr:colOff>
      <xdr:row>154</xdr:row>
      <xdr:rowOff>158750</xdr:rowOff>
    </xdr:to>
    <xdr:pic>
      <xdr:nvPicPr>
        <xdr:cNvPr id="15035" name="Image 15">
          <a:extLst>
            <a:ext uri="{FF2B5EF4-FFF2-40B4-BE49-F238E27FC236}">
              <a16:creationId xmlns:a16="http://schemas.microsoft.com/office/drawing/2014/main" id="{8BCD9769-BA7F-0487-949D-975D651E3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9725" y="20726400"/>
          <a:ext cx="1524000" cy="439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473710</xdr:colOff>
      <xdr:row>48</xdr:row>
      <xdr:rowOff>122555</xdr:rowOff>
    </xdr:from>
    <xdr:to>
      <xdr:col>68</xdr:col>
      <xdr:colOff>473710</xdr:colOff>
      <xdr:row>53</xdr:row>
      <xdr:rowOff>240124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1870DA18-5B96-4CE4-BB80-649BCF311E61}"/>
            </a:ext>
          </a:extLst>
        </xdr:cNvPr>
        <xdr:cNvCxnSpPr/>
      </xdr:nvCxnSpPr>
      <xdr:spPr>
        <a:xfrm flipV="1">
          <a:off x="66958210" y="21391880"/>
          <a:ext cx="0" cy="1689194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Supply%20Chain/2%20-%20Planning/Planning/Planning%20personnel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ègles de saisie"/>
      <sheetName val="S01 2021"/>
      <sheetName val="S02 2021"/>
      <sheetName val="S03 2021"/>
      <sheetName val="S04 2021"/>
      <sheetName val="S05 2021"/>
      <sheetName val="S06 2021"/>
      <sheetName val="S07 2021"/>
      <sheetName val="S08 2021"/>
      <sheetName val="S09 2021"/>
      <sheetName val="S10 2021"/>
      <sheetName val="S11 2021"/>
      <sheetName val="S12 2021"/>
      <sheetName val="S13 2021"/>
      <sheetName val="S14 2021"/>
      <sheetName val="S15 2021"/>
      <sheetName val="S16 2021"/>
      <sheetName val="S17 2021"/>
      <sheetName val="S18 2021"/>
      <sheetName val="S19 2021"/>
      <sheetName val="S20 2021"/>
      <sheetName val="S21 2021"/>
      <sheetName val="S22 2021"/>
      <sheetName val="S23 2021"/>
      <sheetName val="S24 2021"/>
      <sheetName val="S25 2021"/>
      <sheetName val="S26 2021"/>
      <sheetName val="S27 2021"/>
      <sheetName val="S28 2021"/>
      <sheetName val="14 07 2021"/>
      <sheetName val="S29 2021"/>
      <sheetName val="S30 2021"/>
      <sheetName val="S33 2021"/>
      <sheetName val="S34 2021"/>
      <sheetName val="S35 2021 "/>
      <sheetName val="S36 2021"/>
      <sheetName val="S37 2021"/>
      <sheetName val="S38 2021"/>
      <sheetName val="S39 2021"/>
      <sheetName val="S40 2021"/>
      <sheetName val="S41 2021"/>
      <sheetName val="S42 2021"/>
      <sheetName val="S43 2021"/>
      <sheetName val="S44 2021"/>
      <sheetName val="S45 2021"/>
      <sheetName val="S46 2021"/>
      <sheetName val="S47 2021"/>
      <sheetName val="S48 2021"/>
      <sheetName val="S49 2021"/>
      <sheetName val="S50 2021"/>
      <sheetName val="S51 2021"/>
      <sheetName val="Feuil1"/>
      <sheetName val="VIERGE"/>
      <sheetName val="Horaire"/>
      <sheetName val="Interi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>
        <row r="3">
          <cell r="A3" t="str">
            <v xml:space="preserve">ATAY Hamidé </v>
          </cell>
        </row>
        <row r="4">
          <cell r="A4" t="str">
            <v>WALCH Vanessa </v>
          </cell>
        </row>
        <row r="5">
          <cell r="A5" t="str">
            <v>BERNARD Célia</v>
          </cell>
        </row>
        <row r="6">
          <cell r="A6" t="str">
            <v>AMIN DIT BELOT Kevin</v>
          </cell>
        </row>
        <row r="7">
          <cell r="A7" t="str">
            <v>CORDIER Christiane</v>
          </cell>
        </row>
        <row r="8">
          <cell r="A8" t="str">
            <v>YLMAZ Sibel</v>
          </cell>
        </row>
        <row r="9">
          <cell r="A9" t="str">
            <v>LAHAYE Aurore</v>
          </cell>
        </row>
        <row r="10">
          <cell r="A10" t="str">
            <v>MAIA Laura</v>
          </cell>
        </row>
        <row r="11">
          <cell r="A11" t="str">
            <v xml:space="preserve">MELLAC Hakima </v>
          </cell>
        </row>
        <row r="12">
          <cell r="A12" t="str">
            <v>BRON Ingrid</v>
          </cell>
        </row>
        <row r="13">
          <cell r="A13" t="str">
            <v>RICHARD Alexandre</v>
          </cell>
        </row>
        <row r="14">
          <cell r="A14" t="str">
            <v>VALENTI Oriana</v>
          </cell>
        </row>
        <row r="15">
          <cell r="A15" t="str">
            <v>SANTAMARIA Fouzia</v>
          </cell>
        </row>
        <row r="16">
          <cell r="A16" t="str">
            <v>REVERCHON Margarida</v>
          </cell>
        </row>
        <row r="17">
          <cell r="A17" t="str">
            <v xml:space="preserve">BASSET David </v>
          </cell>
        </row>
        <row r="18">
          <cell r="A18" t="str">
            <v>GUGELMANN Vanille</v>
          </cell>
        </row>
        <row r="19">
          <cell r="A19" t="str">
            <v>GATELET Lea</v>
          </cell>
        </row>
        <row r="20">
          <cell r="A20" t="str">
            <v>GUENIN Lisa</v>
          </cell>
        </row>
        <row r="21">
          <cell r="A21" t="str">
            <v>SLIMANI Samira</v>
          </cell>
        </row>
        <row r="22">
          <cell r="A22" t="str">
            <v>GRIFFOND Victoria</v>
          </cell>
        </row>
        <row r="23">
          <cell r="A23" t="str">
            <v xml:space="preserve">MULIERE Laura </v>
          </cell>
        </row>
        <row r="24">
          <cell r="A24" t="str">
            <v>RUDE Gilliane</v>
          </cell>
        </row>
        <row r="25">
          <cell r="A25" t="str">
            <v>CHARTON Clémence</v>
          </cell>
        </row>
        <row r="26">
          <cell r="A26" t="str">
            <v>RUDE Jennifer</v>
          </cell>
        </row>
        <row r="27">
          <cell r="A27" t="str">
            <v xml:space="preserve">NOUVIAN Wilhelmine </v>
          </cell>
        </row>
        <row r="28">
          <cell r="A28" t="str">
            <v>AKHRIF Ishène</v>
          </cell>
        </row>
        <row r="29">
          <cell r="A29" t="str">
            <v>ZEGHIDI Amel</v>
          </cell>
        </row>
        <row r="30">
          <cell r="A30" t="str">
            <v>GIRAUD Estelle</v>
          </cell>
        </row>
        <row r="31">
          <cell r="A31" t="str">
            <v>NECTOUX Océane</v>
          </cell>
        </row>
        <row r="32">
          <cell r="A32" t="str">
            <v>GAUTHIER Océane</v>
          </cell>
        </row>
        <row r="33">
          <cell r="A33" t="str">
            <v>BRIDON Océane</v>
          </cell>
        </row>
        <row r="34">
          <cell r="A34" t="str">
            <v xml:space="preserve">CORDIER Floriane </v>
          </cell>
        </row>
        <row r="35">
          <cell r="A35" t="str">
            <v xml:space="preserve">PEREIRA Marie Thérèse </v>
          </cell>
        </row>
        <row r="36">
          <cell r="A36" t="str">
            <v>El MAHI Fatima</v>
          </cell>
        </row>
        <row r="37">
          <cell r="A37" t="str">
            <v>BARBET Marie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4E2DA-B824-4BED-950A-5210CEAAB3E9}">
  <sheetPr codeName="Feuil7">
    <tabColor rgb="FF92D050"/>
  </sheetPr>
  <dimension ref="B1:L126"/>
  <sheetViews>
    <sheetView showGridLines="0" zoomScale="110" workbookViewId="0">
      <selection activeCell="M143" sqref="M143"/>
    </sheetView>
  </sheetViews>
  <sheetFormatPr baseColWidth="10" defaultRowHeight="13" x14ac:dyDescent="0.15"/>
  <cols>
    <col min="1" max="1" width="1.33203125" customWidth="1"/>
  </cols>
  <sheetData>
    <row r="1" spans="2:8" ht="5.5" customHeight="1" thickBot="1" x14ac:dyDescent="0.2"/>
    <row r="2" spans="2:8" x14ac:dyDescent="0.15">
      <c r="B2" s="110" t="s">
        <v>85</v>
      </c>
      <c r="C2" s="111"/>
      <c r="D2" s="111"/>
      <c r="E2" s="111"/>
      <c r="F2" s="111"/>
      <c r="G2" s="111"/>
      <c r="H2" s="112"/>
    </row>
    <row r="3" spans="2:8" ht="14" thickBot="1" x14ac:dyDescent="0.2">
      <c r="B3" s="113"/>
      <c r="C3" s="114"/>
      <c r="D3" s="114"/>
      <c r="E3" s="114"/>
      <c r="F3" s="114"/>
      <c r="G3" s="114"/>
      <c r="H3" s="115"/>
    </row>
    <row r="29" spans="2:12" ht="14" thickBot="1" x14ac:dyDescent="0.2"/>
    <row r="30" spans="2:12" ht="14" thickBot="1" x14ac:dyDescent="0.2">
      <c r="H30" s="116" t="s">
        <v>88</v>
      </c>
      <c r="I30" s="122"/>
      <c r="J30" s="122"/>
      <c r="K30" s="122"/>
      <c r="L30" s="117"/>
    </row>
    <row r="31" spans="2:12" ht="14" thickBot="1" x14ac:dyDescent="0.2">
      <c r="B31" s="116" t="s">
        <v>86</v>
      </c>
      <c r="C31" s="117"/>
      <c r="H31" s="118"/>
      <c r="I31" s="123"/>
      <c r="J31" s="123"/>
      <c r="K31" s="123"/>
      <c r="L31" s="119"/>
    </row>
    <row r="32" spans="2:12" ht="14" customHeight="1" thickBot="1" x14ac:dyDescent="0.2">
      <c r="B32" s="118"/>
      <c r="C32" s="119"/>
      <c r="E32" s="116" t="s">
        <v>89</v>
      </c>
      <c r="F32" s="117"/>
      <c r="H32" s="120"/>
      <c r="I32" s="124"/>
      <c r="J32" s="124"/>
      <c r="K32" s="124"/>
      <c r="L32" s="121"/>
    </row>
    <row r="33" spans="2:6" x14ac:dyDescent="0.15">
      <c r="B33" s="118"/>
      <c r="C33" s="119"/>
      <c r="E33" s="118"/>
      <c r="F33" s="119"/>
    </row>
    <row r="34" spans="2:6" ht="14" thickBot="1" x14ac:dyDescent="0.2">
      <c r="B34" s="120"/>
      <c r="C34" s="121"/>
      <c r="E34" s="120"/>
      <c r="F34" s="121"/>
    </row>
    <row r="35" spans="2:6" ht="14" thickBot="1" x14ac:dyDescent="0.2"/>
    <row r="36" spans="2:6" x14ac:dyDescent="0.15">
      <c r="D36" s="116" t="s">
        <v>87</v>
      </c>
      <c r="E36" s="117"/>
    </row>
    <row r="37" spans="2:6" x14ac:dyDescent="0.15">
      <c r="D37" s="118"/>
      <c r="E37" s="119"/>
    </row>
    <row r="38" spans="2:6" ht="14" thickBot="1" x14ac:dyDescent="0.2">
      <c r="D38" s="120"/>
      <c r="E38" s="121"/>
    </row>
    <row r="42" spans="2:6" x14ac:dyDescent="0.15">
      <c r="F42" s="28" t="s">
        <v>90</v>
      </c>
    </row>
    <row r="43" spans="2:6" x14ac:dyDescent="0.15">
      <c r="F43" s="27" t="s">
        <v>91</v>
      </c>
    </row>
    <row r="44" spans="2:6" x14ac:dyDescent="0.15">
      <c r="F44" s="27" t="s">
        <v>94</v>
      </c>
    </row>
    <row r="46" spans="2:6" x14ac:dyDescent="0.15">
      <c r="F46" s="27" t="s">
        <v>92</v>
      </c>
    </row>
    <row r="48" spans="2:6" x14ac:dyDescent="0.15">
      <c r="F48" s="27" t="s">
        <v>93</v>
      </c>
    </row>
    <row r="71" spans="10:10" x14ac:dyDescent="0.15">
      <c r="J71" s="27" t="s">
        <v>95</v>
      </c>
    </row>
    <row r="72" spans="10:10" x14ac:dyDescent="0.15">
      <c r="J72" s="27" t="s">
        <v>96</v>
      </c>
    </row>
    <row r="95" spans="8:8" x14ac:dyDescent="0.15">
      <c r="H95" s="27" t="s">
        <v>97</v>
      </c>
    </row>
    <row r="96" spans="8:8" x14ac:dyDescent="0.15">
      <c r="H96" s="28" t="s">
        <v>98</v>
      </c>
    </row>
    <row r="117" spans="2:8" ht="16" x14ac:dyDescent="0.2">
      <c r="B117" s="29" t="s">
        <v>99</v>
      </c>
    </row>
    <row r="122" spans="2:8" x14ac:dyDescent="0.15">
      <c r="H122" s="27" t="s">
        <v>100</v>
      </c>
    </row>
    <row r="123" spans="2:8" x14ac:dyDescent="0.15">
      <c r="H123" s="27" t="s">
        <v>101</v>
      </c>
    </row>
    <row r="124" spans="2:8" x14ac:dyDescent="0.15">
      <c r="H124" s="27" t="s">
        <v>102</v>
      </c>
    </row>
    <row r="126" spans="2:8" x14ac:dyDescent="0.15">
      <c r="H126" s="27" t="s">
        <v>103</v>
      </c>
    </row>
  </sheetData>
  <mergeCells count="5">
    <mergeCell ref="B2:H3"/>
    <mergeCell ref="B31:C34"/>
    <mergeCell ref="D36:E38"/>
    <mergeCell ref="H30:L32"/>
    <mergeCell ref="E32:F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040FD-65E1-9048-BF8D-0AF89DE7E832}">
  <sheetPr codeName="Sheet1"/>
  <dimension ref="B2:G14"/>
  <sheetViews>
    <sheetView showGridLines="0" zoomScale="140" workbookViewId="0">
      <selection activeCell="C24" sqref="C24"/>
    </sheetView>
  </sheetViews>
  <sheetFormatPr baseColWidth="10" defaultRowHeight="13" x14ac:dyDescent="0.15"/>
  <cols>
    <col min="1" max="1" width="5.33203125" customWidth="1"/>
    <col min="2" max="2" width="12.33203125" style="80" bestFit="1" customWidth="1"/>
    <col min="3" max="7" width="10.83203125" style="80"/>
  </cols>
  <sheetData>
    <row r="2" spans="2:6" x14ac:dyDescent="0.15">
      <c r="B2" s="96" t="s">
        <v>137</v>
      </c>
    </row>
    <row r="3" spans="2:6" x14ac:dyDescent="0.15">
      <c r="C3" s="97" t="s">
        <v>135</v>
      </c>
      <c r="D3" s="97" t="s">
        <v>136</v>
      </c>
      <c r="F3" s="82"/>
    </row>
    <row r="4" spans="2:6" x14ac:dyDescent="0.15">
      <c r="B4" s="80" t="s">
        <v>106</v>
      </c>
      <c r="C4" s="90">
        <v>39</v>
      </c>
      <c r="D4" s="91">
        <v>39</v>
      </c>
      <c r="F4" s="82"/>
    </row>
    <row r="5" spans="2:6" x14ac:dyDescent="0.15">
      <c r="B5" s="80" t="s">
        <v>82</v>
      </c>
      <c r="C5" s="92">
        <v>33</v>
      </c>
      <c r="D5" s="93">
        <v>41</v>
      </c>
      <c r="F5" s="82"/>
    </row>
    <row r="6" spans="2:6" x14ac:dyDescent="0.15">
      <c r="B6" s="80" t="s">
        <v>111</v>
      </c>
      <c r="C6" s="94">
        <v>39</v>
      </c>
      <c r="D6" s="95">
        <v>39</v>
      </c>
    </row>
    <row r="9" spans="2:6" x14ac:dyDescent="0.15">
      <c r="B9" s="96" t="s">
        <v>152</v>
      </c>
    </row>
    <row r="11" spans="2:6" ht="14" x14ac:dyDescent="0.15">
      <c r="B11" s="103" t="s">
        <v>153</v>
      </c>
      <c r="C11" s="80">
        <v>0</v>
      </c>
      <c r="D11" s="80">
        <v>120</v>
      </c>
    </row>
    <row r="12" spans="2:6" ht="14" x14ac:dyDescent="0.15">
      <c r="B12" s="103" t="s">
        <v>154</v>
      </c>
      <c r="C12" s="80">
        <f>D11</f>
        <v>120</v>
      </c>
      <c r="D12" s="80">
        <v>170</v>
      </c>
    </row>
    <row r="13" spans="2:6" ht="14" x14ac:dyDescent="0.15">
      <c r="B13" s="103" t="s">
        <v>155</v>
      </c>
      <c r="C13" s="80">
        <f>D12</f>
        <v>170</v>
      </c>
      <c r="D13" s="80">
        <v>220</v>
      </c>
    </row>
    <row r="14" spans="2:6" ht="14" x14ac:dyDescent="0.15">
      <c r="B14" s="103" t="s">
        <v>156</v>
      </c>
      <c r="C14" s="80">
        <f>D13</f>
        <v>220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F820B-5AAE-8148-82F2-148275FA6B8B}">
  <dimension ref="B1:DF45"/>
  <sheetViews>
    <sheetView showGridLines="0" topLeftCell="C1" zoomScale="132" workbookViewId="0">
      <selection activeCell="AF10" sqref="AF10"/>
    </sheetView>
  </sheetViews>
  <sheetFormatPr baseColWidth="10" defaultRowHeight="13" outlineLevelCol="1" x14ac:dyDescent="0.15"/>
  <cols>
    <col min="2" max="2" width="24" bestFit="1" customWidth="1"/>
    <col min="3" max="3" width="11" bestFit="1" customWidth="1"/>
    <col min="4" max="4" width="10.1640625" bestFit="1" customWidth="1"/>
    <col min="5" max="5" width="6.6640625" bestFit="1" customWidth="1"/>
    <col min="6" max="15" width="4.5" bestFit="1" customWidth="1"/>
    <col min="16" max="16" width="5.33203125" customWidth="1"/>
    <col min="17" max="19" width="5" customWidth="1" outlineLevel="1"/>
    <col min="20" max="20" width="4.5" customWidth="1" outlineLevel="1"/>
    <col min="21" max="21" width="5" customWidth="1" outlineLevel="1"/>
    <col min="22" max="22" width="4.5" customWidth="1" outlineLevel="1"/>
    <col min="23" max="25" width="4.6640625" customWidth="1" outlineLevel="1"/>
    <col min="26" max="27" width="4.83203125" customWidth="1" outlineLevel="1"/>
    <col min="28" max="28" width="5.5" customWidth="1"/>
    <col min="29" max="29" width="7.33203125" customWidth="1" outlineLevel="1"/>
    <col min="30" max="30" width="6.6640625" bestFit="1" customWidth="1" outlineLevel="1"/>
    <col min="31" max="31" width="5.6640625" bestFit="1" customWidth="1" outlineLevel="1"/>
    <col min="32" max="32" width="6.6640625" bestFit="1" customWidth="1" outlineLevel="1"/>
    <col min="33" max="33" width="5.6640625" bestFit="1" customWidth="1" outlineLevel="1"/>
    <col min="34" max="34" width="6.6640625" bestFit="1" customWidth="1" outlineLevel="1"/>
    <col min="35" max="35" width="5.6640625" bestFit="1" customWidth="1" outlineLevel="1"/>
    <col min="36" max="36" width="6.6640625" bestFit="1" customWidth="1" outlineLevel="1"/>
    <col min="37" max="37" width="5.6640625" bestFit="1" customWidth="1" outlineLevel="1"/>
    <col min="38" max="38" width="6.6640625" bestFit="1" customWidth="1" outlineLevel="1"/>
    <col min="39" max="39" width="5.6640625" bestFit="1" customWidth="1" outlineLevel="1"/>
    <col min="40" max="40" width="5" customWidth="1"/>
    <col min="41" max="43" width="4.1640625" bestFit="1" customWidth="1" outlineLevel="1"/>
    <col min="44" max="48" width="3.33203125" bestFit="1" customWidth="1" outlineLevel="1"/>
    <col min="49" max="51" width="4.33203125" bestFit="1" customWidth="1" outlineLevel="1"/>
    <col min="52" max="52" width="5.33203125" customWidth="1" outlineLevel="1"/>
    <col min="53" max="53" width="6.33203125" customWidth="1"/>
    <col min="54" max="54" width="8" customWidth="1" outlineLevel="1"/>
    <col min="55" max="55" width="6.1640625" customWidth="1" outlineLevel="1"/>
    <col min="56" max="56" width="4.33203125" customWidth="1" outlineLevel="1"/>
    <col min="57" max="61" width="4.1640625" customWidth="1" outlineLevel="1"/>
    <col min="62" max="64" width="4.5" customWidth="1" outlineLevel="1"/>
    <col min="65" max="65" width="5.6640625" customWidth="1" outlineLevel="1"/>
    <col min="66" max="66" width="4.33203125" customWidth="1"/>
    <col min="67" max="67" width="4.1640625" customWidth="1" outlineLevel="1"/>
    <col min="68" max="74" width="3.33203125" customWidth="1" outlineLevel="1"/>
    <col min="75" max="77" width="4.33203125" customWidth="1" outlineLevel="1"/>
    <col min="78" max="78" width="5.1640625" customWidth="1" outlineLevel="1"/>
    <col min="79" max="79" width="5.33203125" customWidth="1"/>
    <col min="80" max="80" width="4.1640625" customWidth="1" outlineLevel="1"/>
    <col min="81" max="87" width="3.33203125" customWidth="1" outlineLevel="1"/>
    <col min="88" max="90" width="4.33203125" customWidth="1" outlineLevel="1"/>
    <col min="91" max="91" width="5.1640625" customWidth="1" outlineLevel="1"/>
    <col min="92" max="92" width="5.33203125" customWidth="1"/>
    <col min="93" max="94" width="4.1640625" style="80" bestFit="1" customWidth="1" outlineLevel="1"/>
    <col min="95" max="100" width="3.33203125" style="80" bestFit="1" customWidth="1" outlineLevel="1"/>
    <col min="101" max="103" width="4.33203125" style="80" bestFit="1" customWidth="1" outlineLevel="1"/>
    <col min="104" max="104" width="5.1640625" style="80" bestFit="1" customWidth="1" outlineLevel="1"/>
    <col min="105" max="105" width="5.1640625" style="80" customWidth="1"/>
    <col min="106" max="106" width="14.6640625" bestFit="1" customWidth="1"/>
    <col min="107" max="107" width="14.6640625" customWidth="1"/>
    <col min="108" max="108" width="11" style="80" bestFit="1" customWidth="1"/>
    <col min="109" max="109" width="15.33203125" style="80" bestFit="1" customWidth="1"/>
    <col min="110" max="110" width="21.1640625" style="80" bestFit="1" customWidth="1"/>
  </cols>
  <sheetData>
    <row r="1" spans="2:110" x14ac:dyDescent="0.15">
      <c r="DB1" s="160" t="s">
        <v>157</v>
      </c>
      <c r="DC1" s="160"/>
    </row>
    <row r="2" spans="2:110" s="100" customFormat="1" ht="14" thickBot="1" x14ac:dyDescent="0.2">
      <c r="B2" s="98"/>
      <c r="C2" s="98"/>
      <c r="D2" s="98"/>
      <c r="E2" s="125" t="s">
        <v>139</v>
      </c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98"/>
      <c r="Q2" s="125" t="s">
        <v>140</v>
      </c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99"/>
      <c r="AC2" s="125" t="s">
        <v>143</v>
      </c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01"/>
      <c r="AO2" s="125" t="s">
        <v>150</v>
      </c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01"/>
      <c r="BB2" s="125" t="s">
        <v>144</v>
      </c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98"/>
      <c r="BO2" s="125" t="s">
        <v>146</v>
      </c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98"/>
      <c r="CB2" s="125" t="s">
        <v>145</v>
      </c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O2" s="125" t="s">
        <v>151</v>
      </c>
      <c r="CP2" s="125"/>
      <c r="CQ2" s="125"/>
      <c r="CR2" s="125"/>
      <c r="CS2" s="125"/>
      <c r="CT2" s="125"/>
      <c r="CU2" s="125"/>
      <c r="CV2" s="125"/>
      <c r="CW2" s="125"/>
      <c r="CX2" s="125"/>
      <c r="CY2" s="125"/>
      <c r="CZ2" s="125"/>
      <c r="DA2" s="101"/>
      <c r="DB2" s="159">
        <f>BB3</f>
        <v>1.25</v>
      </c>
      <c r="DC2" s="98">
        <f>CB3</f>
        <v>1.5</v>
      </c>
      <c r="DD2" s="101" t="s">
        <v>141</v>
      </c>
      <c r="DE2" s="101" t="s">
        <v>149</v>
      </c>
      <c r="DF2" s="101" t="s">
        <v>142</v>
      </c>
    </row>
    <row r="3" spans="2:110" ht="14" thickTop="1" x14ac:dyDescent="0.15">
      <c r="B3" s="82"/>
      <c r="C3" s="82"/>
      <c r="D3" s="82"/>
      <c r="E3" s="80"/>
      <c r="F3" s="80"/>
      <c r="G3" s="80"/>
      <c r="H3" s="80"/>
      <c r="I3" s="80"/>
      <c r="J3" s="80"/>
      <c r="Z3" s="86"/>
      <c r="AA3" s="86"/>
      <c r="AB3" s="86"/>
      <c r="AC3" s="154">
        <v>1</v>
      </c>
      <c r="AD3" s="154" t="b">
        <f>MOD(COLUMN(),2)=$AC$3</f>
        <v>0</v>
      </c>
      <c r="AE3" s="154" t="b">
        <f t="shared" ref="AE3:AM3" si="0">MOD(COLUMN(),2)=$AC$3</f>
        <v>1</v>
      </c>
      <c r="AF3" s="154" t="b">
        <f t="shared" si="0"/>
        <v>0</v>
      </c>
      <c r="AG3" s="154" t="b">
        <f t="shared" si="0"/>
        <v>1</v>
      </c>
      <c r="AH3" s="154" t="b">
        <f t="shared" si="0"/>
        <v>0</v>
      </c>
      <c r="AI3" s="154" t="b">
        <f t="shared" si="0"/>
        <v>1</v>
      </c>
      <c r="AJ3" s="154" t="b">
        <f t="shared" si="0"/>
        <v>0</v>
      </c>
      <c r="AK3" s="154" t="b">
        <f t="shared" si="0"/>
        <v>1</v>
      </c>
      <c r="AL3" s="154" t="b">
        <f t="shared" si="0"/>
        <v>0</v>
      </c>
      <c r="AM3" s="154" t="b">
        <f t="shared" si="0"/>
        <v>1</v>
      </c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B3" s="155">
        <v>1.25</v>
      </c>
      <c r="BC3" s="155">
        <v>43</v>
      </c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155">
        <v>1.5</v>
      </c>
      <c r="CC3" s="80"/>
      <c r="CD3" s="80"/>
      <c r="CE3" s="80"/>
      <c r="CF3" s="80"/>
      <c r="CG3" s="80"/>
      <c r="CH3" s="80"/>
      <c r="CI3" s="80"/>
      <c r="CJ3" s="80"/>
      <c r="CK3" s="80"/>
      <c r="CL3" s="80"/>
      <c r="CO3" s="102">
        <v>1.5</v>
      </c>
    </row>
    <row r="4" spans="2:110" s="36" customFormat="1" ht="14" x14ac:dyDescent="0.15">
      <c r="B4" s="83"/>
      <c r="C4" s="83" t="str">
        <f>'MODU 2025'!C7</f>
        <v>Service</v>
      </c>
      <c r="D4" s="83" t="str">
        <f>'MODU 2025'!D7</f>
        <v>Contrat Base</v>
      </c>
      <c r="E4" s="84" t="str">
        <f>'MODU 2025'!G7</f>
        <v>S2</v>
      </c>
      <c r="F4" s="84" t="str">
        <f>'MODU 2025'!H7</f>
        <v>S3</v>
      </c>
      <c r="G4" s="84" t="str">
        <f>'MODU 2025'!I7</f>
        <v>S4</v>
      </c>
      <c r="H4" s="84" t="str">
        <f>'MODU 2025'!J7</f>
        <v>S5</v>
      </c>
      <c r="I4" s="84" t="str">
        <f>'MODU 2025'!K7</f>
        <v>S6</v>
      </c>
      <c r="J4" s="84" t="str">
        <f>'MODU 2025'!L7</f>
        <v>S7</v>
      </c>
      <c r="K4" s="84" t="str">
        <f>'MODU 2025'!M7</f>
        <v>S8</v>
      </c>
      <c r="L4" s="84" t="str">
        <f>'MODU 2025'!N7</f>
        <v>S9</v>
      </c>
      <c r="M4" s="84" t="str">
        <f>'MODU 2025'!O7</f>
        <v>S10</v>
      </c>
      <c r="N4" s="84" t="str">
        <f>'MODU 2025'!P7</f>
        <v>S11</v>
      </c>
      <c r="O4" s="84" t="str">
        <f>'MODU 2025'!Q7</f>
        <v>S12</v>
      </c>
      <c r="P4" s="84"/>
      <c r="Q4" s="84" t="s">
        <v>0</v>
      </c>
      <c r="R4" s="84" t="s">
        <v>1</v>
      </c>
      <c r="S4" s="84" t="s">
        <v>2</v>
      </c>
      <c r="T4" s="84" t="s">
        <v>3</v>
      </c>
      <c r="U4" s="84" t="s">
        <v>4</v>
      </c>
      <c r="V4" s="84" t="s">
        <v>5</v>
      </c>
      <c r="W4" s="84" t="s">
        <v>6</v>
      </c>
      <c r="X4" s="84" t="s">
        <v>7</v>
      </c>
      <c r="Y4" s="84" t="s">
        <v>8</v>
      </c>
      <c r="Z4" s="84" t="s">
        <v>9</v>
      </c>
      <c r="AA4" s="84" t="s">
        <v>10</v>
      </c>
      <c r="AB4" s="84"/>
      <c r="AC4" s="42" t="str">
        <f t="shared" ref="AC4:AM4" si="1">E4</f>
        <v>S2</v>
      </c>
      <c r="AD4" s="42" t="str">
        <f t="shared" si="1"/>
        <v>S3</v>
      </c>
      <c r="AE4" s="42" t="str">
        <f t="shared" si="1"/>
        <v>S4</v>
      </c>
      <c r="AF4" s="42" t="str">
        <f t="shared" si="1"/>
        <v>S5</v>
      </c>
      <c r="AG4" s="42" t="str">
        <f t="shared" si="1"/>
        <v>S6</v>
      </c>
      <c r="AH4" s="42" t="str">
        <f t="shared" si="1"/>
        <v>S7</v>
      </c>
      <c r="AI4" s="42" t="str">
        <f t="shared" si="1"/>
        <v>S8</v>
      </c>
      <c r="AJ4" s="42" t="str">
        <f t="shared" si="1"/>
        <v>S9</v>
      </c>
      <c r="AK4" s="42" t="str">
        <f t="shared" si="1"/>
        <v>S10</v>
      </c>
      <c r="AL4" s="42" t="str">
        <f t="shared" si="1"/>
        <v>S11</v>
      </c>
      <c r="AM4" s="42" t="str">
        <f t="shared" si="1"/>
        <v>S12</v>
      </c>
      <c r="AN4" s="42"/>
      <c r="AO4" s="42" t="str">
        <f t="shared" ref="AO4" si="2">Q4</f>
        <v>S2</v>
      </c>
      <c r="AP4" s="42" t="str">
        <f t="shared" ref="AP4" si="3">R4</f>
        <v>S3</v>
      </c>
      <c r="AQ4" s="42" t="str">
        <f t="shared" ref="AQ4" si="4">S4</f>
        <v>S4</v>
      </c>
      <c r="AR4" s="42" t="str">
        <f t="shared" ref="AR4" si="5">T4</f>
        <v>S5</v>
      </c>
      <c r="AS4" s="42" t="str">
        <f t="shared" ref="AS4" si="6">U4</f>
        <v>S6</v>
      </c>
      <c r="AT4" s="42" t="str">
        <f t="shared" ref="AT4" si="7">V4</f>
        <v>S7</v>
      </c>
      <c r="AU4" s="42" t="str">
        <f t="shared" ref="AU4" si="8">W4</f>
        <v>S8</v>
      </c>
      <c r="AV4" s="42" t="str">
        <f t="shared" ref="AV4" si="9">X4</f>
        <v>S9</v>
      </c>
      <c r="AW4" s="42" t="str">
        <f t="shared" ref="AW4" si="10">Y4</f>
        <v>S10</v>
      </c>
      <c r="AX4" s="42" t="str">
        <f t="shared" ref="AX4" si="11">Z4</f>
        <v>S11</v>
      </c>
      <c r="AY4" s="42" t="str">
        <f t="shared" ref="AY4" si="12">AA4</f>
        <v>S12</v>
      </c>
      <c r="AZ4" s="42" t="s">
        <v>138</v>
      </c>
      <c r="BA4" s="35"/>
      <c r="BB4" s="42" t="str">
        <f>Q4</f>
        <v>S2</v>
      </c>
      <c r="BC4" s="42" t="str">
        <f>R4</f>
        <v>S3</v>
      </c>
      <c r="BD4" s="42" t="str">
        <f>S4</f>
        <v>S4</v>
      </c>
      <c r="BE4" s="42" t="str">
        <f>T4</f>
        <v>S5</v>
      </c>
      <c r="BF4" s="42" t="str">
        <f>U4</f>
        <v>S6</v>
      </c>
      <c r="BG4" s="42" t="str">
        <f>V4</f>
        <v>S7</v>
      </c>
      <c r="BH4" s="42" t="str">
        <f>W4</f>
        <v>S8</v>
      </c>
      <c r="BI4" s="42" t="str">
        <f>X4</f>
        <v>S9</v>
      </c>
      <c r="BJ4" s="42" t="str">
        <f>Y4</f>
        <v>S10</v>
      </c>
      <c r="BK4" s="42" t="str">
        <f>Z4</f>
        <v>S11</v>
      </c>
      <c r="BL4" s="42" t="str">
        <f>AA4</f>
        <v>S12</v>
      </c>
      <c r="BM4" s="42" t="s">
        <v>138</v>
      </c>
      <c r="BN4" s="42"/>
      <c r="BO4" s="42" t="str">
        <f>Q4</f>
        <v>S2</v>
      </c>
      <c r="BP4" s="42" t="str">
        <f>R4</f>
        <v>S3</v>
      </c>
      <c r="BQ4" s="42" t="str">
        <f>S4</f>
        <v>S4</v>
      </c>
      <c r="BR4" s="42" t="str">
        <f>T4</f>
        <v>S5</v>
      </c>
      <c r="BS4" s="42" t="str">
        <f>U4</f>
        <v>S6</v>
      </c>
      <c r="BT4" s="42" t="str">
        <f>V4</f>
        <v>S7</v>
      </c>
      <c r="BU4" s="42" t="str">
        <f>W4</f>
        <v>S8</v>
      </c>
      <c r="BV4" s="42" t="str">
        <f>X4</f>
        <v>S9</v>
      </c>
      <c r="BW4" s="42" t="str">
        <f>Y4</f>
        <v>S10</v>
      </c>
      <c r="BX4" s="42" t="str">
        <f>Z4</f>
        <v>S11</v>
      </c>
      <c r="BY4" s="42" t="str">
        <f>AA4</f>
        <v>S12</v>
      </c>
      <c r="BZ4" s="42" t="s">
        <v>138</v>
      </c>
      <c r="CA4" s="42"/>
      <c r="CB4" s="42" t="str">
        <f>AC4</f>
        <v>S2</v>
      </c>
      <c r="CC4" s="42" t="str">
        <f>AD4</f>
        <v>S3</v>
      </c>
      <c r="CD4" s="42" t="str">
        <f>AE4</f>
        <v>S4</v>
      </c>
      <c r="CE4" s="42" t="str">
        <f>AF4</f>
        <v>S5</v>
      </c>
      <c r="CF4" s="42" t="str">
        <f>AG4</f>
        <v>S6</v>
      </c>
      <c r="CG4" s="42" t="str">
        <f>AH4</f>
        <v>S7</v>
      </c>
      <c r="CH4" s="42" t="str">
        <f>AI4</f>
        <v>S8</v>
      </c>
      <c r="CI4" s="42" t="str">
        <f>AJ4</f>
        <v>S9</v>
      </c>
      <c r="CJ4" s="42" t="str">
        <f>AK4</f>
        <v>S10</v>
      </c>
      <c r="CK4" s="42" t="str">
        <f>AL4</f>
        <v>S11</v>
      </c>
      <c r="CL4" s="42" t="str">
        <f>AM4</f>
        <v>S12</v>
      </c>
      <c r="CM4" s="87" t="s">
        <v>138</v>
      </c>
      <c r="CO4" s="42" t="str">
        <f>CB4</f>
        <v>S2</v>
      </c>
      <c r="CP4" s="42" t="str">
        <f t="shared" ref="CP4:CZ4" si="13">CC4</f>
        <v>S3</v>
      </c>
      <c r="CQ4" s="42" t="str">
        <f t="shared" si="13"/>
        <v>S4</v>
      </c>
      <c r="CR4" s="42" t="str">
        <f t="shared" si="13"/>
        <v>S5</v>
      </c>
      <c r="CS4" s="42" t="str">
        <f t="shared" si="13"/>
        <v>S6</v>
      </c>
      <c r="CT4" s="42" t="str">
        <f t="shared" si="13"/>
        <v>S7</v>
      </c>
      <c r="CU4" s="42" t="str">
        <f t="shared" si="13"/>
        <v>S8</v>
      </c>
      <c r="CV4" s="42" t="str">
        <f t="shared" si="13"/>
        <v>S9</v>
      </c>
      <c r="CW4" s="42" t="str">
        <f t="shared" si="13"/>
        <v>S10</v>
      </c>
      <c r="CX4" s="42" t="str">
        <f t="shared" si="13"/>
        <v>S11</v>
      </c>
      <c r="CY4" s="42" t="str">
        <f t="shared" si="13"/>
        <v>S12</v>
      </c>
      <c r="CZ4" s="42" t="str">
        <f t="shared" si="13"/>
        <v>Total</v>
      </c>
      <c r="DA4" s="42"/>
      <c r="DB4" s="87"/>
      <c r="DC4" s="87"/>
      <c r="DD4" s="87"/>
      <c r="DF4" s="87" t="s">
        <v>138</v>
      </c>
    </row>
    <row r="5" spans="2:110" x14ac:dyDescent="0.15">
      <c r="B5" s="83" t="str">
        <f>'MODU 2025'!B8</f>
        <v>ALVES Sylvie</v>
      </c>
      <c r="C5" s="83" t="str">
        <f>'MODU 2025'!C8</f>
        <v>Production CE</v>
      </c>
      <c r="D5" s="83">
        <f>'MODU 2025'!D8</f>
        <v>39</v>
      </c>
      <c r="E5" s="83">
        <f>'MODU 2025'!G8</f>
        <v>42</v>
      </c>
      <c r="F5" s="156">
        <f>'MODU 2025'!H8</f>
        <v>42</v>
      </c>
      <c r="G5" s="83">
        <f>'MODU 2025'!I8</f>
        <v>42</v>
      </c>
      <c r="H5" s="83">
        <f>'MODU 2025'!J8</f>
        <v>42</v>
      </c>
      <c r="I5" s="83">
        <f>'MODU 2025'!K8</f>
        <v>39</v>
      </c>
      <c r="J5" s="83">
        <f>'MODU 2025'!L8</f>
        <v>39</v>
      </c>
      <c r="K5" s="83">
        <f>'MODU 2025'!M8</f>
        <v>39</v>
      </c>
      <c r="L5" s="83">
        <f>'MODU 2025'!N8</f>
        <v>39</v>
      </c>
      <c r="M5" s="83">
        <f>'MODU 2025'!O8</f>
        <v>39</v>
      </c>
      <c r="N5" s="83">
        <f>'MODU 2025'!P8</f>
        <v>39</v>
      </c>
      <c r="O5" s="83">
        <f>'MODU 2025'!Q8</f>
        <v>39</v>
      </c>
      <c r="P5" s="85"/>
      <c r="Q5" s="85">
        <f>IF(MOD(COLUMN(),2)=0,INDEX(paramètres!$C$4:$C$6,MATCH($C5,paramètres!$B$4:$B$6,0)),INDEX(paramètres!$D$4:$D$6,MATCH($C5,paramètres!$B$4:$B$6,0)))</f>
        <v>39</v>
      </c>
      <c r="R5" s="85">
        <f>IF(MOD(COLUMN(),2)=0,INDEX(paramètres!$C$4:$C$6,MATCH($C5,paramètres!$B$4:$B$6,0)),INDEX(paramètres!$D$4:$D$6,MATCH($C5,paramètres!$B$4:$B$6,0)))</f>
        <v>39</v>
      </c>
      <c r="S5" s="85">
        <f>IF(MOD(COLUMN(),2)=0,INDEX(paramètres!$C$4:$C$6,MATCH($C5,paramètres!$B$4:$B$6,0)),INDEX(paramètres!$D$4:$D$6,MATCH($C5,paramètres!$B$4:$B$6,0)))</f>
        <v>39</v>
      </c>
      <c r="T5" s="85">
        <f>IF(MOD(COLUMN(),2)=0,INDEX(paramètres!$C$4:$C$6,MATCH($C5,paramètres!$B$4:$B$6,0)),INDEX(paramètres!$D$4:$D$6,MATCH($C5,paramètres!$B$4:$B$6,0)))</f>
        <v>39</v>
      </c>
      <c r="U5" s="85">
        <f>IF(MOD(COLUMN(),2)=0,INDEX(paramètres!$C$4:$C$6,MATCH($C5,paramètres!$B$4:$B$6,0)),INDEX(paramètres!$D$4:$D$6,MATCH($C5,paramètres!$B$4:$B$6,0)))</f>
        <v>39</v>
      </c>
      <c r="V5" s="85">
        <f>IF(MOD(COLUMN(),2)=0,INDEX(paramètres!$C$4:$C$6,MATCH($C5,paramètres!$B$4:$B$6,0)),INDEX(paramètres!$D$4:$D$6,MATCH($C5,paramètres!$B$4:$B$6,0)))</f>
        <v>39</v>
      </c>
      <c r="W5" s="85">
        <f>IF(MOD(COLUMN(),2)=0,INDEX(paramètres!$C$4:$C$6,MATCH($C5,paramètres!$B$4:$B$6,0)),INDEX(paramètres!$D$4:$D$6,MATCH($C5,paramètres!$B$4:$B$6,0)))</f>
        <v>39</v>
      </c>
      <c r="X5" s="85">
        <f>IF(MOD(COLUMN(),2)=0,INDEX(paramètres!$C$4:$C$6,MATCH($C5,paramètres!$B$4:$B$6,0)),INDEX(paramètres!$D$4:$D$6,MATCH($C5,paramètres!$B$4:$B$6,0)))</f>
        <v>39</v>
      </c>
      <c r="Y5" s="85">
        <f>IF(MOD(COLUMN(),2)=0,INDEX(paramètres!$C$4:$C$6,MATCH($C5,paramètres!$B$4:$B$6,0)),INDEX(paramètres!$D$4:$D$6,MATCH($C5,paramètres!$B$4:$B$6,0)))</f>
        <v>39</v>
      </c>
      <c r="Z5" s="85">
        <f>IF(MOD(COLUMN(),2)=0,INDEX(paramètres!$C$4:$C$6,MATCH($C5,paramètres!$B$4:$B$6,0)),INDEX(paramètres!$D$4:$D$6,MATCH($C5,paramètres!$B$4:$B$6,0)))</f>
        <v>39</v>
      </c>
      <c r="AA5" s="85">
        <f>IF(MOD(COLUMN(),2)=0,INDEX(paramètres!$C$4:$C$6,MATCH($C5,paramètres!$B$4:$B$6,0)),INDEX(paramètres!$D$4:$D$6,MATCH($C5,paramètres!$B$4:$B$6,0)))</f>
        <v>39</v>
      </c>
      <c r="AB5" s="86"/>
      <c r="AC5" s="85" t="str">
        <f>IF($C5&lt;&gt;"Production","",IF(MOD(COLUMN(),2)=$AC$3,SUM(E5:F5)-2*$D5,0))</f>
        <v/>
      </c>
      <c r="AD5" s="85" t="str">
        <f t="shared" ref="AD5:AM5" si="14">IF($C5&lt;&gt;"Production","",IF(MOD(COLUMN(),2)=$AC$3,SUM(F5:G5)-2*$D5,0))</f>
        <v/>
      </c>
      <c r="AE5" s="85" t="str">
        <f t="shared" si="14"/>
        <v/>
      </c>
      <c r="AF5" s="85" t="str">
        <f t="shared" si="14"/>
        <v/>
      </c>
      <c r="AG5" s="85" t="str">
        <f t="shared" si="14"/>
        <v/>
      </c>
      <c r="AH5" s="85" t="str">
        <f t="shared" si="14"/>
        <v/>
      </c>
      <c r="AI5" s="85" t="str">
        <f t="shared" si="14"/>
        <v/>
      </c>
      <c r="AJ5" s="85" t="str">
        <f t="shared" si="14"/>
        <v/>
      </c>
      <c r="AK5" s="85" t="str">
        <f t="shared" si="14"/>
        <v/>
      </c>
      <c r="AL5" s="85" t="str">
        <f t="shared" si="14"/>
        <v/>
      </c>
      <c r="AM5" s="85" t="str">
        <f t="shared" si="14"/>
        <v/>
      </c>
      <c r="AN5" s="85"/>
      <c r="AO5" s="85">
        <f>IF($C5="Production","",E5-Q5)</f>
        <v>3</v>
      </c>
      <c r="AP5" s="85">
        <f t="shared" ref="AP5:AY5" si="15">IF($C5="Production","",F5-R5)</f>
        <v>3</v>
      </c>
      <c r="AQ5" s="85">
        <f t="shared" si="15"/>
        <v>3</v>
      </c>
      <c r="AR5" s="85">
        <f t="shared" si="15"/>
        <v>3</v>
      </c>
      <c r="AS5" s="85">
        <f t="shared" si="15"/>
        <v>0</v>
      </c>
      <c r="AT5" s="85">
        <f t="shared" si="15"/>
        <v>0</v>
      </c>
      <c r="AU5" s="85">
        <f t="shared" si="15"/>
        <v>0</v>
      </c>
      <c r="AV5" s="85">
        <f t="shared" si="15"/>
        <v>0</v>
      </c>
      <c r="AW5" s="85">
        <f t="shared" si="15"/>
        <v>0</v>
      </c>
      <c r="AX5" s="85">
        <f t="shared" si="15"/>
        <v>0</v>
      </c>
      <c r="AY5" s="85">
        <f t="shared" si="15"/>
        <v>0</v>
      </c>
      <c r="AZ5" s="85">
        <f>SUM(AO5:AY5)</f>
        <v>12</v>
      </c>
      <c r="BA5" s="81"/>
      <c r="BB5" s="85" t="str" cm="1">
        <f t="array" ref="BB5">IF($C5&lt;&gt;"Production","",IFERROR(
_xlfn.IFS(AND(AC5&gt;0,AC5&lt;($BC$3-$D5)),AC5,
AND(AC5&gt;0,AC5&gt;($BC$3-$D5)),($BC$3-$D5)),""))</f>
        <v/>
      </c>
      <c r="BC5" s="85" t="str" cm="1">
        <f t="array" ref="BC5">IF($C5&lt;&gt;"Production","",IFERROR(
_xlfn.IFS(AND(AD5&gt;0,AD5&lt;($BC$3-$D5)),AD5,
AND(AD5&gt;0,AD5&gt;($BC$3-$D5)),($BC$3-$D5)),""))</f>
        <v/>
      </c>
      <c r="BD5" s="85" t="str" cm="1">
        <f t="array" ref="BD5">IF($C5&lt;&gt;"Production","",IFERROR(
_xlfn.IFS(AND(AE5&gt;0,AE5&lt;($BC$3-$D5)),AE5,
AND(AE5&gt;0,AE5&gt;($BC$3-$D5)),($BC$3-$D5)),""))</f>
        <v/>
      </c>
      <c r="BE5" s="85" t="str" cm="1">
        <f t="array" ref="BE5">IF($C5&lt;&gt;"Production","",IFERROR(
_xlfn.IFS(AND(AF5&gt;0,AF5&lt;($BC$3-$D5)),AF5,
AND(AF5&gt;0,AF5&gt;($BC$3-$D5)),($BC$3-$D5)),""))</f>
        <v/>
      </c>
      <c r="BF5" s="85" t="str" cm="1">
        <f t="array" ref="BF5">IF($C5&lt;&gt;"Production","",IFERROR(
_xlfn.IFS(AND(AG5&gt;0,AG5&lt;($BC$3-$D5)),AG5,
AND(AG5&gt;0,AG5&gt;($BC$3-$D5)),($BC$3-$D5)),""))</f>
        <v/>
      </c>
      <c r="BG5" s="85" t="str" cm="1">
        <f t="array" ref="BG5">IF($C5&lt;&gt;"Production","",IFERROR(
_xlfn.IFS(AND(AH5&gt;0,AH5&lt;($BC$3-$D5)),AH5,
AND(AH5&gt;0,AH5&gt;($BC$3-$D5)),($BC$3-$D5)),""))</f>
        <v/>
      </c>
      <c r="BH5" s="85" t="str" cm="1">
        <f t="array" ref="BH5">IF($C5&lt;&gt;"Production","",IFERROR(
_xlfn.IFS(AND(AI5&gt;0,AI5&lt;($BC$3-$D5)),AI5,
AND(AI5&gt;0,AI5&gt;($BC$3-$D5)),($BC$3-$D5)),""))</f>
        <v/>
      </c>
      <c r="BI5" s="85" t="str" cm="1">
        <f t="array" ref="BI5">IF($C5&lt;&gt;"Production","",IFERROR(
_xlfn.IFS(AND(AJ5&gt;0,AJ5&lt;($BC$3-$D5)),AJ5,
AND(AJ5&gt;0,AJ5&gt;($BC$3-$D5)),($BC$3-$D5)),""))</f>
        <v/>
      </c>
      <c r="BJ5" s="85" t="str" cm="1">
        <f t="array" ref="BJ5">IF($C5&lt;&gt;"Production","",IFERROR(
_xlfn.IFS(AND(AK5&gt;0,AK5&lt;($BC$3-$D5)),AK5,
AND(AK5&gt;0,AK5&gt;($BC$3-$D5)),($BC$3-$D5)),""))</f>
        <v/>
      </c>
      <c r="BK5" s="85" t="str" cm="1">
        <f t="array" ref="BK5">IF($C5&lt;&gt;"Production","",IFERROR(
_xlfn.IFS(AND(AL5&gt;0,AL5&lt;($BC$3-$D5)),AL5,
AND(AL5&gt;0,AL5&gt;($BC$3-$D5)),($BC$3-$D5)),""))</f>
        <v/>
      </c>
      <c r="BL5" s="85" t="str" cm="1">
        <f t="array" ref="BL5">IF($C5&lt;&gt;"Production","",IFERROR(
_xlfn.IFS(AND(AM5&gt;0,AM5&lt;($BC$3-$D5)),AM5,
AND(AM5&gt;0,AM5&gt;($BC$3-$D5)),($BC$3-$D5)),""))</f>
        <v/>
      </c>
      <c r="BM5" s="85">
        <f>SUM(BB5:BL5)</f>
        <v>0</v>
      </c>
      <c r="BN5" s="81"/>
      <c r="BO5" s="85" cm="1">
        <f t="array" ref="BO5">IF($C5="Production","",IFERROR(
_xlfn.IFS(AND(AO5&gt;0,AO5&lt;($BC$3-$D5)),AO5,
AND(AO5&gt;0,AO5&gt;($BC$3-$D5)),($BC$3-$D5)),""))</f>
        <v>3</v>
      </c>
      <c r="BP5" s="85" cm="1">
        <f t="array" ref="BP5">IF($C5="Production","",IFERROR(
_xlfn.IFS(AND(AP5&gt;0,AP5&lt;($BC$3-$D5)),AP5,
AND(AP5&gt;0,AP5&gt;($BC$3-$D5)),($BC$3-$D5)),""))</f>
        <v>3</v>
      </c>
      <c r="BQ5" s="85" cm="1">
        <f t="array" ref="BQ5">IF($C5="Production","",IFERROR(
_xlfn.IFS(AND(AQ5&gt;0,AQ5&lt;($BC$3-$D5)),AQ5,
AND(AQ5&gt;0,AQ5&gt;($BC$3-$D5)),($BC$3-$D5)),""))</f>
        <v>3</v>
      </c>
      <c r="BR5" s="85" cm="1">
        <f t="array" ref="BR5">IF($C5="Production","",IFERROR(
_xlfn.IFS(AND(AR5&gt;0,AR5&lt;($BC$3-$D5)),AR5,
AND(AR5&gt;0,AR5&gt;($BC$3-$D5)),($BC$3-$D5)),""))</f>
        <v>3</v>
      </c>
      <c r="BS5" s="85" t="str" cm="1">
        <f t="array" ref="BS5">IF($C5="Production","",IFERROR(
_xlfn.IFS(AND(AS5&gt;0,AS5&lt;($BC$3-$D5)),AS5,
AND(AS5&gt;0,AS5&gt;($BC$3-$D5)),($BC$3-$D5)),""))</f>
        <v/>
      </c>
      <c r="BT5" s="85" t="str" cm="1">
        <f t="array" ref="BT5">IF($C5="Production","",IFERROR(
_xlfn.IFS(AND(AT5&gt;0,AT5&lt;($BC$3-$D5)),AT5,
AND(AT5&gt;0,AT5&gt;($BC$3-$D5)),($BC$3-$D5)),""))</f>
        <v/>
      </c>
      <c r="BU5" s="85" t="str" cm="1">
        <f t="array" ref="BU5">IF($C5="Production","",IFERROR(
_xlfn.IFS(AND(AU5&gt;0,AU5&lt;($BC$3-$D5)),AU5,
AND(AU5&gt;0,AU5&gt;($BC$3-$D5)),($BC$3-$D5)),""))</f>
        <v/>
      </c>
      <c r="BV5" s="85" t="str" cm="1">
        <f t="array" ref="BV5">IF($C5="Production","",IFERROR(
_xlfn.IFS(AND(AV5&gt;0,AV5&lt;($BC$3-$D5)),AV5,
AND(AV5&gt;0,AV5&gt;($BC$3-$D5)),($BC$3-$D5)),""))</f>
        <v/>
      </c>
      <c r="BW5" s="85" t="str" cm="1">
        <f t="array" ref="BW5">IF($C5="Production","",IFERROR(
_xlfn.IFS(AND(AW5&gt;0,AW5&lt;($BC$3-$D5)),AW5,
AND(AW5&gt;0,AW5&gt;($BC$3-$D5)),($BC$3-$D5)),""))</f>
        <v/>
      </c>
      <c r="BX5" s="85" t="str" cm="1">
        <f t="array" ref="BX5">IF($C5="Production","",IFERROR(
_xlfn.IFS(AND(AX5&gt;0,AX5&lt;($BC$3-$D5)),AX5,
AND(AX5&gt;0,AX5&gt;($BC$3-$D5)),($BC$3-$D5)),""))</f>
        <v/>
      </c>
      <c r="BY5" s="85" t="str" cm="1">
        <f t="array" ref="BY5">IF($C5="Production","",IFERROR(
_xlfn.IFS(AND(AY5&gt;0,AY5&lt;($BC$3-$D5)),AY5,
AND(AY5&gt;0,AY5&gt;($BC$3-$D5)),($BC$3-$D5)),""))</f>
        <v/>
      </c>
      <c r="BZ5" s="85">
        <f>SUM(BO5:BY5)</f>
        <v>12</v>
      </c>
      <c r="CA5" s="81"/>
      <c r="CB5" s="85" t="str">
        <f>IF($C5&lt;&gt;"Production","",IF(AC5&gt;=($BC$3-$D5),(AC5-($BC$3-$D5))*$CB$3,""))</f>
        <v/>
      </c>
      <c r="CC5" s="85" t="str">
        <f t="shared" ref="CC5:CC44" si="16">IF($C5&lt;&gt;"Production","",IF(AD5&gt;=($BC$3-$D5),(AD5-($BC$3-$D5))*$CB$3,""))</f>
        <v/>
      </c>
      <c r="CD5" s="85" t="str">
        <f t="shared" ref="CD5:CD44" si="17">IF($C5&lt;&gt;"Production","",IF(AE5&gt;=($BC$3-$D5),(AE5-($BC$3-$D5))*$CB$3,""))</f>
        <v/>
      </c>
      <c r="CE5" s="85" t="str">
        <f t="shared" ref="CE5:CE44" si="18">IF($C5&lt;&gt;"Production","",IF(AF5&gt;=($BC$3-$D5),(AF5-($BC$3-$D5))*$CB$3,""))</f>
        <v/>
      </c>
      <c r="CF5" s="85" t="str">
        <f t="shared" ref="CF5:CF44" si="19">IF($C5&lt;&gt;"Production","",IF(AG5&gt;=($BC$3-$D5),(AG5-($BC$3-$D5))*$CB$3,""))</f>
        <v/>
      </c>
      <c r="CG5" s="85" t="str">
        <f t="shared" ref="CG5:CG44" si="20">IF($C5&lt;&gt;"Production","",IF(AH5&gt;=($BC$3-$D5),(AH5-($BC$3-$D5))*$CB$3,""))</f>
        <v/>
      </c>
      <c r="CH5" s="85" t="str">
        <f t="shared" ref="CH5:CH44" si="21">IF($C5&lt;&gt;"Production","",IF(AI5&gt;=($BC$3-$D5),(AI5-($BC$3-$D5))*$CB$3,""))</f>
        <v/>
      </c>
      <c r="CI5" s="85" t="str">
        <f t="shared" ref="CI5:CI44" si="22">IF($C5&lt;&gt;"Production","",IF(AJ5&gt;=($BC$3-$D5),(AJ5-($BC$3-$D5))*$CB$3,""))</f>
        <v/>
      </c>
      <c r="CJ5" s="85" t="str">
        <f t="shared" ref="CJ5:CJ44" si="23">IF($C5&lt;&gt;"Production","",IF(AK5&gt;=($BC$3-$D5),(AK5-($BC$3-$D5))*$CB$3,""))</f>
        <v/>
      </c>
      <c r="CK5" s="85" t="str">
        <f t="shared" ref="CK5:CK44" si="24">IF($C5&lt;&gt;"Production","",IF(AL5&gt;=($BC$3-$D5),(AL5-($BC$3-$D5))*$CB$3,""))</f>
        <v/>
      </c>
      <c r="CL5" s="85" t="str">
        <f t="shared" ref="CL5:CL44" si="25">IF($C5&lt;&gt;"Production","",IF(AM5&gt;=($BC$3-$D5),(AM5-($BC$3-$D5))*$CB$3,""))</f>
        <v/>
      </c>
      <c r="CM5" s="85">
        <f>SUM(CB5:CL5)</f>
        <v>0</v>
      </c>
      <c r="CO5" s="80" t="str">
        <f>IF($C5="Production","",IF(AO5&gt;=($BC$3-$D5),(AO5-($BC$3-$D5)),""))</f>
        <v/>
      </c>
      <c r="CP5" s="80" t="str">
        <f>IF($C5="Production","",IF(AP5&gt;=($BC$3-$D5),(AP5-($BC$3-$D5)),""))</f>
        <v/>
      </c>
      <c r="CQ5" s="80" t="str">
        <f>IF($C5="Production","",IF(AQ5&gt;=($BC$3-$D5),(AQ5-($BC$3-$D5)),""))</f>
        <v/>
      </c>
      <c r="CR5" s="80" t="str">
        <f>IF($C5="Production","",IF(AR5&gt;=($BC$3-$D5),(AR5-($BC$3-$D5)),""))</f>
        <v/>
      </c>
      <c r="CS5" s="80" t="str">
        <f>IF($C5="Production","",IF(AS5&gt;=($BC$3-$D5),(AS5-($BC$3-$D5)),""))</f>
        <v/>
      </c>
      <c r="CT5" s="80" t="str">
        <f>IF($C5="Production","",IF(AT5&gt;=($BC$3-$D5),(AT5-($BC$3-$D5)),""))</f>
        <v/>
      </c>
      <c r="CU5" s="80" t="str">
        <f>IF($C5="Production","",IF(AU5&gt;=($BC$3-$D5),(AU5-($BC$3-$D5)),""))</f>
        <v/>
      </c>
      <c r="CV5" s="80" t="str">
        <f>IF($C5="Production","",IF(AV5&gt;=($BC$3-$D5),(AV5-($BC$3-$D5)),""))</f>
        <v/>
      </c>
      <c r="CW5" s="80" t="str">
        <f>IF($C5="Production","",IF(AW5&gt;=($BC$3-$D5),(AW5-($BC$3-$D5)),""))</f>
        <v/>
      </c>
      <c r="CX5" s="80" t="str">
        <f>IF($C5="Production","",IF(AX5&gt;=($BC$3-$D5),(AX5-($BC$3-$D5)),""))</f>
        <v/>
      </c>
      <c r="CY5" s="80" t="str">
        <f>IF($C5="Production","",IF(AY5&gt;=($BC$3-$D5),(AY5-($BC$3-$D5)),""))</f>
        <v/>
      </c>
      <c r="CZ5" s="80">
        <f>SUM(CO5:CY5)</f>
        <v>0</v>
      </c>
      <c r="DB5" s="80">
        <f>BM5+BZ5</f>
        <v>12</v>
      </c>
      <c r="DC5" s="80">
        <f>CM5+CZ5</f>
        <v>0</v>
      </c>
      <c r="DD5" s="80">
        <f>$BB$3*(BM5+BZ5)+$CB$3*(CM5+CZ5)</f>
        <v>15</v>
      </c>
      <c r="DE5" s="80">
        <f>SUMIFS(AO5:AY5,AC5:AM5,"&lt;0")+SUMIFS(AC5:AM5,AC5:AM5,"&lt;0")</f>
        <v>0</v>
      </c>
      <c r="DF5" s="80">
        <f>DD5+DE5</f>
        <v>15</v>
      </c>
    </row>
    <row r="6" spans="2:110" x14ac:dyDescent="0.15">
      <c r="B6" s="83" t="str">
        <f>'MODU 2025'!B9</f>
        <v>BALLOT Lucas</v>
      </c>
      <c r="C6" s="83" t="str">
        <f>'MODU 2025'!C9</f>
        <v>Production</v>
      </c>
      <c r="D6" s="83">
        <f>'MODU 2025'!D9</f>
        <v>37</v>
      </c>
      <c r="E6" s="83">
        <f>'MODU 2025'!G9</f>
        <v>41.25</v>
      </c>
      <c r="F6" s="157">
        <f>'MODU 2025'!H9</f>
        <v>33</v>
      </c>
      <c r="G6" s="83">
        <f>'MODU 2025'!I9</f>
        <v>41</v>
      </c>
      <c r="H6" s="83">
        <f>'MODU 2025'!J9</f>
        <v>33</v>
      </c>
      <c r="I6" s="83">
        <f>'MODU 2025'!K9</f>
        <v>41</v>
      </c>
      <c r="J6" s="83">
        <f>'MODU 2025'!L9</f>
        <v>33</v>
      </c>
      <c r="K6" s="83">
        <f>'MODU 2025'!M9</f>
        <v>41</v>
      </c>
      <c r="L6" s="83">
        <f>'MODU 2025'!N9</f>
        <v>33</v>
      </c>
      <c r="M6" s="83">
        <f>'MODU 2025'!O9</f>
        <v>41</v>
      </c>
      <c r="N6" s="83">
        <f>'MODU 2025'!P9</f>
        <v>33</v>
      </c>
      <c r="O6" s="83">
        <f>'MODU 2025'!Q9</f>
        <v>41</v>
      </c>
      <c r="P6" s="85"/>
      <c r="Q6" s="85">
        <f>IF(MOD(COLUMN(),2)=0,INDEX(paramètres!$C$4:$C$6,MATCH($C6,paramètres!$B$4:$B$6,0)),INDEX(paramètres!$D$4:$D$6,MATCH($C6,paramètres!$B$4:$B$6,0)))</f>
        <v>41</v>
      </c>
      <c r="R6" s="85">
        <f>IF(MOD(COLUMN(),2)=0,INDEX(paramètres!$C$4:$C$6,MATCH($C6,paramètres!$B$4:$B$6,0)),INDEX(paramètres!$D$4:$D$6,MATCH($C6,paramètres!$B$4:$B$6,0)))</f>
        <v>33</v>
      </c>
      <c r="S6" s="85">
        <f>IF(MOD(COLUMN(),2)=0,INDEX(paramètres!$C$4:$C$6,MATCH($C6,paramètres!$B$4:$B$6,0)),INDEX(paramètres!$D$4:$D$6,MATCH($C6,paramètres!$B$4:$B$6,0)))</f>
        <v>41</v>
      </c>
      <c r="T6" s="85">
        <f>IF(MOD(COLUMN(),2)=0,INDEX(paramètres!$C$4:$C$6,MATCH($C6,paramètres!$B$4:$B$6,0)),INDEX(paramètres!$D$4:$D$6,MATCH($C6,paramètres!$B$4:$B$6,0)))</f>
        <v>33</v>
      </c>
      <c r="U6" s="85">
        <f>IF(MOD(COLUMN(),2)=0,INDEX(paramètres!$C$4:$C$6,MATCH($C6,paramètres!$B$4:$B$6,0)),INDEX(paramètres!$D$4:$D$6,MATCH($C6,paramètres!$B$4:$B$6,0)))</f>
        <v>41</v>
      </c>
      <c r="V6" s="85">
        <f>IF(MOD(COLUMN(),2)=0,INDEX(paramètres!$C$4:$C$6,MATCH($C6,paramètres!$B$4:$B$6,0)),INDEX(paramètres!$D$4:$D$6,MATCH($C6,paramètres!$B$4:$B$6,0)))</f>
        <v>33</v>
      </c>
      <c r="W6" s="85">
        <f>IF(MOD(COLUMN(),2)=0,INDEX(paramètres!$C$4:$C$6,MATCH($C6,paramètres!$B$4:$B$6,0)),INDEX(paramètres!$D$4:$D$6,MATCH($C6,paramètres!$B$4:$B$6,0)))</f>
        <v>41</v>
      </c>
      <c r="X6" s="85">
        <f>IF(MOD(COLUMN(),2)=0,INDEX(paramètres!$C$4:$C$6,MATCH($C6,paramètres!$B$4:$B$6,0)),INDEX(paramètres!$D$4:$D$6,MATCH($C6,paramètres!$B$4:$B$6,0)))</f>
        <v>33</v>
      </c>
      <c r="Y6" s="85">
        <f>IF(MOD(COLUMN(),2)=0,INDEX(paramètres!$C$4:$C$6,MATCH($C6,paramètres!$B$4:$B$6,0)),INDEX(paramètres!$D$4:$D$6,MATCH($C6,paramètres!$B$4:$B$6,0)))</f>
        <v>41</v>
      </c>
      <c r="Z6" s="85">
        <f>IF(MOD(COLUMN(),2)=0,INDEX(paramètres!$C$4:$C$6,MATCH($C6,paramètres!$B$4:$B$6,0)),INDEX(paramètres!$D$4:$D$6,MATCH($C6,paramètres!$B$4:$B$6,0)))</f>
        <v>33</v>
      </c>
      <c r="AA6" s="85">
        <f>IF(MOD(COLUMN(),2)=0,INDEX(paramètres!$C$4:$C$6,MATCH($C6,paramètres!$B$4:$B$6,0)),INDEX(paramètres!$D$4:$D$6,MATCH($C6,paramètres!$B$4:$B$6,0)))</f>
        <v>41</v>
      </c>
      <c r="AB6" s="86"/>
      <c r="AC6" s="85">
        <f>IF($C6&lt;&gt;"Production","",IF(MOD(COLUMN(),2)=$AC$3,SUM(E6:F6)-2*$D6,0))</f>
        <v>0.25</v>
      </c>
      <c r="AD6" s="85">
        <f t="shared" ref="AD6:AD44" si="26">IF($C6&lt;&gt;"Production","",IF(MOD(COLUMN(),2)=$AC$3,SUM(F6:G6)-2*$D6,0))</f>
        <v>0</v>
      </c>
      <c r="AE6" s="85">
        <f>IF($C6&lt;&gt;"Production","",IF(MOD(COLUMN(),2)=$AC$3,SUM(G6:H6)-2*$D6,0))</f>
        <v>0</v>
      </c>
      <c r="AF6" s="85">
        <f t="shared" ref="AF6:AF44" si="27">IF($C6&lt;&gt;"Production","",IF(MOD(COLUMN(),2)=$AC$3,SUM(H6:I6)-2*$D6,0))</f>
        <v>0</v>
      </c>
      <c r="AG6" s="85">
        <f t="shared" ref="AG6:AG44" si="28">IF($C6&lt;&gt;"Production","",IF(MOD(COLUMN(),2)=$AC$3,SUM(I6:J6)-2*$D6,0))</f>
        <v>0</v>
      </c>
      <c r="AH6" s="85">
        <f t="shared" ref="AH6:AH44" si="29">IF($C6&lt;&gt;"Production","",IF(MOD(COLUMN(),2)=$AC$3,SUM(J6:K6)-2*$D6,0))</f>
        <v>0</v>
      </c>
      <c r="AI6" s="85">
        <f t="shared" ref="AI6:AI44" si="30">IF($C6&lt;&gt;"Production","",IF(MOD(COLUMN(),2)=$AC$3,SUM(K6:L6)-2*$D6,0))</f>
        <v>0</v>
      </c>
      <c r="AJ6" s="85">
        <f t="shared" ref="AJ6:AJ44" si="31">IF($C6&lt;&gt;"Production","",IF(MOD(COLUMN(),2)=$AC$3,SUM(L6:M6)-2*$D6,0))</f>
        <v>0</v>
      </c>
      <c r="AK6" s="85">
        <f t="shared" ref="AK6:AK44" si="32">IF($C6&lt;&gt;"Production","",IF(MOD(COLUMN(),2)=$AC$3,SUM(M6:N6)-2*$D6,0))</f>
        <v>0</v>
      </c>
      <c r="AL6" s="85">
        <f t="shared" ref="AL6:AL44" si="33">IF($C6&lt;&gt;"Production","",IF(MOD(COLUMN(),2)=$AC$3,SUM(N6:O6)-2*$D6,0))</f>
        <v>0</v>
      </c>
      <c r="AM6" s="85">
        <f t="shared" ref="AM6:AM44" si="34">IF($C6&lt;&gt;"Production","",IF(MOD(COLUMN(),2)=$AC$3,SUM(O6:P6)-2*$D6,0))</f>
        <v>-33</v>
      </c>
      <c r="AN6" s="85"/>
      <c r="AO6" s="85" t="str">
        <f t="shared" ref="AO6:AO44" si="35">IF($C6="Production","",E6-Q6)</f>
        <v/>
      </c>
      <c r="AP6" s="85" t="str">
        <f t="shared" ref="AP6:AP44" si="36">IF($C6="Production","",F6-R6)</f>
        <v/>
      </c>
      <c r="AQ6" s="85" t="str">
        <f t="shared" ref="AQ6:AQ44" si="37">IF($C6="Production","",G6-S6)</f>
        <v/>
      </c>
      <c r="AR6" s="85" t="str">
        <f t="shared" ref="AR6:AR44" si="38">IF($C6="Production","",H6-T6)</f>
        <v/>
      </c>
      <c r="AS6" s="85" t="str">
        <f t="shared" ref="AS6:AS44" si="39">IF($C6="Production","",I6-U6)</f>
        <v/>
      </c>
      <c r="AT6" s="85" t="str">
        <f t="shared" ref="AT6:AT44" si="40">IF($C6="Production","",J6-V6)</f>
        <v/>
      </c>
      <c r="AU6" s="85" t="str">
        <f t="shared" ref="AU6:AU44" si="41">IF($C6="Production","",K6-W6)</f>
        <v/>
      </c>
      <c r="AV6" s="85" t="str">
        <f t="shared" ref="AV6:AV44" si="42">IF($C6="Production","",L6-X6)</f>
        <v/>
      </c>
      <c r="AW6" s="85" t="str">
        <f t="shared" ref="AW6:AW44" si="43">IF($C6="Production","",M6-Y6)</f>
        <v/>
      </c>
      <c r="AX6" s="85" t="str">
        <f t="shared" ref="AX6:AX44" si="44">IF($C6="Production","",N6-Z6)</f>
        <v/>
      </c>
      <c r="AY6" s="85" t="str">
        <f t="shared" ref="AY6:AY44" si="45">IF($C6="Production","",O6-AA6)</f>
        <v/>
      </c>
      <c r="AZ6" s="85">
        <f t="shared" ref="AZ6:AZ44" si="46">SUM(AO6:AY6)</f>
        <v>0</v>
      </c>
      <c r="BA6" s="35"/>
      <c r="BB6" s="85" cm="1">
        <f t="array" ref="BB6">IF($C6&lt;&gt;"Production","",IFERROR(
_xlfn.IFS(AND(AC6&gt;0,AC6&lt;($BC$3-$D6)),AC6,
AND(AC6&gt;0,AC6&gt;($BC$3-$D6)),($BC$3-$D6)),""))</f>
        <v>0.25</v>
      </c>
      <c r="BC6" s="85" t="str" cm="1">
        <f t="array" ref="BC6">IF($C6&lt;&gt;"Production","",IFERROR(
_xlfn.IFS(AND(AD6&gt;0,AD6&lt;($BC$3-$D6)),AD6,
AND(AD6&gt;0,AD6&gt;($BC$3-$D6)),($BC$3-$D6)),""))</f>
        <v/>
      </c>
      <c r="BD6" s="85" t="str" cm="1">
        <f t="array" ref="BD6">IF($C6&lt;&gt;"Production","",IFERROR(
_xlfn.IFS(AND(AE6&gt;0,AE6&lt;($BC$3-$D6)),AE6,
AND(AE6&gt;0,AE6&gt;($BC$3-$D6)),($BC$3-$D6)),""))</f>
        <v/>
      </c>
      <c r="BE6" s="85" t="str" cm="1">
        <f t="array" ref="BE6">IF($C6&lt;&gt;"Production","",IFERROR(
_xlfn.IFS(AND(AF6&gt;0,AF6&lt;($BC$3-$D6)),AF6,
AND(AF6&gt;0,AF6&gt;($BC$3-$D6)),($BC$3-$D6)),""))</f>
        <v/>
      </c>
      <c r="BF6" s="85" t="str" cm="1">
        <f t="array" ref="BF6">IF($C6&lt;&gt;"Production","",IFERROR(
_xlfn.IFS(AND(AG6&gt;0,AG6&lt;($BC$3-$D6)),AG6,
AND(AG6&gt;0,AG6&gt;($BC$3-$D6)),($BC$3-$D6)),""))</f>
        <v/>
      </c>
      <c r="BG6" s="85" t="str" cm="1">
        <f t="array" ref="BG6">IF($C6&lt;&gt;"Production","",IFERROR(
_xlfn.IFS(AND(AH6&gt;0,AH6&lt;($BC$3-$D6)),AH6,
AND(AH6&gt;0,AH6&gt;($BC$3-$D6)),($BC$3-$D6)),""))</f>
        <v/>
      </c>
      <c r="BH6" s="85" t="str" cm="1">
        <f t="array" ref="BH6">IF($C6&lt;&gt;"Production","",IFERROR(
_xlfn.IFS(AND(AI6&gt;0,AI6&lt;($BC$3-$D6)),AI6,
AND(AI6&gt;0,AI6&gt;($BC$3-$D6)),($BC$3-$D6)),""))</f>
        <v/>
      </c>
      <c r="BI6" s="85" t="str" cm="1">
        <f t="array" ref="BI6">IF($C6&lt;&gt;"Production","",IFERROR(
_xlfn.IFS(AND(AJ6&gt;0,AJ6&lt;($BC$3-$D6)),AJ6,
AND(AJ6&gt;0,AJ6&gt;($BC$3-$D6)),($BC$3-$D6)),""))</f>
        <v/>
      </c>
      <c r="BJ6" s="85" t="str" cm="1">
        <f t="array" ref="BJ6">IF($C6&lt;&gt;"Production","",IFERROR(
_xlfn.IFS(AND(AK6&gt;0,AK6&lt;($BC$3-$D6)),AK6,
AND(AK6&gt;0,AK6&gt;($BC$3-$D6)),($BC$3-$D6)),""))</f>
        <v/>
      </c>
      <c r="BK6" s="85" t="str" cm="1">
        <f t="array" ref="BK6">IF($C6&lt;&gt;"Production","",IFERROR(
_xlfn.IFS(AND(AL6&gt;0,AL6&lt;($BC$3-$D6)),AL6,
AND(AL6&gt;0,AL6&gt;($BC$3-$D6)),($BC$3-$D6)),""))</f>
        <v/>
      </c>
      <c r="BL6" s="85" t="str" cm="1">
        <f t="array" ref="BL6">IF($C6&lt;&gt;"Production","",IFERROR(
_xlfn.IFS(AND(AM6&gt;0,AM6&lt;($BC$3-$D6)),AM6,
AND(AM6&gt;0,AM6&gt;($BC$3-$D6)),($BC$3-$D6)),""))</f>
        <v/>
      </c>
      <c r="BM6" s="85">
        <f t="shared" ref="BM6:BM44" si="47">SUM(BB6:BL6)</f>
        <v>0.25</v>
      </c>
      <c r="BN6" s="81"/>
      <c r="BO6" s="85" t="str" cm="1">
        <f t="array" ref="BO6">IF($C6="Production","",IFERROR(
_xlfn.IFS(AND(AO6&gt;0,AO6&lt;($BC$3-$D6)),AO6,
AND(AO6&gt;0,AO6&gt;($BC$3-$D6)),($BC$3-$D6)),""))</f>
        <v/>
      </c>
      <c r="BP6" s="85" t="str" cm="1">
        <f t="array" ref="BP6">IF($C6="Production","",IFERROR(
_xlfn.IFS(AND(AP6&gt;0,AP6&lt;($BC$3-$D6)),AP6,
AND(AP6&gt;0,AP6&gt;($BC$3-$D6)),($BC$3-$D6)),""))</f>
        <v/>
      </c>
      <c r="BQ6" s="85" t="str" cm="1">
        <f t="array" ref="BQ6">IF($C6="Production","",IFERROR(
_xlfn.IFS(AND(AQ6&gt;0,AQ6&lt;($BC$3-$D6)),AQ6,
AND(AQ6&gt;0,AQ6&gt;($BC$3-$D6)),($BC$3-$D6)),""))</f>
        <v/>
      </c>
      <c r="BR6" s="85" t="str" cm="1">
        <f t="array" ref="BR6">IF($C6="Production","",IFERROR(
_xlfn.IFS(AND(AR6&gt;0,AR6&lt;($BC$3-$D6)),AR6,
AND(AR6&gt;0,AR6&gt;($BC$3-$D6)),($BC$3-$D6)),""))</f>
        <v/>
      </c>
      <c r="BS6" s="85" t="str" cm="1">
        <f t="array" ref="BS6">IF($C6="Production","",IFERROR(
_xlfn.IFS(AND(AS6&gt;0,AS6&lt;($BC$3-$D6)),AS6,
AND(AS6&gt;0,AS6&gt;($BC$3-$D6)),($BC$3-$D6)),""))</f>
        <v/>
      </c>
      <c r="BT6" s="85" t="str" cm="1">
        <f t="array" ref="BT6">IF($C6="Production","",IFERROR(
_xlfn.IFS(AND(AT6&gt;0,AT6&lt;($BC$3-$D6)),AT6,
AND(AT6&gt;0,AT6&gt;($BC$3-$D6)),($BC$3-$D6)),""))</f>
        <v/>
      </c>
      <c r="BU6" s="85" t="str" cm="1">
        <f t="array" ref="BU6">IF($C6="Production","",IFERROR(
_xlfn.IFS(AND(AU6&gt;0,AU6&lt;($BC$3-$D6)),AU6,
AND(AU6&gt;0,AU6&gt;($BC$3-$D6)),($BC$3-$D6)),""))</f>
        <v/>
      </c>
      <c r="BV6" s="85" t="str" cm="1">
        <f t="array" ref="BV6">IF($C6="Production","",IFERROR(
_xlfn.IFS(AND(AV6&gt;0,AV6&lt;($BC$3-$D6)),AV6,
AND(AV6&gt;0,AV6&gt;($BC$3-$D6)),($BC$3-$D6)),""))</f>
        <v/>
      </c>
      <c r="BW6" s="85" t="str" cm="1">
        <f t="array" ref="BW6">IF($C6="Production","",IFERROR(
_xlfn.IFS(AND(AW6&gt;0,AW6&lt;($BC$3-$D6)),AW6,
AND(AW6&gt;0,AW6&gt;($BC$3-$D6)),($BC$3-$D6)),""))</f>
        <v/>
      </c>
      <c r="BX6" s="85" t="str" cm="1">
        <f t="array" ref="BX6">IF($C6="Production","",IFERROR(
_xlfn.IFS(AND(AX6&gt;0,AX6&lt;($BC$3-$D6)),AX6,
AND(AX6&gt;0,AX6&gt;($BC$3-$D6)),($BC$3-$D6)),""))</f>
        <v/>
      </c>
      <c r="BY6" s="85" t="str" cm="1">
        <f t="array" ref="BY6">IF($C6="Production","",IFERROR(
_xlfn.IFS(AND(AY6&gt;0,AY6&lt;($BC$3-$D6)),AY6,
AND(AY6&gt;0,AY6&gt;($BC$3-$D6)),($BC$3-$D6)),""))</f>
        <v/>
      </c>
      <c r="BZ6" s="85">
        <f t="shared" ref="BZ6:BZ44" si="48">SUM(BO6:BY6)</f>
        <v>0</v>
      </c>
      <c r="CA6" s="81"/>
      <c r="CB6" s="85" t="str">
        <f t="shared" ref="CB6:CB44" si="49">IF($C6&lt;&gt;"Production","",IF(AC6&gt;=($BC$3-$D6),(AC6-($BC$3-$D6))*$CB$3,""))</f>
        <v/>
      </c>
      <c r="CC6" s="85" t="str">
        <f t="shared" si="16"/>
        <v/>
      </c>
      <c r="CD6" s="85" t="str">
        <f t="shared" si="17"/>
        <v/>
      </c>
      <c r="CE6" s="85" t="str">
        <f t="shared" si="18"/>
        <v/>
      </c>
      <c r="CF6" s="85" t="str">
        <f t="shared" si="19"/>
        <v/>
      </c>
      <c r="CG6" s="85" t="str">
        <f t="shared" si="20"/>
        <v/>
      </c>
      <c r="CH6" s="85" t="str">
        <f t="shared" si="21"/>
        <v/>
      </c>
      <c r="CI6" s="85" t="str">
        <f t="shared" si="22"/>
        <v/>
      </c>
      <c r="CJ6" s="85" t="str">
        <f t="shared" si="23"/>
        <v/>
      </c>
      <c r="CK6" s="85" t="str">
        <f t="shared" si="24"/>
        <v/>
      </c>
      <c r="CL6" s="85" t="str">
        <f t="shared" si="25"/>
        <v/>
      </c>
      <c r="CM6" s="85">
        <f t="shared" ref="CM6:CM44" si="50">SUM(CB6:CL6)</f>
        <v>0</v>
      </c>
      <c r="CO6" s="80" t="str">
        <f t="shared" ref="CO6:CO44" si="51">IF($C6="Production","",IF(AO6&gt;=($BC$3-$D6),(AO6-($BC$3-$D6)),""))</f>
        <v/>
      </c>
      <c r="CP6" s="80" t="str">
        <f t="shared" ref="CP6:CP44" si="52">IF($C6="Production","",IF(AP6&gt;=($BC$3-$D6),(AP6-($BC$3-$D6)),""))</f>
        <v/>
      </c>
      <c r="CQ6" s="80" t="str">
        <f t="shared" ref="CQ6:CQ44" si="53">IF($C6="Production","",IF(AQ6&gt;=($BC$3-$D6),(AQ6-($BC$3-$D6)),""))</f>
        <v/>
      </c>
      <c r="CR6" s="80" t="str">
        <f t="shared" ref="CR6:CR44" si="54">IF($C6="Production","",IF(AR6&gt;=($BC$3-$D6),(AR6-($BC$3-$D6)),""))</f>
        <v/>
      </c>
      <c r="CS6" s="80" t="str">
        <f t="shared" ref="CS6:CS44" si="55">IF($C6="Production","",IF(AS6&gt;=($BC$3-$D6),(AS6-($BC$3-$D6)),""))</f>
        <v/>
      </c>
      <c r="CT6" s="80" t="str">
        <f t="shared" ref="CT6:CT44" si="56">IF($C6="Production","",IF(AT6&gt;=($BC$3-$D6),(AT6-($BC$3-$D6)),""))</f>
        <v/>
      </c>
      <c r="CU6" s="80" t="str">
        <f t="shared" ref="CU6:CU44" si="57">IF($C6="Production","",IF(AU6&gt;=($BC$3-$D6),(AU6-($BC$3-$D6)),""))</f>
        <v/>
      </c>
      <c r="CV6" s="80" t="str">
        <f t="shared" ref="CV6:CV44" si="58">IF($C6="Production","",IF(AV6&gt;=($BC$3-$D6),(AV6-($BC$3-$D6)),""))</f>
        <v/>
      </c>
      <c r="CW6" s="80" t="str">
        <f t="shared" ref="CW6:CW44" si="59">IF($C6="Production","",IF(AW6&gt;=($BC$3-$D6),(AW6-($BC$3-$D6)),""))</f>
        <v/>
      </c>
      <c r="CX6" s="80" t="str">
        <f t="shared" ref="CX6:CX44" si="60">IF($C6="Production","",IF(AX6&gt;=($BC$3-$D6),(AX6-($BC$3-$D6)),""))</f>
        <v/>
      </c>
      <c r="CY6" s="80" t="str">
        <f t="shared" ref="CY6:CY44" si="61">IF($C6="Production","",IF(AY6&gt;=($BC$3-$D6),(AY6-($BC$3-$D6)),""))</f>
        <v/>
      </c>
      <c r="CZ6" s="80">
        <f t="shared" ref="CZ6:CZ44" si="62">SUM(CO6:CY6)</f>
        <v>0</v>
      </c>
      <c r="DB6" s="80">
        <f t="shared" ref="DB6:DB44" si="63">BM6+BZ6+CM6+CZ6</f>
        <v>0.25</v>
      </c>
      <c r="DC6" s="80">
        <f t="shared" ref="DC6:DC44" si="64">CM6+CZ6</f>
        <v>0</v>
      </c>
      <c r="DD6" s="80">
        <f t="shared" ref="DD6:DD44" si="65">$BB$3*(BM6+BZ6)+$CB$3*(CM6+CZ6)</f>
        <v>0.3125</v>
      </c>
      <c r="DE6" s="80">
        <f t="shared" ref="DE6:DE44" si="66">SUMIFS(AO6:AY6,AC6:AM6,"&lt;0")+SUMIFS(AC6:AM6,AC6:AM6,"&lt;0")</f>
        <v>-33</v>
      </c>
      <c r="DF6" s="80">
        <f t="shared" ref="DF6:DF44" si="67">DD6+DE6</f>
        <v>-32.6875</v>
      </c>
    </row>
    <row r="7" spans="2:110" x14ac:dyDescent="0.15">
      <c r="B7" s="83" t="str">
        <f>'MODU 2025'!B10</f>
        <v>BOLLET DURAFOUR Bérangère</v>
      </c>
      <c r="C7" s="83" t="str">
        <f>'MODU 2025'!C10</f>
        <v>Production</v>
      </c>
      <c r="D7" s="83">
        <f>'MODU 2025'!D10</f>
        <v>37</v>
      </c>
      <c r="E7" s="83">
        <f>'MODU 2025'!G10</f>
        <v>41</v>
      </c>
      <c r="F7" s="83">
        <f>'MODU 2025'!H10</f>
        <v>33</v>
      </c>
      <c r="G7" s="83">
        <f>'MODU 2025'!I10</f>
        <v>41</v>
      </c>
      <c r="H7" s="83">
        <f>'MODU 2025'!J10</f>
        <v>33</v>
      </c>
      <c r="I7" s="83">
        <f>'MODU 2025'!K10</f>
        <v>41</v>
      </c>
      <c r="J7" s="83">
        <f>'MODU 2025'!L10</f>
        <v>33</v>
      </c>
      <c r="K7" s="83">
        <f>'MODU 2025'!M10</f>
        <v>41</v>
      </c>
      <c r="L7" s="83">
        <f>'MODU 2025'!N10</f>
        <v>33</v>
      </c>
      <c r="M7" s="83">
        <f>'MODU 2025'!O10</f>
        <v>41</v>
      </c>
      <c r="N7" s="83">
        <f>'MODU 2025'!P10</f>
        <v>33</v>
      </c>
      <c r="O7" s="83">
        <f>'MODU 2025'!Q10</f>
        <v>41</v>
      </c>
      <c r="P7" s="85"/>
      <c r="Q7" s="85">
        <f>IF(MOD(COLUMN(),2)=0,INDEX(paramètres!$C$4:$C$6,MATCH($C7,paramètres!$B$4:$B$6,0)),INDEX(paramètres!$D$4:$D$6,MATCH($C7,paramètres!$B$4:$B$6,0)))</f>
        <v>41</v>
      </c>
      <c r="R7" s="85">
        <f>IF(MOD(COLUMN(),2)=0,INDEX(paramètres!$C$4:$C$6,MATCH($C7,paramètres!$B$4:$B$6,0)),INDEX(paramètres!$D$4:$D$6,MATCH($C7,paramètres!$B$4:$B$6,0)))</f>
        <v>33</v>
      </c>
      <c r="S7" s="85">
        <f>IF(MOD(COLUMN(),2)=0,INDEX(paramètres!$C$4:$C$6,MATCH($C7,paramètres!$B$4:$B$6,0)),INDEX(paramètres!$D$4:$D$6,MATCH($C7,paramètres!$B$4:$B$6,0)))</f>
        <v>41</v>
      </c>
      <c r="T7" s="85">
        <f>IF(MOD(COLUMN(),2)=0,INDEX(paramètres!$C$4:$C$6,MATCH($C7,paramètres!$B$4:$B$6,0)),INDEX(paramètres!$D$4:$D$6,MATCH($C7,paramètres!$B$4:$B$6,0)))</f>
        <v>33</v>
      </c>
      <c r="U7" s="85">
        <f>IF(MOD(COLUMN(),2)=0,INDEX(paramètres!$C$4:$C$6,MATCH($C7,paramètres!$B$4:$B$6,0)),INDEX(paramètres!$D$4:$D$6,MATCH($C7,paramètres!$B$4:$B$6,0)))</f>
        <v>41</v>
      </c>
      <c r="V7" s="85">
        <f>IF(MOD(COLUMN(),2)=0,INDEX(paramètres!$C$4:$C$6,MATCH($C7,paramètres!$B$4:$B$6,0)),INDEX(paramètres!$D$4:$D$6,MATCH($C7,paramètres!$B$4:$B$6,0)))</f>
        <v>33</v>
      </c>
      <c r="W7" s="85">
        <f>IF(MOD(COLUMN(),2)=0,INDEX(paramètres!$C$4:$C$6,MATCH($C7,paramètres!$B$4:$B$6,0)),INDEX(paramètres!$D$4:$D$6,MATCH($C7,paramètres!$B$4:$B$6,0)))</f>
        <v>41</v>
      </c>
      <c r="X7" s="85">
        <f>IF(MOD(COLUMN(),2)=0,INDEX(paramètres!$C$4:$C$6,MATCH($C7,paramètres!$B$4:$B$6,0)),INDEX(paramètres!$D$4:$D$6,MATCH($C7,paramètres!$B$4:$B$6,0)))</f>
        <v>33</v>
      </c>
      <c r="Y7" s="85">
        <f>IF(MOD(COLUMN(),2)=0,INDEX(paramètres!$C$4:$C$6,MATCH($C7,paramètres!$B$4:$B$6,0)),INDEX(paramètres!$D$4:$D$6,MATCH($C7,paramètres!$B$4:$B$6,0)))</f>
        <v>41</v>
      </c>
      <c r="Z7" s="85">
        <f>IF(MOD(COLUMN(),2)=0,INDEX(paramètres!$C$4:$C$6,MATCH($C7,paramètres!$B$4:$B$6,0)),INDEX(paramètres!$D$4:$D$6,MATCH($C7,paramètres!$B$4:$B$6,0)))</f>
        <v>33</v>
      </c>
      <c r="AA7" s="85">
        <f>IF(MOD(COLUMN(),2)=0,INDEX(paramètres!$C$4:$C$6,MATCH($C7,paramètres!$B$4:$B$6,0)),INDEX(paramètres!$D$4:$D$6,MATCH($C7,paramètres!$B$4:$B$6,0)))</f>
        <v>41</v>
      </c>
      <c r="AB7" s="86"/>
      <c r="AC7" s="85">
        <f t="shared" ref="AC6:AC44" si="68">IF($C7&lt;&gt;"Production","",IF(MOD(COLUMN(),2)=$AC$3,SUM(E7:F7)-2*$D7,0))</f>
        <v>0</v>
      </c>
      <c r="AD7" s="85">
        <f t="shared" si="26"/>
        <v>0</v>
      </c>
      <c r="AE7" s="85">
        <f t="shared" ref="AE6:AE44" si="69">IF($C7&lt;&gt;"Production","",IF(MOD(COLUMN(),2)=$AC$3,SUM(G7:H7)-2*$D7,0))</f>
        <v>0</v>
      </c>
      <c r="AF7" s="85">
        <f t="shared" si="27"/>
        <v>0</v>
      </c>
      <c r="AG7" s="85">
        <f t="shared" si="28"/>
        <v>0</v>
      </c>
      <c r="AH7" s="85">
        <f t="shared" si="29"/>
        <v>0</v>
      </c>
      <c r="AI7" s="85">
        <f t="shared" si="30"/>
        <v>0</v>
      </c>
      <c r="AJ7" s="85">
        <f t="shared" si="31"/>
        <v>0</v>
      </c>
      <c r="AK7" s="85">
        <f t="shared" si="32"/>
        <v>0</v>
      </c>
      <c r="AL7" s="85">
        <f t="shared" si="33"/>
        <v>0</v>
      </c>
      <c r="AM7" s="85">
        <f t="shared" si="34"/>
        <v>-33</v>
      </c>
      <c r="AN7" s="85"/>
      <c r="AO7" s="85" t="str">
        <f t="shared" si="35"/>
        <v/>
      </c>
      <c r="AP7" s="85" t="str">
        <f t="shared" si="36"/>
        <v/>
      </c>
      <c r="AQ7" s="85" t="str">
        <f t="shared" si="37"/>
        <v/>
      </c>
      <c r="AR7" s="85" t="str">
        <f t="shared" si="38"/>
        <v/>
      </c>
      <c r="AS7" s="85" t="str">
        <f t="shared" si="39"/>
        <v/>
      </c>
      <c r="AT7" s="85" t="str">
        <f t="shared" si="40"/>
        <v/>
      </c>
      <c r="AU7" s="85" t="str">
        <f t="shared" si="41"/>
        <v/>
      </c>
      <c r="AV7" s="85" t="str">
        <f t="shared" si="42"/>
        <v/>
      </c>
      <c r="AW7" s="85" t="str">
        <f t="shared" si="43"/>
        <v/>
      </c>
      <c r="AX7" s="85" t="str">
        <f t="shared" si="44"/>
        <v/>
      </c>
      <c r="AY7" s="85" t="str">
        <f t="shared" si="45"/>
        <v/>
      </c>
      <c r="AZ7" s="85">
        <f t="shared" si="46"/>
        <v>0</v>
      </c>
      <c r="BA7" s="35"/>
      <c r="BB7" s="85" t="str" cm="1">
        <f t="array" ref="BB7">IF($C7&lt;&gt;"Production","",IFERROR(
_xlfn.IFS(AND(AC7&gt;0,AC7&lt;($BC$3-$D7)),AC7,
AND(AC7&gt;0,AC7&gt;($BC$3-$D7)),($BC$3-$D7)),""))</f>
        <v/>
      </c>
      <c r="BC7" s="85" t="str" cm="1">
        <f t="array" ref="BC7">IF($C7&lt;&gt;"Production","",IFERROR(
_xlfn.IFS(AND(AD7&gt;0,AD7&lt;($BC$3-$D7)),AD7,
AND(AD7&gt;0,AD7&gt;($BC$3-$D7)),($BC$3-$D7)),""))</f>
        <v/>
      </c>
      <c r="BD7" s="85" t="str" cm="1">
        <f t="array" ref="BD7">IF($C7&lt;&gt;"Production","",IFERROR(
_xlfn.IFS(AND(AE7&gt;0,AE7&lt;($BC$3-$D7)),AE7,
AND(AE7&gt;0,AE7&gt;($BC$3-$D7)),($BC$3-$D7)),""))</f>
        <v/>
      </c>
      <c r="BE7" s="85" t="str" cm="1">
        <f t="array" ref="BE7">IF($C7&lt;&gt;"Production","",IFERROR(
_xlfn.IFS(AND(AF7&gt;0,AF7&lt;($BC$3-$D7)),AF7,
AND(AF7&gt;0,AF7&gt;($BC$3-$D7)),($BC$3-$D7)),""))</f>
        <v/>
      </c>
      <c r="BF7" s="85" t="str" cm="1">
        <f t="array" ref="BF7">IF($C7&lt;&gt;"Production","",IFERROR(
_xlfn.IFS(AND(AG7&gt;0,AG7&lt;($BC$3-$D7)),AG7,
AND(AG7&gt;0,AG7&gt;($BC$3-$D7)),($BC$3-$D7)),""))</f>
        <v/>
      </c>
      <c r="BG7" s="85" t="str" cm="1">
        <f t="array" ref="BG7">IF($C7&lt;&gt;"Production","",IFERROR(
_xlfn.IFS(AND(AH7&gt;0,AH7&lt;($BC$3-$D7)),AH7,
AND(AH7&gt;0,AH7&gt;($BC$3-$D7)),($BC$3-$D7)),""))</f>
        <v/>
      </c>
      <c r="BH7" s="85" t="str" cm="1">
        <f t="array" ref="BH7">IF($C7&lt;&gt;"Production","",IFERROR(
_xlfn.IFS(AND(AI7&gt;0,AI7&lt;($BC$3-$D7)),AI7,
AND(AI7&gt;0,AI7&gt;($BC$3-$D7)),($BC$3-$D7)),""))</f>
        <v/>
      </c>
      <c r="BI7" s="85" t="str" cm="1">
        <f t="array" ref="BI7">IF($C7&lt;&gt;"Production","",IFERROR(
_xlfn.IFS(AND(AJ7&gt;0,AJ7&lt;($BC$3-$D7)),AJ7,
AND(AJ7&gt;0,AJ7&gt;($BC$3-$D7)),($BC$3-$D7)),""))</f>
        <v/>
      </c>
      <c r="BJ7" s="85" t="str" cm="1">
        <f t="array" ref="BJ7">IF($C7&lt;&gt;"Production","",IFERROR(
_xlfn.IFS(AND(AK7&gt;0,AK7&lt;($BC$3-$D7)),AK7,
AND(AK7&gt;0,AK7&gt;($BC$3-$D7)),($BC$3-$D7)),""))</f>
        <v/>
      </c>
      <c r="BK7" s="85" t="str" cm="1">
        <f t="array" ref="BK7">IF($C7&lt;&gt;"Production","",IFERROR(
_xlfn.IFS(AND(AL7&gt;0,AL7&lt;($BC$3-$D7)),AL7,
AND(AL7&gt;0,AL7&gt;($BC$3-$D7)),($BC$3-$D7)),""))</f>
        <v/>
      </c>
      <c r="BL7" s="85" t="str" cm="1">
        <f t="array" ref="BL7">IF($C7&lt;&gt;"Production","",IFERROR(
_xlfn.IFS(AND(AM7&gt;0,AM7&lt;($BC$3-$D7)),AM7,
AND(AM7&gt;0,AM7&gt;($BC$3-$D7)),($BC$3-$D7)),""))</f>
        <v/>
      </c>
      <c r="BM7" s="85">
        <f t="shared" si="47"/>
        <v>0</v>
      </c>
      <c r="BN7" s="81"/>
      <c r="BO7" s="85" t="str" cm="1">
        <f t="array" ref="BO7">IF($C7="Production","",IFERROR(
_xlfn.IFS(AND(AO7&gt;0,AO7&lt;($BC$3-$D7)),AO7,
AND(AO7&gt;0,AO7&gt;($BC$3-$D7)),($BC$3-$D7)),""))</f>
        <v/>
      </c>
      <c r="BP7" s="85" t="str" cm="1">
        <f t="array" ref="BP7">IF($C7="Production","",IFERROR(
_xlfn.IFS(AND(AP7&gt;0,AP7&lt;($BC$3-$D7)),AP7,
AND(AP7&gt;0,AP7&gt;($BC$3-$D7)),($BC$3-$D7)),""))</f>
        <v/>
      </c>
      <c r="BQ7" s="85" t="str" cm="1">
        <f t="array" ref="BQ7">IF($C7="Production","",IFERROR(
_xlfn.IFS(AND(AQ7&gt;0,AQ7&lt;($BC$3-$D7)),AQ7,
AND(AQ7&gt;0,AQ7&gt;($BC$3-$D7)),($BC$3-$D7)),""))</f>
        <v/>
      </c>
      <c r="BR7" s="85" t="str" cm="1">
        <f t="array" ref="BR7">IF($C7="Production","",IFERROR(
_xlfn.IFS(AND(AR7&gt;0,AR7&lt;($BC$3-$D7)),AR7,
AND(AR7&gt;0,AR7&gt;($BC$3-$D7)),($BC$3-$D7)),""))</f>
        <v/>
      </c>
      <c r="BS7" s="85" t="str" cm="1">
        <f t="array" ref="BS7">IF($C7="Production","",IFERROR(
_xlfn.IFS(AND(AS7&gt;0,AS7&lt;($BC$3-$D7)),AS7,
AND(AS7&gt;0,AS7&gt;($BC$3-$D7)),($BC$3-$D7)),""))</f>
        <v/>
      </c>
      <c r="BT7" s="85" t="str" cm="1">
        <f t="array" ref="BT7">IF($C7="Production","",IFERROR(
_xlfn.IFS(AND(AT7&gt;0,AT7&lt;($BC$3-$D7)),AT7,
AND(AT7&gt;0,AT7&gt;($BC$3-$D7)),($BC$3-$D7)),""))</f>
        <v/>
      </c>
      <c r="BU7" s="85" t="str" cm="1">
        <f t="array" ref="BU7">IF($C7="Production","",IFERROR(
_xlfn.IFS(AND(AU7&gt;0,AU7&lt;($BC$3-$D7)),AU7,
AND(AU7&gt;0,AU7&gt;($BC$3-$D7)),($BC$3-$D7)),""))</f>
        <v/>
      </c>
      <c r="BV7" s="85" t="str" cm="1">
        <f t="array" ref="BV7">IF($C7="Production","",IFERROR(
_xlfn.IFS(AND(AV7&gt;0,AV7&lt;($BC$3-$D7)),AV7,
AND(AV7&gt;0,AV7&gt;($BC$3-$D7)),($BC$3-$D7)),""))</f>
        <v/>
      </c>
      <c r="BW7" s="85" t="str" cm="1">
        <f t="array" ref="BW7">IF($C7="Production","",IFERROR(
_xlfn.IFS(AND(AW7&gt;0,AW7&lt;($BC$3-$D7)),AW7,
AND(AW7&gt;0,AW7&gt;($BC$3-$D7)),($BC$3-$D7)),""))</f>
        <v/>
      </c>
      <c r="BX7" s="85" t="str" cm="1">
        <f t="array" ref="BX7">IF($C7="Production","",IFERROR(
_xlfn.IFS(AND(AX7&gt;0,AX7&lt;($BC$3-$D7)),AX7,
AND(AX7&gt;0,AX7&gt;($BC$3-$D7)),($BC$3-$D7)),""))</f>
        <v/>
      </c>
      <c r="BY7" s="85" t="str" cm="1">
        <f t="array" ref="BY7">IF($C7="Production","",IFERROR(
_xlfn.IFS(AND(AY7&gt;0,AY7&lt;($BC$3-$D7)),AY7,
AND(AY7&gt;0,AY7&gt;($BC$3-$D7)),($BC$3-$D7)),""))</f>
        <v/>
      </c>
      <c r="BZ7" s="85">
        <f t="shared" si="48"/>
        <v>0</v>
      </c>
      <c r="CA7" s="81"/>
      <c r="CB7" s="85" t="str">
        <f t="shared" si="49"/>
        <v/>
      </c>
      <c r="CC7" s="85" t="str">
        <f t="shared" si="16"/>
        <v/>
      </c>
      <c r="CD7" s="85" t="str">
        <f t="shared" si="17"/>
        <v/>
      </c>
      <c r="CE7" s="85" t="str">
        <f t="shared" si="18"/>
        <v/>
      </c>
      <c r="CF7" s="85" t="str">
        <f t="shared" si="19"/>
        <v/>
      </c>
      <c r="CG7" s="85" t="str">
        <f t="shared" si="20"/>
        <v/>
      </c>
      <c r="CH7" s="85" t="str">
        <f t="shared" si="21"/>
        <v/>
      </c>
      <c r="CI7" s="85" t="str">
        <f t="shared" si="22"/>
        <v/>
      </c>
      <c r="CJ7" s="85" t="str">
        <f t="shared" si="23"/>
        <v/>
      </c>
      <c r="CK7" s="85" t="str">
        <f t="shared" si="24"/>
        <v/>
      </c>
      <c r="CL7" s="85" t="str">
        <f t="shared" si="25"/>
        <v/>
      </c>
      <c r="CM7" s="85">
        <f t="shared" si="50"/>
        <v>0</v>
      </c>
      <c r="CO7" s="80" t="str">
        <f t="shared" si="51"/>
        <v/>
      </c>
      <c r="CP7" s="80" t="str">
        <f t="shared" si="52"/>
        <v/>
      </c>
      <c r="CQ7" s="80" t="str">
        <f t="shared" si="53"/>
        <v/>
      </c>
      <c r="CR7" s="80" t="str">
        <f t="shared" si="54"/>
        <v/>
      </c>
      <c r="CS7" s="80" t="str">
        <f t="shared" si="55"/>
        <v/>
      </c>
      <c r="CT7" s="80" t="str">
        <f t="shared" si="56"/>
        <v/>
      </c>
      <c r="CU7" s="80" t="str">
        <f t="shared" si="57"/>
        <v/>
      </c>
      <c r="CV7" s="80" t="str">
        <f t="shared" si="58"/>
        <v/>
      </c>
      <c r="CW7" s="80" t="str">
        <f t="shared" si="59"/>
        <v/>
      </c>
      <c r="CX7" s="80" t="str">
        <f t="shared" si="60"/>
        <v/>
      </c>
      <c r="CY7" s="80" t="str">
        <f t="shared" si="61"/>
        <v/>
      </c>
      <c r="CZ7" s="80">
        <f t="shared" si="62"/>
        <v>0</v>
      </c>
      <c r="DB7" s="80">
        <f t="shared" si="63"/>
        <v>0</v>
      </c>
      <c r="DC7" s="80">
        <f t="shared" si="64"/>
        <v>0</v>
      </c>
      <c r="DD7" s="80">
        <f t="shared" si="65"/>
        <v>0</v>
      </c>
      <c r="DE7" s="80">
        <f t="shared" si="66"/>
        <v>-33</v>
      </c>
      <c r="DF7" s="80">
        <f t="shared" si="67"/>
        <v>-33</v>
      </c>
    </row>
    <row r="8" spans="2:110" x14ac:dyDescent="0.15">
      <c r="B8" s="83" t="str">
        <f>'MODU 2025'!B11</f>
        <v>BONNERUE Sandrine</v>
      </c>
      <c r="C8" s="83" t="str">
        <f>'MODU 2025'!C11</f>
        <v>Production</v>
      </c>
      <c r="D8" s="83">
        <f>'MODU 2025'!D11</f>
        <v>37</v>
      </c>
      <c r="E8" s="83">
        <f>'MODU 2025'!G11</f>
        <v>33</v>
      </c>
      <c r="F8" s="83">
        <f>'MODU 2025'!H11</f>
        <v>41</v>
      </c>
      <c r="G8" s="83">
        <f>'MODU 2025'!I11</f>
        <v>33</v>
      </c>
      <c r="H8" s="83">
        <f>'MODU 2025'!J11</f>
        <v>41</v>
      </c>
      <c r="I8" s="83">
        <f>'MODU 2025'!K11</f>
        <v>33</v>
      </c>
      <c r="J8" s="83">
        <f>'MODU 2025'!L11</f>
        <v>41</v>
      </c>
      <c r="K8" s="83">
        <f>'MODU 2025'!M11</f>
        <v>33</v>
      </c>
      <c r="L8" s="83">
        <f>'MODU 2025'!N11</f>
        <v>41</v>
      </c>
      <c r="M8" s="83">
        <f>'MODU 2025'!O11</f>
        <v>33</v>
      </c>
      <c r="N8" s="83">
        <f>'MODU 2025'!P11</f>
        <v>41</v>
      </c>
      <c r="O8" s="83">
        <f>'MODU 2025'!Q11</f>
        <v>33</v>
      </c>
      <c r="P8" s="85"/>
      <c r="Q8" s="85">
        <f>IF(MOD(COLUMN(),2)=0,INDEX(paramètres!$C$4:$C$6,MATCH($C8,paramètres!$B$4:$B$6,0)),INDEX(paramètres!$D$4:$D$6,MATCH($C8,paramètres!$B$4:$B$6,0)))</f>
        <v>41</v>
      </c>
      <c r="R8" s="85">
        <f>IF(MOD(COLUMN(),2)=0,INDEX(paramètres!$C$4:$C$6,MATCH($C8,paramètres!$B$4:$B$6,0)),INDEX(paramètres!$D$4:$D$6,MATCH($C8,paramètres!$B$4:$B$6,0)))</f>
        <v>33</v>
      </c>
      <c r="S8" s="85">
        <f>IF(MOD(COLUMN(),2)=0,INDEX(paramètres!$C$4:$C$6,MATCH($C8,paramètres!$B$4:$B$6,0)),INDEX(paramètres!$D$4:$D$6,MATCH($C8,paramètres!$B$4:$B$6,0)))</f>
        <v>41</v>
      </c>
      <c r="T8" s="85">
        <f>IF(MOD(COLUMN(),2)=0,INDEX(paramètres!$C$4:$C$6,MATCH($C8,paramètres!$B$4:$B$6,0)),INDEX(paramètres!$D$4:$D$6,MATCH($C8,paramètres!$B$4:$B$6,0)))</f>
        <v>33</v>
      </c>
      <c r="U8" s="85">
        <f>IF(MOD(COLUMN(),2)=0,INDEX(paramètres!$C$4:$C$6,MATCH($C8,paramètres!$B$4:$B$6,0)),INDEX(paramètres!$D$4:$D$6,MATCH($C8,paramètres!$B$4:$B$6,0)))</f>
        <v>41</v>
      </c>
      <c r="V8" s="85">
        <f>IF(MOD(COLUMN(),2)=0,INDEX(paramètres!$C$4:$C$6,MATCH($C8,paramètres!$B$4:$B$6,0)),INDEX(paramètres!$D$4:$D$6,MATCH($C8,paramètres!$B$4:$B$6,0)))</f>
        <v>33</v>
      </c>
      <c r="W8" s="85">
        <f>IF(MOD(COLUMN(),2)=0,INDEX(paramètres!$C$4:$C$6,MATCH($C8,paramètres!$B$4:$B$6,0)),INDEX(paramètres!$D$4:$D$6,MATCH($C8,paramètres!$B$4:$B$6,0)))</f>
        <v>41</v>
      </c>
      <c r="X8" s="85">
        <f>IF(MOD(COLUMN(),2)=0,INDEX(paramètres!$C$4:$C$6,MATCH($C8,paramètres!$B$4:$B$6,0)),INDEX(paramètres!$D$4:$D$6,MATCH($C8,paramètres!$B$4:$B$6,0)))</f>
        <v>33</v>
      </c>
      <c r="Y8" s="85">
        <f>IF(MOD(COLUMN(),2)=0,INDEX(paramètres!$C$4:$C$6,MATCH($C8,paramètres!$B$4:$B$6,0)),INDEX(paramètres!$D$4:$D$6,MATCH($C8,paramètres!$B$4:$B$6,0)))</f>
        <v>41</v>
      </c>
      <c r="Z8" s="85">
        <f>IF(MOD(COLUMN(),2)=0,INDEX(paramètres!$C$4:$C$6,MATCH($C8,paramètres!$B$4:$B$6,0)),INDEX(paramètres!$D$4:$D$6,MATCH($C8,paramètres!$B$4:$B$6,0)))</f>
        <v>33</v>
      </c>
      <c r="AA8" s="85">
        <f>IF(MOD(COLUMN(),2)=0,INDEX(paramètres!$C$4:$C$6,MATCH($C8,paramètres!$B$4:$B$6,0)),INDEX(paramètres!$D$4:$D$6,MATCH($C8,paramètres!$B$4:$B$6,0)))</f>
        <v>41</v>
      </c>
      <c r="AB8" s="86"/>
      <c r="AC8" s="85">
        <f t="shared" si="68"/>
        <v>0</v>
      </c>
      <c r="AD8" s="85">
        <f t="shared" si="26"/>
        <v>0</v>
      </c>
      <c r="AE8" s="85">
        <f t="shared" si="69"/>
        <v>0</v>
      </c>
      <c r="AF8" s="85">
        <f t="shared" si="27"/>
        <v>0</v>
      </c>
      <c r="AG8" s="85">
        <f t="shared" si="28"/>
        <v>0</v>
      </c>
      <c r="AH8" s="85">
        <f t="shared" si="29"/>
        <v>0</v>
      </c>
      <c r="AI8" s="85">
        <f t="shared" si="30"/>
        <v>0</v>
      </c>
      <c r="AJ8" s="85">
        <f t="shared" si="31"/>
        <v>0</v>
      </c>
      <c r="AK8" s="85">
        <f t="shared" si="32"/>
        <v>0</v>
      </c>
      <c r="AL8" s="85">
        <f t="shared" si="33"/>
        <v>0</v>
      </c>
      <c r="AM8" s="85">
        <f t="shared" si="34"/>
        <v>-41</v>
      </c>
      <c r="AN8" s="85"/>
      <c r="AO8" s="85" t="str">
        <f t="shared" si="35"/>
        <v/>
      </c>
      <c r="AP8" s="85" t="str">
        <f t="shared" si="36"/>
        <v/>
      </c>
      <c r="AQ8" s="85" t="str">
        <f t="shared" si="37"/>
        <v/>
      </c>
      <c r="AR8" s="85" t="str">
        <f t="shared" si="38"/>
        <v/>
      </c>
      <c r="AS8" s="85" t="str">
        <f t="shared" si="39"/>
        <v/>
      </c>
      <c r="AT8" s="85" t="str">
        <f t="shared" si="40"/>
        <v/>
      </c>
      <c r="AU8" s="85" t="str">
        <f t="shared" si="41"/>
        <v/>
      </c>
      <c r="AV8" s="85" t="str">
        <f t="shared" si="42"/>
        <v/>
      </c>
      <c r="AW8" s="85" t="str">
        <f t="shared" si="43"/>
        <v/>
      </c>
      <c r="AX8" s="85" t="str">
        <f t="shared" si="44"/>
        <v/>
      </c>
      <c r="AY8" s="85" t="str">
        <f t="shared" si="45"/>
        <v/>
      </c>
      <c r="AZ8" s="85">
        <f t="shared" si="46"/>
        <v>0</v>
      </c>
      <c r="BA8" s="35"/>
      <c r="BB8" s="85" t="str" cm="1">
        <f t="array" ref="BB8">IF($C8&lt;&gt;"Production","",IFERROR(
_xlfn.IFS(AND(AC8&gt;0,AC8&lt;($BC$3-$D8)),AC8,
AND(AC8&gt;0,AC8&gt;($BC$3-$D8)),($BC$3-$D8)),""))</f>
        <v/>
      </c>
      <c r="BC8" s="85" t="str" cm="1">
        <f t="array" ref="BC8">IF($C8&lt;&gt;"Production","",IFERROR(
_xlfn.IFS(AND(AD8&gt;0,AD8&lt;($BC$3-$D8)),AD8,
AND(AD8&gt;0,AD8&gt;($BC$3-$D8)),($BC$3-$D8)),""))</f>
        <v/>
      </c>
      <c r="BD8" s="85" t="str" cm="1">
        <f t="array" ref="BD8">IF($C8&lt;&gt;"Production","",IFERROR(
_xlfn.IFS(AND(AE8&gt;0,AE8&lt;($BC$3-$D8)),AE8,
AND(AE8&gt;0,AE8&gt;($BC$3-$D8)),($BC$3-$D8)),""))</f>
        <v/>
      </c>
      <c r="BE8" s="85" t="str" cm="1">
        <f t="array" ref="BE8">IF($C8&lt;&gt;"Production","",IFERROR(
_xlfn.IFS(AND(AF8&gt;0,AF8&lt;($BC$3-$D8)),AF8,
AND(AF8&gt;0,AF8&gt;($BC$3-$D8)),($BC$3-$D8)),""))</f>
        <v/>
      </c>
      <c r="BF8" s="85" t="str" cm="1">
        <f t="array" ref="BF8">IF($C8&lt;&gt;"Production","",IFERROR(
_xlfn.IFS(AND(AG8&gt;0,AG8&lt;($BC$3-$D8)),AG8,
AND(AG8&gt;0,AG8&gt;($BC$3-$D8)),($BC$3-$D8)),""))</f>
        <v/>
      </c>
      <c r="BG8" s="85" t="str" cm="1">
        <f t="array" ref="BG8">IF($C8&lt;&gt;"Production","",IFERROR(
_xlfn.IFS(AND(AH8&gt;0,AH8&lt;($BC$3-$D8)),AH8,
AND(AH8&gt;0,AH8&gt;($BC$3-$D8)),($BC$3-$D8)),""))</f>
        <v/>
      </c>
      <c r="BH8" s="85" t="str" cm="1">
        <f t="array" ref="BH8">IF($C8&lt;&gt;"Production","",IFERROR(
_xlfn.IFS(AND(AI8&gt;0,AI8&lt;($BC$3-$D8)),AI8,
AND(AI8&gt;0,AI8&gt;($BC$3-$D8)),($BC$3-$D8)),""))</f>
        <v/>
      </c>
      <c r="BI8" s="85" t="str" cm="1">
        <f t="array" ref="BI8">IF($C8&lt;&gt;"Production","",IFERROR(
_xlfn.IFS(AND(AJ8&gt;0,AJ8&lt;($BC$3-$D8)),AJ8,
AND(AJ8&gt;0,AJ8&gt;($BC$3-$D8)),($BC$3-$D8)),""))</f>
        <v/>
      </c>
      <c r="BJ8" s="85" t="str" cm="1">
        <f t="array" ref="BJ8">IF($C8&lt;&gt;"Production","",IFERROR(
_xlfn.IFS(AND(AK8&gt;0,AK8&lt;($BC$3-$D8)),AK8,
AND(AK8&gt;0,AK8&gt;($BC$3-$D8)),($BC$3-$D8)),""))</f>
        <v/>
      </c>
      <c r="BK8" s="85" t="str" cm="1">
        <f t="array" ref="BK8">IF($C8&lt;&gt;"Production","",IFERROR(
_xlfn.IFS(AND(AL8&gt;0,AL8&lt;($BC$3-$D8)),AL8,
AND(AL8&gt;0,AL8&gt;($BC$3-$D8)),($BC$3-$D8)),""))</f>
        <v/>
      </c>
      <c r="BL8" s="85" t="str" cm="1">
        <f t="array" ref="BL8">IF($C8&lt;&gt;"Production","",IFERROR(
_xlfn.IFS(AND(AM8&gt;0,AM8&lt;($BC$3-$D8)),AM8,
AND(AM8&gt;0,AM8&gt;($BC$3-$D8)),($BC$3-$D8)),""))</f>
        <v/>
      </c>
      <c r="BM8" s="85">
        <f t="shared" si="47"/>
        <v>0</v>
      </c>
      <c r="BN8" s="81"/>
      <c r="BO8" s="85" t="str" cm="1">
        <f t="array" ref="BO8">IF($C8="Production","",IFERROR(
_xlfn.IFS(AND(AO8&gt;0,AO8&lt;($BC$3-$D8)),AO8,
AND(AO8&gt;0,AO8&gt;($BC$3-$D8)),($BC$3-$D8)),""))</f>
        <v/>
      </c>
      <c r="BP8" s="85" t="str" cm="1">
        <f t="array" ref="BP8">IF($C8="Production","",IFERROR(
_xlfn.IFS(AND(AP8&gt;0,AP8&lt;($BC$3-$D8)),AP8,
AND(AP8&gt;0,AP8&gt;($BC$3-$D8)),($BC$3-$D8)),""))</f>
        <v/>
      </c>
      <c r="BQ8" s="85" t="str" cm="1">
        <f t="array" ref="BQ8">IF($C8="Production","",IFERROR(
_xlfn.IFS(AND(AQ8&gt;0,AQ8&lt;($BC$3-$D8)),AQ8,
AND(AQ8&gt;0,AQ8&gt;($BC$3-$D8)),($BC$3-$D8)),""))</f>
        <v/>
      </c>
      <c r="BR8" s="85" t="str" cm="1">
        <f t="array" ref="BR8">IF($C8="Production","",IFERROR(
_xlfn.IFS(AND(AR8&gt;0,AR8&lt;($BC$3-$D8)),AR8,
AND(AR8&gt;0,AR8&gt;($BC$3-$D8)),($BC$3-$D8)),""))</f>
        <v/>
      </c>
      <c r="BS8" s="85" t="str" cm="1">
        <f t="array" ref="BS8">IF($C8="Production","",IFERROR(
_xlfn.IFS(AND(AS8&gt;0,AS8&lt;($BC$3-$D8)),AS8,
AND(AS8&gt;0,AS8&gt;($BC$3-$D8)),($BC$3-$D8)),""))</f>
        <v/>
      </c>
      <c r="BT8" s="85" t="str" cm="1">
        <f t="array" ref="BT8">IF($C8="Production","",IFERROR(
_xlfn.IFS(AND(AT8&gt;0,AT8&lt;($BC$3-$D8)),AT8,
AND(AT8&gt;0,AT8&gt;($BC$3-$D8)),($BC$3-$D8)),""))</f>
        <v/>
      </c>
      <c r="BU8" s="85" t="str" cm="1">
        <f t="array" ref="BU8">IF($C8="Production","",IFERROR(
_xlfn.IFS(AND(AU8&gt;0,AU8&lt;($BC$3-$D8)),AU8,
AND(AU8&gt;0,AU8&gt;($BC$3-$D8)),($BC$3-$D8)),""))</f>
        <v/>
      </c>
      <c r="BV8" s="85" t="str" cm="1">
        <f t="array" ref="BV8">IF($C8="Production","",IFERROR(
_xlfn.IFS(AND(AV8&gt;0,AV8&lt;($BC$3-$D8)),AV8,
AND(AV8&gt;0,AV8&gt;($BC$3-$D8)),($BC$3-$D8)),""))</f>
        <v/>
      </c>
      <c r="BW8" s="85" t="str" cm="1">
        <f t="array" ref="BW8">IF($C8="Production","",IFERROR(
_xlfn.IFS(AND(AW8&gt;0,AW8&lt;($BC$3-$D8)),AW8,
AND(AW8&gt;0,AW8&gt;($BC$3-$D8)),($BC$3-$D8)),""))</f>
        <v/>
      </c>
      <c r="BX8" s="85" t="str" cm="1">
        <f t="array" ref="BX8">IF($C8="Production","",IFERROR(
_xlfn.IFS(AND(AX8&gt;0,AX8&lt;($BC$3-$D8)),AX8,
AND(AX8&gt;0,AX8&gt;($BC$3-$D8)),($BC$3-$D8)),""))</f>
        <v/>
      </c>
      <c r="BY8" s="85" t="str" cm="1">
        <f t="array" ref="BY8">IF($C8="Production","",IFERROR(
_xlfn.IFS(AND(AY8&gt;0,AY8&lt;($BC$3-$D8)),AY8,
AND(AY8&gt;0,AY8&gt;($BC$3-$D8)),($BC$3-$D8)),""))</f>
        <v/>
      </c>
      <c r="BZ8" s="85">
        <f t="shared" si="48"/>
        <v>0</v>
      </c>
      <c r="CA8" s="81"/>
      <c r="CB8" s="85" t="str">
        <f t="shared" si="49"/>
        <v/>
      </c>
      <c r="CC8" s="85" t="str">
        <f t="shared" si="16"/>
        <v/>
      </c>
      <c r="CD8" s="85" t="str">
        <f t="shared" si="17"/>
        <v/>
      </c>
      <c r="CE8" s="85" t="str">
        <f t="shared" si="18"/>
        <v/>
      </c>
      <c r="CF8" s="85" t="str">
        <f t="shared" si="19"/>
        <v/>
      </c>
      <c r="CG8" s="85" t="str">
        <f t="shared" si="20"/>
        <v/>
      </c>
      <c r="CH8" s="85" t="str">
        <f t="shared" si="21"/>
        <v/>
      </c>
      <c r="CI8" s="85" t="str">
        <f t="shared" si="22"/>
        <v/>
      </c>
      <c r="CJ8" s="85" t="str">
        <f t="shared" si="23"/>
        <v/>
      </c>
      <c r="CK8" s="85" t="str">
        <f t="shared" si="24"/>
        <v/>
      </c>
      <c r="CL8" s="85" t="str">
        <f t="shared" si="25"/>
        <v/>
      </c>
      <c r="CM8" s="85">
        <f t="shared" si="50"/>
        <v>0</v>
      </c>
      <c r="CO8" s="80" t="str">
        <f t="shared" si="51"/>
        <v/>
      </c>
      <c r="CP8" s="80" t="str">
        <f t="shared" si="52"/>
        <v/>
      </c>
      <c r="CQ8" s="80" t="str">
        <f t="shared" si="53"/>
        <v/>
      </c>
      <c r="CR8" s="80" t="str">
        <f t="shared" si="54"/>
        <v/>
      </c>
      <c r="CS8" s="80" t="str">
        <f t="shared" si="55"/>
        <v/>
      </c>
      <c r="CT8" s="80" t="str">
        <f t="shared" si="56"/>
        <v/>
      </c>
      <c r="CU8" s="80" t="str">
        <f t="shared" si="57"/>
        <v/>
      </c>
      <c r="CV8" s="80" t="str">
        <f t="shared" si="58"/>
        <v/>
      </c>
      <c r="CW8" s="80" t="str">
        <f t="shared" si="59"/>
        <v/>
      </c>
      <c r="CX8" s="80" t="str">
        <f t="shared" si="60"/>
        <v/>
      </c>
      <c r="CY8" s="80" t="str">
        <f t="shared" si="61"/>
        <v/>
      </c>
      <c r="CZ8" s="80">
        <f t="shared" si="62"/>
        <v>0</v>
      </c>
      <c r="DB8" s="80">
        <f t="shared" si="63"/>
        <v>0</v>
      </c>
      <c r="DC8" s="80">
        <f t="shared" si="64"/>
        <v>0</v>
      </c>
      <c r="DD8" s="80">
        <f t="shared" si="65"/>
        <v>0</v>
      </c>
      <c r="DE8" s="80">
        <f t="shared" si="66"/>
        <v>-41</v>
      </c>
      <c r="DF8" s="80">
        <f t="shared" si="67"/>
        <v>-41</v>
      </c>
    </row>
    <row r="9" spans="2:110" x14ac:dyDescent="0.15">
      <c r="B9" s="83" t="str">
        <f>'MODU 2025'!B12</f>
        <v>BOUDIER Laure</v>
      </c>
      <c r="C9" s="83" t="str">
        <f>'MODU 2025'!C12</f>
        <v>Production</v>
      </c>
      <c r="D9" s="83">
        <f>'MODU 2025'!D12</f>
        <v>37</v>
      </c>
      <c r="E9" s="83">
        <f>'MODU 2025'!G12</f>
        <v>41</v>
      </c>
      <c r="F9" s="83">
        <f>'MODU 2025'!H12</f>
        <v>33</v>
      </c>
      <c r="G9" s="83">
        <f>'MODU 2025'!I12</f>
        <v>41</v>
      </c>
      <c r="H9" s="83">
        <f>'MODU 2025'!J12</f>
        <v>33</v>
      </c>
      <c r="I9" s="83">
        <f>'MODU 2025'!K12</f>
        <v>41</v>
      </c>
      <c r="J9" s="83">
        <f>'MODU 2025'!L12</f>
        <v>33</v>
      </c>
      <c r="K9" s="83">
        <f>'MODU 2025'!M12</f>
        <v>41</v>
      </c>
      <c r="L9" s="83">
        <f>'MODU 2025'!N12</f>
        <v>33</v>
      </c>
      <c r="M9" s="83">
        <f>'MODU 2025'!O12</f>
        <v>41</v>
      </c>
      <c r="N9" s="83">
        <f>'MODU 2025'!P12</f>
        <v>33</v>
      </c>
      <c r="O9" s="83">
        <f>'MODU 2025'!Q12</f>
        <v>41</v>
      </c>
      <c r="P9" s="85"/>
      <c r="Q9" s="85">
        <f>IF(MOD(COLUMN(),2)=0,INDEX(paramètres!$C$4:$C$6,MATCH($C9,paramètres!$B$4:$B$6,0)),INDEX(paramètres!$D$4:$D$6,MATCH($C9,paramètres!$B$4:$B$6,0)))</f>
        <v>41</v>
      </c>
      <c r="R9" s="85">
        <f>IF(MOD(COLUMN(),2)=0,INDEX(paramètres!$C$4:$C$6,MATCH($C9,paramètres!$B$4:$B$6,0)),INDEX(paramètres!$D$4:$D$6,MATCH($C9,paramètres!$B$4:$B$6,0)))</f>
        <v>33</v>
      </c>
      <c r="S9" s="85">
        <f>IF(MOD(COLUMN(),2)=0,INDEX(paramètres!$C$4:$C$6,MATCH($C9,paramètres!$B$4:$B$6,0)),INDEX(paramètres!$D$4:$D$6,MATCH($C9,paramètres!$B$4:$B$6,0)))</f>
        <v>41</v>
      </c>
      <c r="T9" s="85">
        <f>IF(MOD(COLUMN(),2)=0,INDEX(paramètres!$C$4:$C$6,MATCH($C9,paramètres!$B$4:$B$6,0)),INDEX(paramètres!$D$4:$D$6,MATCH($C9,paramètres!$B$4:$B$6,0)))</f>
        <v>33</v>
      </c>
      <c r="U9" s="85">
        <f>IF(MOD(COLUMN(),2)=0,INDEX(paramètres!$C$4:$C$6,MATCH($C9,paramètres!$B$4:$B$6,0)),INDEX(paramètres!$D$4:$D$6,MATCH($C9,paramètres!$B$4:$B$6,0)))</f>
        <v>41</v>
      </c>
      <c r="V9" s="85">
        <f>IF(MOD(COLUMN(),2)=0,INDEX(paramètres!$C$4:$C$6,MATCH($C9,paramètres!$B$4:$B$6,0)),INDEX(paramètres!$D$4:$D$6,MATCH($C9,paramètres!$B$4:$B$6,0)))</f>
        <v>33</v>
      </c>
      <c r="W9" s="85">
        <f>IF(MOD(COLUMN(),2)=0,INDEX(paramètres!$C$4:$C$6,MATCH($C9,paramètres!$B$4:$B$6,0)),INDEX(paramètres!$D$4:$D$6,MATCH($C9,paramètres!$B$4:$B$6,0)))</f>
        <v>41</v>
      </c>
      <c r="X9" s="85">
        <f>IF(MOD(COLUMN(),2)=0,INDEX(paramètres!$C$4:$C$6,MATCH($C9,paramètres!$B$4:$B$6,0)),INDEX(paramètres!$D$4:$D$6,MATCH($C9,paramètres!$B$4:$B$6,0)))</f>
        <v>33</v>
      </c>
      <c r="Y9" s="85">
        <f>IF(MOD(COLUMN(),2)=0,INDEX(paramètres!$C$4:$C$6,MATCH($C9,paramètres!$B$4:$B$6,0)),INDEX(paramètres!$D$4:$D$6,MATCH($C9,paramètres!$B$4:$B$6,0)))</f>
        <v>41</v>
      </c>
      <c r="Z9" s="85">
        <f>IF(MOD(COLUMN(),2)=0,INDEX(paramètres!$C$4:$C$6,MATCH($C9,paramètres!$B$4:$B$6,0)),INDEX(paramètres!$D$4:$D$6,MATCH($C9,paramètres!$B$4:$B$6,0)))</f>
        <v>33</v>
      </c>
      <c r="AA9" s="85">
        <f>IF(MOD(COLUMN(),2)=0,INDEX(paramètres!$C$4:$C$6,MATCH($C9,paramètres!$B$4:$B$6,0)),INDEX(paramètres!$D$4:$D$6,MATCH($C9,paramètres!$B$4:$B$6,0)))</f>
        <v>41</v>
      </c>
      <c r="AB9" s="86"/>
      <c r="AC9" s="85">
        <f t="shared" si="68"/>
        <v>0</v>
      </c>
      <c r="AD9" s="85">
        <f t="shared" si="26"/>
        <v>0</v>
      </c>
      <c r="AE9" s="85">
        <f t="shared" si="69"/>
        <v>0</v>
      </c>
      <c r="AF9" s="85">
        <f t="shared" si="27"/>
        <v>0</v>
      </c>
      <c r="AG9" s="85">
        <f t="shared" si="28"/>
        <v>0</v>
      </c>
      <c r="AH9" s="85">
        <f t="shared" si="29"/>
        <v>0</v>
      </c>
      <c r="AI9" s="85">
        <f t="shared" si="30"/>
        <v>0</v>
      </c>
      <c r="AJ9" s="85">
        <f t="shared" si="31"/>
        <v>0</v>
      </c>
      <c r="AK9" s="85">
        <f t="shared" si="32"/>
        <v>0</v>
      </c>
      <c r="AL9" s="85">
        <f t="shared" si="33"/>
        <v>0</v>
      </c>
      <c r="AM9" s="85">
        <f t="shared" si="34"/>
        <v>-33</v>
      </c>
      <c r="AN9" s="85"/>
      <c r="AO9" s="85" t="str">
        <f t="shared" si="35"/>
        <v/>
      </c>
      <c r="AP9" s="85" t="str">
        <f t="shared" si="36"/>
        <v/>
      </c>
      <c r="AQ9" s="85" t="str">
        <f t="shared" si="37"/>
        <v/>
      </c>
      <c r="AR9" s="85" t="str">
        <f t="shared" si="38"/>
        <v/>
      </c>
      <c r="AS9" s="85" t="str">
        <f t="shared" si="39"/>
        <v/>
      </c>
      <c r="AT9" s="85" t="str">
        <f t="shared" si="40"/>
        <v/>
      </c>
      <c r="AU9" s="85" t="str">
        <f t="shared" si="41"/>
        <v/>
      </c>
      <c r="AV9" s="85" t="str">
        <f t="shared" si="42"/>
        <v/>
      </c>
      <c r="AW9" s="85" t="str">
        <f t="shared" si="43"/>
        <v/>
      </c>
      <c r="AX9" s="85" t="str">
        <f t="shared" si="44"/>
        <v/>
      </c>
      <c r="AY9" s="85" t="str">
        <f t="shared" si="45"/>
        <v/>
      </c>
      <c r="AZ9" s="85">
        <f t="shared" si="46"/>
        <v>0</v>
      </c>
      <c r="BA9" s="35"/>
      <c r="BB9" s="85" t="str" cm="1">
        <f t="array" ref="BB9">IF($C9&lt;&gt;"Production","",IFERROR(
_xlfn.IFS(AND(AC9&gt;0,AC9&lt;($BC$3-$D9)),AC9,
AND(AC9&gt;0,AC9&gt;($BC$3-$D9)),($BC$3-$D9)),""))</f>
        <v/>
      </c>
      <c r="BC9" s="85" t="str" cm="1">
        <f t="array" ref="BC9">IF($C9&lt;&gt;"Production","",IFERROR(
_xlfn.IFS(AND(AD9&gt;0,AD9&lt;($BC$3-$D9)),AD9,
AND(AD9&gt;0,AD9&gt;($BC$3-$D9)),($BC$3-$D9)),""))</f>
        <v/>
      </c>
      <c r="BD9" s="85" t="str" cm="1">
        <f t="array" ref="BD9">IF($C9&lt;&gt;"Production","",IFERROR(
_xlfn.IFS(AND(AE9&gt;0,AE9&lt;($BC$3-$D9)),AE9,
AND(AE9&gt;0,AE9&gt;($BC$3-$D9)),($BC$3-$D9)),""))</f>
        <v/>
      </c>
      <c r="BE9" s="85" t="str" cm="1">
        <f t="array" ref="BE9">IF($C9&lt;&gt;"Production","",IFERROR(
_xlfn.IFS(AND(AF9&gt;0,AF9&lt;($BC$3-$D9)),AF9,
AND(AF9&gt;0,AF9&gt;($BC$3-$D9)),($BC$3-$D9)),""))</f>
        <v/>
      </c>
      <c r="BF9" s="85" t="str" cm="1">
        <f t="array" ref="BF9">IF($C9&lt;&gt;"Production","",IFERROR(
_xlfn.IFS(AND(AG9&gt;0,AG9&lt;($BC$3-$D9)),AG9,
AND(AG9&gt;0,AG9&gt;($BC$3-$D9)),($BC$3-$D9)),""))</f>
        <v/>
      </c>
      <c r="BG9" s="85" t="str" cm="1">
        <f t="array" ref="BG9">IF($C9&lt;&gt;"Production","",IFERROR(
_xlfn.IFS(AND(AH9&gt;0,AH9&lt;($BC$3-$D9)),AH9,
AND(AH9&gt;0,AH9&gt;($BC$3-$D9)),($BC$3-$D9)),""))</f>
        <v/>
      </c>
      <c r="BH9" s="85" t="str" cm="1">
        <f t="array" ref="BH9">IF($C9&lt;&gt;"Production","",IFERROR(
_xlfn.IFS(AND(AI9&gt;0,AI9&lt;($BC$3-$D9)),AI9,
AND(AI9&gt;0,AI9&gt;($BC$3-$D9)),($BC$3-$D9)),""))</f>
        <v/>
      </c>
      <c r="BI9" s="85" t="str" cm="1">
        <f t="array" ref="BI9">IF($C9&lt;&gt;"Production","",IFERROR(
_xlfn.IFS(AND(AJ9&gt;0,AJ9&lt;($BC$3-$D9)),AJ9,
AND(AJ9&gt;0,AJ9&gt;($BC$3-$D9)),($BC$3-$D9)),""))</f>
        <v/>
      </c>
      <c r="BJ9" s="85" t="str" cm="1">
        <f t="array" ref="BJ9">IF($C9&lt;&gt;"Production","",IFERROR(
_xlfn.IFS(AND(AK9&gt;0,AK9&lt;($BC$3-$D9)),AK9,
AND(AK9&gt;0,AK9&gt;($BC$3-$D9)),($BC$3-$D9)),""))</f>
        <v/>
      </c>
      <c r="BK9" s="85" t="str" cm="1">
        <f t="array" ref="BK9">IF($C9&lt;&gt;"Production","",IFERROR(
_xlfn.IFS(AND(AL9&gt;0,AL9&lt;($BC$3-$D9)),AL9,
AND(AL9&gt;0,AL9&gt;($BC$3-$D9)),($BC$3-$D9)),""))</f>
        <v/>
      </c>
      <c r="BL9" s="85" t="str" cm="1">
        <f t="array" ref="BL9">IF($C9&lt;&gt;"Production","",IFERROR(
_xlfn.IFS(AND(AM9&gt;0,AM9&lt;($BC$3-$D9)),AM9,
AND(AM9&gt;0,AM9&gt;($BC$3-$D9)),($BC$3-$D9)),""))</f>
        <v/>
      </c>
      <c r="BM9" s="85">
        <f t="shared" si="47"/>
        <v>0</v>
      </c>
      <c r="BN9" s="81"/>
      <c r="BO9" s="85" t="str" cm="1">
        <f t="array" ref="BO9">IF($C9="Production","",IFERROR(
_xlfn.IFS(AND(AO9&gt;0,AO9&lt;($BC$3-$D9)),AO9,
AND(AO9&gt;0,AO9&gt;($BC$3-$D9)),($BC$3-$D9)),""))</f>
        <v/>
      </c>
      <c r="BP9" s="85" t="str" cm="1">
        <f t="array" ref="BP9">IF($C9="Production","",IFERROR(
_xlfn.IFS(AND(AP9&gt;0,AP9&lt;($BC$3-$D9)),AP9,
AND(AP9&gt;0,AP9&gt;($BC$3-$D9)),($BC$3-$D9)),""))</f>
        <v/>
      </c>
      <c r="BQ9" s="85" t="str" cm="1">
        <f t="array" ref="BQ9">IF($C9="Production","",IFERROR(
_xlfn.IFS(AND(AQ9&gt;0,AQ9&lt;($BC$3-$D9)),AQ9,
AND(AQ9&gt;0,AQ9&gt;($BC$3-$D9)),($BC$3-$D9)),""))</f>
        <v/>
      </c>
      <c r="BR9" s="85" t="str" cm="1">
        <f t="array" ref="BR9">IF($C9="Production","",IFERROR(
_xlfn.IFS(AND(AR9&gt;0,AR9&lt;($BC$3-$D9)),AR9,
AND(AR9&gt;0,AR9&gt;($BC$3-$D9)),($BC$3-$D9)),""))</f>
        <v/>
      </c>
      <c r="BS9" s="85" t="str" cm="1">
        <f t="array" ref="BS9">IF($C9="Production","",IFERROR(
_xlfn.IFS(AND(AS9&gt;0,AS9&lt;($BC$3-$D9)),AS9,
AND(AS9&gt;0,AS9&gt;($BC$3-$D9)),($BC$3-$D9)),""))</f>
        <v/>
      </c>
      <c r="BT9" s="85" t="str" cm="1">
        <f t="array" ref="BT9">IF($C9="Production","",IFERROR(
_xlfn.IFS(AND(AT9&gt;0,AT9&lt;($BC$3-$D9)),AT9,
AND(AT9&gt;0,AT9&gt;($BC$3-$D9)),($BC$3-$D9)),""))</f>
        <v/>
      </c>
      <c r="BU9" s="85" t="str" cm="1">
        <f t="array" ref="BU9">IF($C9="Production","",IFERROR(
_xlfn.IFS(AND(AU9&gt;0,AU9&lt;($BC$3-$D9)),AU9,
AND(AU9&gt;0,AU9&gt;($BC$3-$D9)),($BC$3-$D9)),""))</f>
        <v/>
      </c>
      <c r="BV9" s="85" t="str" cm="1">
        <f t="array" ref="BV9">IF($C9="Production","",IFERROR(
_xlfn.IFS(AND(AV9&gt;0,AV9&lt;($BC$3-$D9)),AV9,
AND(AV9&gt;0,AV9&gt;($BC$3-$D9)),($BC$3-$D9)),""))</f>
        <v/>
      </c>
      <c r="BW9" s="85" t="str" cm="1">
        <f t="array" ref="BW9">IF($C9="Production","",IFERROR(
_xlfn.IFS(AND(AW9&gt;0,AW9&lt;($BC$3-$D9)),AW9,
AND(AW9&gt;0,AW9&gt;($BC$3-$D9)),($BC$3-$D9)),""))</f>
        <v/>
      </c>
      <c r="BX9" s="85" t="str" cm="1">
        <f t="array" ref="BX9">IF($C9="Production","",IFERROR(
_xlfn.IFS(AND(AX9&gt;0,AX9&lt;($BC$3-$D9)),AX9,
AND(AX9&gt;0,AX9&gt;($BC$3-$D9)),($BC$3-$D9)),""))</f>
        <v/>
      </c>
      <c r="BY9" s="85" t="str" cm="1">
        <f t="array" ref="BY9">IF($C9="Production","",IFERROR(
_xlfn.IFS(AND(AY9&gt;0,AY9&lt;($BC$3-$D9)),AY9,
AND(AY9&gt;0,AY9&gt;($BC$3-$D9)),($BC$3-$D9)),""))</f>
        <v/>
      </c>
      <c r="BZ9" s="85">
        <f t="shared" si="48"/>
        <v>0</v>
      </c>
      <c r="CA9" s="81"/>
      <c r="CB9" s="85" t="str">
        <f t="shared" si="49"/>
        <v/>
      </c>
      <c r="CC9" s="85" t="str">
        <f t="shared" si="16"/>
        <v/>
      </c>
      <c r="CD9" s="85" t="str">
        <f t="shared" si="17"/>
        <v/>
      </c>
      <c r="CE9" s="85" t="str">
        <f t="shared" si="18"/>
        <v/>
      </c>
      <c r="CF9" s="85" t="str">
        <f t="shared" si="19"/>
        <v/>
      </c>
      <c r="CG9" s="85" t="str">
        <f t="shared" si="20"/>
        <v/>
      </c>
      <c r="CH9" s="85" t="str">
        <f t="shared" si="21"/>
        <v/>
      </c>
      <c r="CI9" s="85" t="str">
        <f t="shared" si="22"/>
        <v/>
      </c>
      <c r="CJ9" s="85" t="str">
        <f t="shared" si="23"/>
        <v/>
      </c>
      <c r="CK9" s="85" t="str">
        <f t="shared" si="24"/>
        <v/>
      </c>
      <c r="CL9" s="85" t="str">
        <f t="shared" si="25"/>
        <v/>
      </c>
      <c r="CM9" s="85">
        <f t="shared" si="50"/>
        <v>0</v>
      </c>
      <c r="CO9" s="80" t="str">
        <f t="shared" si="51"/>
        <v/>
      </c>
      <c r="CP9" s="80" t="str">
        <f t="shared" si="52"/>
        <v/>
      </c>
      <c r="CQ9" s="80" t="str">
        <f t="shared" si="53"/>
        <v/>
      </c>
      <c r="CR9" s="80" t="str">
        <f t="shared" si="54"/>
        <v/>
      </c>
      <c r="CS9" s="80" t="str">
        <f t="shared" si="55"/>
        <v/>
      </c>
      <c r="CT9" s="80" t="str">
        <f t="shared" si="56"/>
        <v/>
      </c>
      <c r="CU9" s="80" t="str">
        <f t="shared" si="57"/>
        <v/>
      </c>
      <c r="CV9" s="80" t="str">
        <f t="shared" si="58"/>
        <v/>
      </c>
      <c r="CW9" s="80" t="str">
        <f t="shared" si="59"/>
        <v/>
      </c>
      <c r="CX9" s="80" t="str">
        <f t="shared" si="60"/>
        <v/>
      </c>
      <c r="CY9" s="80" t="str">
        <f t="shared" si="61"/>
        <v/>
      </c>
      <c r="CZ9" s="80">
        <f t="shared" si="62"/>
        <v>0</v>
      </c>
      <c r="DB9" s="80">
        <f t="shared" si="63"/>
        <v>0</v>
      </c>
      <c r="DC9" s="80">
        <f t="shared" si="64"/>
        <v>0</v>
      </c>
      <c r="DD9" s="80">
        <f t="shared" si="65"/>
        <v>0</v>
      </c>
      <c r="DE9" s="80">
        <f t="shared" si="66"/>
        <v>-33</v>
      </c>
      <c r="DF9" s="80">
        <f t="shared" si="67"/>
        <v>-33</v>
      </c>
    </row>
    <row r="10" spans="2:110" x14ac:dyDescent="0.15">
      <c r="B10" s="83" t="str">
        <f>'MODU 2025'!B13</f>
        <v>BOUILLET Dominique</v>
      </c>
      <c r="C10" s="83" t="str">
        <f>'MODU 2025'!C13</f>
        <v>Production</v>
      </c>
      <c r="D10" s="83">
        <f>'MODU 2025'!D13</f>
        <v>37</v>
      </c>
      <c r="E10" s="83">
        <f>'MODU 2025'!G13</f>
        <v>33</v>
      </c>
      <c r="F10" s="83">
        <f>'MODU 2025'!H13</f>
        <v>36.75</v>
      </c>
      <c r="G10" s="83">
        <f>'MODU 2025'!I13</f>
        <v>33</v>
      </c>
      <c r="H10" s="83">
        <f>'MODU 2025'!J13</f>
        <v>41</v>
      </c>
      <c r="I10" s="83">
        <f>'MODU 2025'!K13</f>
        <v>33</v>
      </c>
      <c r="J10" s="83">
        <f>'MODU 2025'!L13</f>
        <v>41</v>
      </c>
      <c r="K10" s="83">
        <f>'MODU 2025'!M13</f>
        <v>33</v>
      </c>
      <c r="L10" s="83">
        <f>'MODU 2025'!N13</f>
        <v>41</v>
      </c>
      <c r="M10" s="83">
        <f>'MODU 2025'!O13</f>
        <v>33</v>
      </c>
      <c r="N10" s="83">
        <f>'MODU 2025'!P13</f>
        <v>41</v>
      </c>
      <c r="O10" s="83">
        <f>'MODU 2025'!Q13</f>
        <v>33</v>
      </c>
      <c r="P10" s="85"/>
      <c r="Q10" s="85">
        <f>IF(MOD(COLUMN(),2)=0,INDEX(paramètres!$C$4:$C$6,MATCH($C10,paramètres!$B$4:$B$6,0)),INDEX(paramètres!$D$4:$D$6,MATCH($C10,paramètres!$B$4:$B$6,0)))</f>
        <v>41</v>
      </c>
      <c r="R10" s="85">
        <f>IF(MOD(COLUMN(),2)=0,INDEX(paramètres!$C$4:$C$6,MATCH($C10,paramètres!$B$4:$B$6,0)),INDEX(paramètres!$D$4:$D$6,MATCH($C10,paramètres!$B$4:$B$6,0)))</f>
        <v>33</v>
      </c>
      <c r="S10" s="85">
        <f>IF(MOD(COLUMN(),2)=0,INDEX(paramètres!$C$4:$C$6,MATCH($C10,paramètres!$B$4:$B$6,0)),INDEX(paramètres!$D$4:$D$6,MATCH($C10,paramètres!$B$4:$B$6,0)))</f>
        <v>41</v>
      </c>
      <c r="T10" s="85">
        <f>IF(MOD(COLUMN(),2)=0,INDEX(paramètres!$C$4:$C$6,MATCH($C10,paramètres!$B$4:$B$6,0)),INDEX(paramètres!$D$4:$D$6,MATCH($C10,paramètres!$B$4:$B$6,0)))</f>
        <v>33</v>
      </c>
      <c r="U10" s="85">
        <f>IF(MOD(COLUMN(),2)=0,INDEX(paramètres!$C$4:$C$6,MATCH($C10,paramètres!$B$4:$B$6,0)),INDEX(paramètres!$D$4:$D$6,MATCH($C10,paramètres!$B$4:$B$6,0)))</f>
        <v>41</v>
      </c>
      <c r="V10" s="85">
        <f>IF(MOD(COLUMN(),2)=0,INDEX(paramètres!$C$4:$C$6,MATCH($C10,paramètres!$B$4:$B$6,0)),INDEX(paramètres!$D$4:$D$6,MATCH($C10,paramètres!$B$4:$B$6,0)))</f>
        <v>33</v>
      </c>
      <c r="W10" s="85">
        <f>IF(MOD(COLUMN(),2)=0,INDEX(paramètres!$C$4:$C$6,MATCH($C10,paramètres!$B$4:$B$6,0)),INDEX(paramètres!$D$4:$D$6,MATCH($C10,paramètres!$B$4:$B$6,0)))</f>
        <v>41</v>
      </c>
      <c r="X10" s="85">
        <f>IF(MOD(COLUMN(),2)=0,INDEX(paramètres!$C$4:$C$6,MATCH($C10,paramètres!$B$4:$B$6,0)),INDEX(paramètres!$D$4:$D$6,MATCH($C10,paramètres!$B$4:$B$6,0)))</f>
        <v>33</v>
      </c>
      <c r="Y10" s="85">
        <f>IF(MOD(COLUMN(),2)=0,INDEX(paramètres!$C$4:$C$6,MATCH($C10,paramètres!$B$4:$B$6,0)),INDEX(paramètres!$D$4:$D$6,MATCH($C10,paramètres!$B$4:$B$6,0)))</f>
        <v>41</v>
      </c>
      <c r="Z10" s="85">
        <f>IF(MOD(COLUMN(),2)=0,INDEX(paramètres!$C$4:$C$6,MATCH($C10,paramètres!$B$4:$B$6,0)),INDEX(paramètres!$D$4:$D$6,MATCH($C10,paramètres!$B$4:$B$6,0)))</f>
        <v>33</v>
      </c>
      <c r="AA10" s="85">
        <f>IF(MOD(COLUMN(),2)=0,INDEX(paramètres!$C$4:$C$6,MATCH($C10,paramètres!$B$4:$B$6,0)),INDEX(paramètres!$D$4:$D$6,MATCH($C10,paramètres!$B$4:$B$6,0)))</f>
        <v>41</v>
      </c>
      <c r="AB10" s="86"/>
      <c r="AC10" s="85">
        <f t="shared" si="68"/>
        <v>-4.25</v>
      </c>
      <c r="AD10" s="85">
        <f t="shared" si="26"/>
        <v>0</v>
      </c>
      <c r="AE10" s="85">
        <f t="shared" si="69"/>
        <v>0</v>
      </c>
      <c r="AF10" s="85">
        <f t="shared" si="27"/>
        <v>0</v>
      </c>
      <c r="AG10" s="85">
        <f t="shared" si="28"/>
        <v>0</v>
      </c>
      <c r="AH10" s="85">
        <f t="shared" si="29"/>
        <v>0</v>
      </c>
      <c r="AI10" s="85">
        <f t="shared" si="30"/>
        <v>0</v>
      </c>
      <c r="AJ10" s="85">
        <f t="shared" si="31"/>
        <v>0</v>
      </c>
      <c r="AK10" s="85">
        <f t="shared" si="32"/>
        <v>0</v>
      </c>
      <c r="AL10" s="85">
        <f t="shared" si="33"/>
        <v>0</v>
      </c>
      <c r="AM10" s="85">
        <f t="shared" si="34"/>
        <v>-41</v>
      </c>
      <c r="AN10" s="85"/>
      <c r="AO10" s="85" t="str">
        <f t="shared" si="35"/>
        <v/>
      </c>
      <c r="AP10" s="85" t="str">
        <f t="shared" si="36"/>
        <v/>
      </c>
      <c r="AQ10" s="85" t="str">
        <f t="shared" si="37"/>
        <v/>
      </c>
      <c r="AR10" s="85" t="str">
        <f t="shared" si="38"/>
        <v/>
      </c>
      <c r="AS10" s="85" t="str">
        <f t="shared" si="39"/>
        <v/>
      </c>
      <c r="AT10" s="85" t="str">
        <f t="shared" si="40"/>
        <v/>
      </c>
      <c r="AU10" s="85" t="str">
        <f t="shared" si="41"/>
        <v/>
      </c>
      <c r="AV10" s="85" t="str">
        <f t="shared" si="42"/>
        <v/>
      </c>
      <c r="AW10" s="85" t="str">
        <f t="shared" si="43"/>
        <v/>
      </c>
      <c r="AX10" s="85" t="str">
        <f t="shared" si="44"/>
        <v/>
      </c>
      <c r="AY10" s="85" t="str">
        <f t="shared" si="45"/>
        <v/>
      </c>
      <c r="AZ10" s="85">
        <f t="shared" si="46"/>
        <v>0</v>
      </c>
      <c r="BA10" s="35"/>
      <c r="BB10" s="85" t="str" cm="1">
        <f t="array" ref="BB10">IF($C10&lt;&gt;"Production","",IFERROR(
_xlfn.IFS(AND(AC10&gt;0,AC10&lt;($BC$3-$D10)),AC10,
AND(AC10&gt;0,AC10&gt;($BC$3-$D10)),($BC$3-$D10)),""))</f>
        <v/>
      </c>
      <c r="BC10" s="85" t="str" cm="1">
        <f t="array" ref="BC10">IF($C10&lt;&gt;"Production","",IFERROR(
_xlfn.IFS(AND(AD10&gt;0,AD10&lt;($BC$3-$D10)),AD10,
AND(AD10&gt;0,AD10&gt;($BC$3-$D10)),($BC$3-$D10)),""))</f>
        <v/>
      </c>
      <c r="BD10" s="85" t="str" cm="1">
        <f t="array" ref="BD10">IF($C10&lt;&gt;"Production","",IFERROR(
_xlfn.IFS(AND(AE10&gt;0,AE10&lt;($BC$3-$D10)),AE10,
AND(AE10&gt;0,AE10&gt;($BC$3-$D10)),($BC$3-$D10)),""))</f>
        <v/>
      </c>
      <c r="BE10" s="85" t="str" cm="1">
        <f t="array" ref="BE10">IF($C10&lt;&gt;"Production","",IFERROR(
_xlfn.IFS(AND(AF10&gt;0,AF10&lt;($BC$3-$D10)),AF10,
AND(AF10&gt;0,AF10&gt;($BC$3-$D10)),($BC$3-$D10)),""))</f>
        <v/>
      </c>
      <c r="BF10" s="85" t="str" cm="1">
        <f t="array" ref="BF10">IF($C10&lt;&gt;"Production","",IFERROR(
_xlfn.IFS(AND(AG10&gt;0,AG10&lt;($BC$3-$D10)),AG10,
AND(AG10&gt;0,AG10&gt;($BC$3-$D10)),($BC$3-$D10)),""))</f>
        <v/>
      </c>
      <c r="BG10" s="85" t="str" cm="1">
        <f t="array" ref="BG10">IF($C10&lt;&gt;"Production","",IFERROR(
_xlfn.IFS(AND(AH10&gt;0,AH10&lt;($BC$3-$D10)),AH10,
AND(AH10&gt;0,AH10&gt;($BC$3-$D10)),($BC$3-$D10)),""))</f>
        <v/>
      </c>
      <c r="BH10" s="85" t="str" cm="1">
        <f t="array" ref="BH10">IF($C10&lt;&gt;"Production","",IFERROR(
_xlfn.IFS(AND(AI10&gt;0,AI10&lt;($BC$3-$D10)),AI10,
AND(AI10&gt;0,AI10&gt;($BC$3-$D10)),($BC$3-$D10)),""))</f>
        <v/>
      </c>
      <c r="BI10" s="85" t="str" cm="1">
        <f t="array" ref="BI10">IF($C10&lt;&gt;"Production","",IFERROR(
_xlfn.IFS(AND(AJ10&gt;0,AJ10&lt;($BC$3-$D10)),AJ10,
AND(AJ10&gt;0,AJ10&gt;($BC$3-$D10)),($BC$3-$D10)),""))</f>
        <v/>
      </c>
      <c r="BJ10" s="85" t="str" cm="1">
        <f t="array" ref="BJ10">IF($C10&lt;&gt;"Production","",IFERROR(
_xlfn.IFS(AND(AK10&gt;0,AK10&lt;($BC$3-$D10)),AK10,
AND(AK10&gt;0,AK10&gt;($BC$3-$D10)),($BC$3-$D10)),""))</f>
        <v/>
      </c>
      <c r="BK10" s="85" t="str" cm="1">
        <f t="array" ref="BK10">IF($C10&lt;&gt;"Production","",IFERROR(
_xlfn.IFS(AND(AL10&gt;0,AL10&lt;($BC$3-$D10)),AL10,
AND(AL10&gt;0,AL10&gt;($BC$3-$D10)),($BC$3-$D10)),""))</f>
        <v/>
      </c>
      <c r="BL10" s="85" t="str" cm="1">
        <f t="array" ref="BL10">IF($C10&lt;&gt;"Production","",IFERROR(
_xlfn.IFS(AND(AM10&gt;0,AM10&lt;($BC$3-$D10)),AM10,
AND(AM10&gt;0,AM10&gt;($BC$3-$D10)),($BC$3-$D10)),""))</f>
        <v/>
      </c>
      <c r="BM10" s="85">
        <f t="shared" si="47"/>
        <v>0</v>
      </c>
      <c r="BN10" s="81"/>
      <c r="BO10" s="85" t="str" cm="1">
        <f t="array" ref="BO10">IF($C10="Production","",IFERROR(
_xlfn.IFS(AND(AO10&gt;0,AO10&lt;($BC$3-$D10)),AO10,
AND(AO10&gt;0,AO10&gt;($BC$3-$D10)),($BC$3-$D10)),""))</f>
        <v/>
      </c>
      <c r="BP10" s="85" t="str" cm="1">
        <f t="array" ref="BP10">IF($C10="Production","",IFERROR(
_xlfn.IFS(AND(AP10&gt;0,AP10&lt;($BC$3-$D10)),AP10,
AND(AP10&gt;0,AP10&gt;($BC$3-$D10)),($BC$3-$D10)),""))</f>
        <v/>
      </c>
      <c r="BQ10" s="85" t="str" cm="1">
        <f t="array" ref="BQ10">IF($C10="Production","",IFERROR(
_xlfn.IFS(AND(AQ10&gt;0,AQ10&lt;($BC$3-$D10)),AQ10,
AND(AQ10&gt;0,AQ10&gt;($BC$3-$D10)),($BC$3-$D10)),""))</f>
        <v/>
      </c>
      <c r="BR10" s="85" t="str" cm="1">
        <f t="array" ref="BR10">IF($C10="Production","",IFERROR(
_xlfn.IFS(AND(AR10&gt;0,AR10&lt;($BC$3-$D10)),AR10,
AND(AR10&gt;0,AR10&gt;($BC$3-$D10)),($BC$3-$D10)),""))</f>
        <v/>
      </c>
      <c r="BS10" s="85" t="str" cm="1">
        <f t="array" ref="BS10">IF($C10="Production","",IFERROR(
_xlfn.IFS(AND(AS10&gt;0,AS10&lt;($BC$3-$D10)),AS10,
AND(AS10&gt;0,AS10&gt;($BC$3-$D10)),($BC$3-$D10)),""))</f>
        <v/>
      </c>
      <c r="BT10" s="85" t="str" cm="1">
        <f t="array" ref="BT10">IF($C10="Production","",IFERROR(
_xlfn.IFS(AND(AT10&gt;0,AT10&lt;($BC$3-$D10)),AT10,
AND(AT10&gt;0,AT10&gt;($BC$3-$D10)),($BC$3-$D10)),""))</f>
        <v/>
      </c>
      <c r="BU10" s="85" t="str" cm="1">
        <f t="array" ref="BU10">IF($C10="Production","",IFERROR(
_xlfn.IFS(AND(AU10&gt;0,AU10&lt;($BC$3-$D10)),AU10,
AND(AU10&gt;0,AU10&gt;($BC$3-$D10)),($BC$3-$D10)),""))</f>
        <v/>
      </c>
      <c r="BV10" s="85" t="str" cm="1">
        <f t="array" ref="BV10">IF($C10="Production","",IFERROR(
_xlfn.IFS(AND(AV10&gt;0,AV10&lt;($BC$3-$D10)),AV10,
AND(AV10&gt;0,AV10&gt;($BC$3-$D10)),($BC$3-$D10)),""))</f>
        <v/>
      </c>
      <c r="BW10" s="85" t="str" cm="1">
        <f t="array" ref="BW10">IF($C10="Production","",IFERROR(
_xlfn.IFS(AND(AW10&gt;0,AW10&lt;($BC$3-$D10)),AW10,
AND(AW10&gt;0,AW10&gt;($BC$3-$D10)),($BC$3-$D10)),""))</f>
        <v/>
      </c>
      <c r="BX10" s="85" t="str" cm="1">
        <f t="array" ref="BX10">IF($C10="Production","",IFERROR(
_xlfn.IFS(AND(AX10&gt;0,AX10&lt;($BC$3-$D10)),AX10,
AND(AX10&gt;0,AX10&gt;($BC$3-$D10)),($BC$3-$D10)),""))</f>
        <v/>
      </c>
      <c r="BY10" s="85" t="str" cm="1">
        <f t="array" ref="BY10">IF($C10="Production","",IFERROR(
_xlfn.IFS(AND(AY10&gt;0,AY10&lt;($BC$3-$D10)),AY10,
AND(AY10&gt;0,AY10&gt;($BC$3-$D10)),($BC$3-$D10)),""))</f>
        <v/>
      </c>
      <c r="BZ10" s="85">
        <f t="shared" si="48"/>
        <v>0</v>
      </c>
      <c r="CA10" s="81"/>
      <c r="CB10" s="85" t="str">
        <f t="shared" si="49"/>
        <v/>
      </c>
      <c r="CC10" s="85" t="str">
        <f t="shared" si="16"/>
        <v/>
      </c>
      <c r="CD10" s="85" t="str">
        <f t="shared" si="17"/>
        <v/>
      </c>
      <c r="CE10" s="85" t="str">
        <f t="shared" si="18"/>
        <v/>
      </c>
      <c r="CF10" s="85" t="str">
        <f t="shared" si="19"/>
        <v/>
      </c>
      <c r="CG10" s="85" t="str">
        <f t="shared" si="20"/>
        <v/>
      </c>
      <c r="CH10" s="85" t="str">
        <f t="shared" si="21"/>
        <v/>
      </c>
      <c r="CI10" s="85" t="str">
        <f t="shared" si="22"/>
        <v/>
      </c>
      <c r="CJ10" s="85" t="str">
        <f t="shared" si="23"/>
        <v/>
      </c>
      <c r="CK10" s="85" t="str">
        <f t="shared" si="24"/>
        <v/>
      </c>
      <c r="CL10" s="85" t="str">
        <f t="shared" si="25"/>
        <v/>
      </c>
      <c r="CM10" s="85">
        <f t="shared" si="50"/>
        <v>0</v>
      </c>
      <c r="CO10" s="80" t="str">
        <f t="shared" si="51"/>
        <v/>
      </c>
      <c r="CP10" s="80" t="str">
        <f t="shared" si="52"/>
        <v/>
      </c>
      <c r="CQ10" s="80" t="str">
        <f t="shared" si="53"/>
        <v/>
      </c>
      <c r="CR10" s="80" t="str">
        <f t="shared" si="54"/>
        <v/>
      </c>
      <c r="CS10" s="80" t="str">
        <f t="shared" si="55"/>
        <v/>
      </c>
      <c r="CT10" s="80" t="str">
        <f t="shared" si="56"/>
        <v/>
      </c>
      <c r="CU10" s="80" t="str">
        <f t="shared" si="57"/>
        <v/>
      </c>
      <c r="CV10" s="80" t="str">
        <f t="shared" si="58"/>
        <v/>
      </c>
      <c r="CW10" s="80" t="str">
        <f t="shared" si="59"/>
        <v/>
      </c>
      <c r="CX10" s="80" t="str">
        <f t="shared" si="60"/>
        <v/>
      </c>
      <c r="CY10" s="80" t="str">
        <f t="shared" si="61"/>
        <v/>
      </c>
      <c r="CZ10" s="80">
        <f t="shared" si="62"/>
        <v>0</v>
      </c>
      <c r="DB10" s="80">
        <f t="shared" si="63"/>
        <v>0</v>
      </c>
      <c r="DC10" s="80">
        <f t="shared" si="64"/>
        <v>0</v>
      </c>
      <c r="DD10" s="80">
        <f t="shared" si="65"/>
        <v>0</v>
      </c>
      <c r="DE10" s="80">
        <f t="shared" si="66"/>
        <v>-45.25</v>
      </c>
      <c r="DF10" s="80">
        <f t="shared" si="67"/>
        <v>-45.25</v>
      </c>
    </row>
    <row r="11" spans="2:110" x14ac:dyDescent="0.15">
      <c r="B11" s="83" t="str">
        <f>'MODU 2025'!B14</f>
        <v>BUFFY Stéphanie</v>
      </c>
      <c r="C11" s="83" t="str">
        <f>'MODU 2025'!C14</f>
        <v>Production</v>
      </c>
      <c r="D11" s="83">
        <f>'MODU 2025'!D14</f>
        <v>37</v>
      </c>
      <c r="E11" s="83">
        <f>'MODU 2025'!G14</f>
        <v>33</v>
      </c>
      <c r="F11" s="83">
        <f>'MODU 2025'!H14</f>
        <v>41</v>
      </c>
      <c r="G11" s="83">
        <f>'MODU 2025'!I14</f>
        <v>33</v>
      </c>
      <c r="H11" s="83">
        <f>'MODU 2025'!J14</f>
        <v>41</v>
      </c>
      <c r="I11" s="83">
        <f>'MODU 2025'!K14</f>
        <v>33</v>
      </c>
      <c r="J11" s="83">
        <f>'MODU 2025'!L14</f>
        <v>41</v>
      </c>
      <c r="K11" s="83">
        <f>'MODU 2025'!M14</f>
        <v>33</v>
      </c>
      <c r="L11" s="83">
        <f>'MODU 2025'!N14</f>
        <v>41</v>
      </c>
      <c r="M11" s="83">
        <f>'MODU 2025'!O14</f>
        <v>33</v>
      </c>
      <c r="N11" s="83">
        <f>'MODU 2025'!P14</f>
        <v>41</v>
      </c>
      <c r="O11" s="83">
        <f>'MODU 2025'!Q14</f>
        <v>33</v>
      </c>
      <c r="P11" s="85"/>
      <c r="Q11" s="85">
        <f>IF(MOD(COLUMN(),2)=0,INDEX(paramètres!$C$4:$C$6,MATCH($C11,paramètres!$B$4:$B$6,0)),INDEX(paramètres!$D$4:$D$6,MATCH($C11,paramètres!$B$4:$B$6,0)))</f>
        <v>41</v>
      </c>
      <c r="R11" s="85">
        <f>IF(MOD(COLUMN(),2)=0,INDEX(paramètres!$C$4:$C$6,MATCH($C11,paramètres!$B$4:$B$6,0)),INDEX(paramètres!$D$4:$D$6,MATCH($C11,paramètres!$B$4:$B$6,0)))</f>
        <v>33</v>
      </c>
      <c r="S11" s="85">
        <f>IF(MOD(COLUMN(),2)=0,INDEX(paramètres!$C$4:$C$6,MATCH($C11,paramètres!$B$4:$B$6,0)),INDEX(paramètres!$D$4:$D$6,MATCH($C11,paramètres!$B$4:$B$6,0)))</f>
        <v>41</v>
      </c>
      <c r="T11" s="85">
        <f>IF(MOD(COLUMN(),2)=0,INDEX(paramètres!$C$4:$C$6,MATCH($C11,paramètres!$B$4:$B$6,0)),INDEX(paramètres!$D$4:$D$6,MATCH($C11,paramètres!$B$4:$B$6,0)))</f>
        <v>33</v>
      </c>
      <c r="U11" s="85">
        <f>IF(MOD(COLUMN(),2)=0,INDEX(paramètres!$C$4:$C$6,MATCH($C11,paramètres!$B$4:$B$6,0)),INDEX(paramètres!$D$4:$D$6,MATCH($C11,paramètres!$B$4:$B$6,0)))</f>
        <v>41</v>
      </c>
      <c r="V11" s="85">
        <f>IF(MOD(COLUMN(),2)=0,INDEX(paramètres!$C$4:$C$6,MATCH($C11,paramètres!$B$4:$B$6,0)),INDEX(paramètres!$D$4:$D$6,MATCH($C11,paramètres!$B$4:$B$6,0)))</f>
        <v>33</v>
      </c>
      <c r="W11" s="85">
        <f>IF(MOD(COLUMN(),2)=0,INDEX(paramètres!$C$4:$C$6,MATCH($C11,paramètres!$B$4:$B$6,0)),INDEX(paramètres!$D$4:$D$6,MATCH($C11,paramètres!$B$4:$B$6,0)))</f>
        <v>41</v>
      </c>
      <c r="X11" s="85">
        <f>IF(MOD(COLUMN(),2)=0,INDEX(paramètres!$C$4:$C$6,MATCH($C11,paramètres!$B$4:$B$6,0)),INDEX(paramètres!$D$4:$D$6,MATCH($C11,paramètres!$B$4:$B$6,0)))</f>
        <v>33</v>
      </c>
      <c r="Y11" s="85">
        <f>IF(MOD(COLUMN(),2)=0,INDEX(paramètres!$C$4:$C$6,MATCH($C11,paramètres!$B$4:$B$6,0)),INDEX(paramètres!$D$4:$D$6,MATCH($C11,paramètres!$B$4:$B$6,0)))</f>
        <v>41</v>
      </c>
      <c r="Z11" s="85">
        <f>IF(MOD(COLUMN(),2)=0,INDEX(paramètres!$C$4:$C$6,MATCH($C11,paramètres!$B$4:$B$6,0)),INDEX(paramètres!$D$4:$D$6,MATCH($C11,paramètres!$B$4:$B$6,0)))</f>
        <v>33</v>
      </c>
      <c r="AA11" s="85">
        <f>IF(MOD(COLUMN(),2)=0,INDEX(paramètres!$C$4:$C$6,MATCH($C11,paramètres!$B$4:$B$6,0)),INDEX(paramètres!$D$4:$D$6,MATCH($C11,paramètres!$B$4:$B$6,0)))</f>
        <v>41</v>
      </c>
      <c r="AB11" s="86"/>
      <c r="AC11" s="85">
        <f t="shared" si="68"/>
        <v>0</v>
      </c>
      <c r="AD11" s="85">
        <f t="shared" si="26"/>
        <v>0</v>
      </c>
      <c r="AE11" s="85">
        <f t="shared" si="69"/>
        <v>0</v>
      </c>
      <c r="AF11" s="85">
        <f t="shared" si="27"/>
        <v>0</v>
      </c>
      <c r="AG11" s="85">
        <f t="shared" si="28"/>
        <v>0</v>
      </c>
      <c r="AH11" s="85">
        <f t="shared" si="29"/>
        <v>0</v>
      </c>
      <c r="AI11" s="85">
        <f t="shared" si="30"/>
        <v>0</v>
      </c>
      <c r="AJ11" s="85">
        <f t="shared" si="31"/>
        <v>0</v>
      </c>
      <c r="AK11" s="85">
        <f t="shared" si="32"/>
        <v>0</v>
      </c>
      <c r="AL11" s="85">
        <f t="shared" si="33"/>
        <v>0</v>
      </c>
      <c r="AM11" s="85">
        <f t="shared" si="34"/>
        <v>-41</v>
      </c>
      <c r="AN11" s="85"/>
      <c r="AO11" s="85" t="str">
        <f t="shared" si="35"/>
        <v/>
      </c>
      <c r="AP11" s="85" t="str">
        <f t="shared" si="36"/>
        <v/>
      </c>
      <c r="AQ11" s="85" t="str">
        <f t="shared" si="37"/>
        <v/>
      </c>
      <c r="AR11" s="85" t="str">
        <f t="shared" si="38"/>
        <v/>
      </c>
      <c r="AS11" s="85" t="str">
        <f t="shared" si="39"/>
        <v/>
      </c>
      <c r="AT11" s="85" t="str">
        <f t="shared" si="40"/>
        <v/>
      </c>
      <c r="AU11" s="85" t="str">
        <f t="shared" si="41"/>
        <v/>
      </c>
      <c r="AV11" s="85" t="str">
        <f t="shared" si="42"/>
        <v/>
      </c>
      <c r="AW11" s="85" t="str">
        <f t="shared" si="43"/>
        <v/>
      </c>
      <c r="AX11" s="85" t="str">
        <f t="shared" si="44"/>
        <v/>
      </c>
      <c r="AY11" s="85" t="str">
        <f t="shared" si="45"/>
        <v/>
      </c>
      <c r="AZ11" s="85">
        <f t="shared" si="46"/>
        <v>0</v>
      </c>
      <c r="BA11" s="35"/>
      <c r="BB11" s="85" t="str" cm="1">
        <f t="array" ref="BB11">IF($C11&lt;&gt;"Production","",IFERROR(
_xlfn.IFS(AND(AC11&gt;0,AC11&lt;($BC$3-$D11)),AC11,
AND(AC11&gt;0,AC11&gt;($BC$3-$D11)),($BC$3-$D11)),""))</f>
        <v/>
      </c>
      <c r="BC11" s="85" t="str" cm="1">
        <f t="array" ref="BC11">IF($C11&lt;&gt;"Production","",IFERROR(
_xlfn.IFS(AND(AD11&gt;0,AD11&lt;($BC$3-$D11)),AD11,
AND(AD11&gt;0,AD11&gt;($BC$3-$D11)),($BC$3-$D11)),""))</f>
        <v/>
      </c>
      <c r="BD11" s="85" t="str" cm="1">
        <f t="array" ref="BD11">IF($C11&lt;&gt;"Production","",IFERROR(
_xlfn.IFS(AND(AE11&gt;0,AE11&lt;($BC$3-$D11)),AE11,
AND(AE11&gt;0,AE11&gt;($BC$3-$D11)),($BC$3-$D11)),""))</f>
        <v/>
      </c>
      <c r="BE11" s="85" t="str" cm="1">
        <f t="array" ref="BE11">IF($C11&lt;&gt;"Production","",IFERROR(
_xlfn.IFS(AND(AF11&gt;0,AF11&lt;($BC$3-$D11)),AF11,
AND(AF11&gt;0,AF11&gt;($BC$3-$D11)),($BC$3-$D11)),""))</f>
        <v/>
      </c>
      <c r="BF11" s="85" t="str" cm="1">
        <f t="array" ref="BF11">IF($C11&lt;&gt;"Production","",IFERROR(
_xlfn.IFS(AND(AG11&gt;0,AG11&lt;($BC$3-$D11)),AG11,
AND(AG11&gt;0,AG11&gt;($BC$3-$D11)),($BC$3-$D11)),""))</f>
        <v/>
      </c>
      <c r="BG11" s="85" t="str" cm="1">
        <f t="array" ref="BG11">IF($C11&lt;&gt;"Production","",IFERROR(
_xlfn.IFS(AND(AH11&gt;0,AH11&lt;($BC$3-$D11)),AH11,
AND(AH11&gt;0,AH11&gt;($BC$3-$D11)),($BC$3-$D11)),""))</f>
        <v/>
      </c>
      <c r="BH11" s="85" t="str" cm="1">
        <f t="array" ref="BH11">IF($C11&lt;&gt;"Production","",IFERROR(
_xlfn.IFS(AND(AI11&gt;0,AI11&lt;($BC$3-$D11)),AI11,
AND(AI11&gt;0,AI11&gt;($BC$3-$D11)),($BC$3-$D11)),""))</f>
        <v/>
      </c>
      <c r="BI11" s="85" t="str" cm="1">
        <f t="array" ref="BI11">IF($C11&lt;&gt;"Production","",IFERROR(
_xlfn.IFS(AND(AJ11&gt;0,AJ11&lt;($BC$3-$D11)),AJ11,
AND(AJ11&gt;0,AJ11&gt;($BC$3-$D11)),($BC$3-$D11)),""))</f>
        <v/>
      </c>
      <c r="BJ11" s="85" t="str" cm="1">
        <f t="array" ref="BJ11">IF($C11&lt;&gt;"Production","",IFERROR(
_xlfn.IFS(AND(AK11&gt;0,AK11&lt;($BC$3-$D11)),AK11,
AND(AK11&gt;0,AK11&gt;($BC$3-$D11)),($BC$3-$D11)),""))</f>
        <v/>
      </c>
      <c r="BK11" s="85" t="str" cm="1">
        <f t="array" ref="BK11">IF($C11&lt;&gt;"Production","",IFERROR(
_xlfn.IFS(AND(AL11&gt;0,AL11&lt;($BC$3-$D11)),AL11,
AND(AL11&gt;0,AL11&gt;($BC$3-$D11)),($BC$3-$D11)),""))</f>
        <v/>
      </c>
      <c r="BL11" s="85" t="str" cm="1">
        <f t="array" ref="BL11">IF($C11&lt;&gt;"Production","",IFERROR(
_xlfn.IFS(AND(AM11&gt;0,AM11&lt;($BC$3-$D11)),AM11,
AND(AM11&gt;0,AM11&gt;($BC$3-$D11)),($BC$3-$D11)),""))</f>
        <v/>
      </c>
      <c r="BM11" s="85">
        <f t="shared" si="47"/>
        <v>0</v>
      </c>
      <c r="BN11" s="81"/>
      <c r="BO11" s="85" t="str" cm="1">
        <f t="array" ref="BO11">IF($C11="Production","",IFERROR(
_xlfn.IFS(AND(AO11&gt;0,AO11&lt;($BC$3-$D11)),AO11,
AND(AO11&gt;0,AO11&gt;($BC$3-$D11)),($BC$3-$D11)),""))</f>
        <v/>
      </c>
      <c r="BP11" s="85" t="str" cm="1">
        <f t="array" ref="BP11">IF($C11="Production","",IFERROR(
_xlfn.IFS(AND(AP11&gt;0,AP11&lt;($BC$3-$D11)),AP11,
AND(AP11&gt;0,AP11&gt;($BC$3-$D11)),($BC$3-$D11)),""))</f>
        <v/>
      </c>
      <c r="BQ11" s="85" t="str" cm="1">
        <f t="array" ref="BQ11">IF($C11="Production","",IFERROR(
_xlfn.IFS(AND(AQ11&gt;0,AQ11&lt;($BC$3-$D11)),AQ11,
AND(AQ11&gt;0,AQ11&gt;($BC$3-$D11)),($BC$3-$D11)),""))</f>
        <v/>
      </c>
      <c r="BR11" s="85" t="str" cm="1">
        <f t="array" ref="BR11">IF($C11="Production","",IFERROR(
_xlfn.IFS(AND(AR11&gt;0,AR11&lt;($BC$3-$D11)),AR11,
AND(AR11&gt;0,AR11&gt;($BC$3-$D11)),($BC$3-$D11)),""))</f>
        <v/>
      </c>
      <c r="BS11" s="85" t="str" cm="1">
        <f t="array" ref="BS11">IF($C11="Production","",IFERROR(
_xlfn.IFS(AND(AS11&gt;0,AS11&lt;($BC$3-$D11)),AS11,
AND(AS11&gt;0,AS11&gt;($BC$3-$D11)),($BC$3-$D11)),""))</f>
        <v/>
      </c>
      <c r="BT11" s="85" t="str" cm="1">
        <f t="array" ref="BT11">IF($C11="Production","",IFERROR(
_xlfn.IFS(AND(AT11&gt;0,AT11&lt;($BC$3-$D11)),AT11,
AND(AT11&gt;0,AT11&gt;($BC$3-$D11)),($BC$3-$D11)),""))</f>
        <v/>
      </c>
      <c r="BU11" s="85" t="str" cm="1">
        <f t="array" ref="BU11">IF($C11="Production","",IFERROR(
_xlfn.IFS(AND(AU11&gt;0,AU11&lt;($BC$3-$D11)),AU11,
AND(AU11&gt;0,AU11&gt;($BC$3-$D11)),($BC$3-$D11)),""))</f>
        <v/>
      </c>
      <c r="BV11" s="85" t="str" cm="1">
        <f t="array" ref="BV11">IF($C11="Production","",IFERROR(
_xlfn.IFS(AND(AV11&gt;0,AV11&lt;($BC$3-$D11)),AV11,
AND(AV11&gt;0,AV11&gt;($BC$3-$D11)),($BC$3-$D11)),""))</f>
        <v/>
      </c>
      <c r="BW11" s="85" t="str" cm="1">
        <f t="array" ref="BW11">IF($C11="Production","",IFERROR(
_xlfn.IFS(AND(AW11&gt;0,AW11&lt;($BC$3-$D11)),AW11,
AND(AW11&gt;0,AW11&gt;($BC$3-$D11)),($BC$3-$D11)),""))</f>
        <v/>
      </c>
      <c r="BX11" s="85" t="str" cm="1">
        <f t="array" ref="BX11">IF($C11="Production","",IFERROR(
_xlfn.IFS(AND(AX11&gt;0,AX11&lt;($BC$3-$D11)),AX11,
AND(AX11&gt;0,AX11&gt;($BC$3-$D11)),($BC$3-$D11)),""))</f>
        <v/>
      </c>
      <c r="BY11" s="85" t="str" cm="1">
        <f t="array" ref="BY11">IF($C11="Production","",IFERROR(
_xlfn.IFS(AND(AY11&gt;0,AY11&lt;($BC$3-$D11)),AY11,
AND(AY11&gt;0,AY11&gt;($BC$3-$D11)),($BC$3-$D11)),""))</f>
        <v/>
      </c>
      <c r="BZ11" s="85">
        <f t="shared" si="48"/>
        <v>0</v>
      </c>
      <c r="CA11" s="81"/>
      <c r="CB11" s="85" t="str">
        <f t="shared" si="49"/>
        <v/>
      </c>
      <c r="CC11" s="85" t="str">
        <f t="shared" si="16"/>
        <v/>
      </c>
      <c r="CD11" s="85" t="str">
        <f t="shared" si="17"/>
        <v/>
      </c>
      <c r="CE11" s="85" t="str">
        <f t="shared" si="18"/>
        <v/>
      </c>
      <c r="CF11" s="85" t="str">
        <f t="shared" si="19"/>
        <v/>
      </c>
      <c r="CG11" s="85" t="str">
        <f t="shared" si="20"/>
        <v/>
      </c>
      <c r="CH11" s="85" t="str">
        <f t="shared" si="21"/>
        <v/>
      </c>
      <c r="CI11" s="85" t="str">
        <f t="shared" si="22"/>
        <v/>
      </c>
      <c r="CJ11" s="85" t="str">
        <f t="shared" si="23"/>
        <v/>
      </c>
      <c r="CK11" s="85" t="str">
        <f t="shared" si="24"/>
        <v/>
      </c>
      <c r="CL11" s="85" t="str">
        <f t="shared" si="25"/>
        <v/>
      </c>
      <c r="CM11" s="85">
        <f t="shared" si="50"/>
        <v>0</v>
      </c>
      <c r="CO11" s="80" t="str">
        <f t="shared" si="51"/>
        <v/>
      </c>
      <c r="CP11" s="80" t="str">
        <f t="shared" si="52"/>
        <v/>
      </c>
      <c r="CQ11" s="80" t="str">
        <f t="shared" si="53"/>
        <v/>
      </c>
      <c r="CR11" s="80" t="str">
        <f t="shared" si="54"/>
        <v/>
      </c>
      <c r="CS11" s="80" t="str">
        <f t="shared" si="55"/>
        <v/>
      </c>
      <c r="CT11" s="80" t="str">
        <f t="shared" si="56"/>
        <v/>
      </c>
      <c r="CU11" s="80" t="str">
        <f t="shared" si="57"/>
        <v/>
      </c>
      <c r="CV11" s="80" t="str">
        <f t="shared" si="58"/>
        <v/>
      </c>
      <c r="CW11" s="80" t="str">
        <f t="shared" si="59"/>
        <v/>
      </c>
      <c r="CX11" s="80" t="str">
        <f t="shared" si="60"/>
        <v/>
      </c>
      <c r="CY11" s="80" t="str">
        <f t="shared" si="61"/>
        <v/>
      </c>
      <c r="CZ11" s="80">
        <f t="shared" si="62"/>
        <v>0</v>
      </c>
      <c r="DB11" s="80">
        <f t="shared" si="63"/>
        <v>0</v>
      </c>
      <c r="DC11" s="80">
        <f t="shared" si="64"/>
        <v>0</v>
      </c>
      <c r="DD11" s="80">
        <f t="shared" si="65"/>
        <v>0</v>
      </c>
      <c r="DE11" s="80">
        <f t="shared" si="66"/>
        <v>-41</v>
      </c>
      <c r="DF11" s="80">
        <f t="shared" si="67"/>
        <v>-41</v>
      </c>
    </row>
    <row r="12" spans="2:110" x14ac:dyDescent="0.15">
      <c r="B12" s="83" t="str">
        <f>'MODU 2025'!B15</f>
        <v>BUISSON Cassandra</v>
      </c>
      <c r="C12" s="83" t="str">
        <f>'MODU 2025'!C15</f>
        <v>Production</v>
      </c>
      <c r="D12" s="83">
        <f>'MODU 2025'!D15</f>
        <v>37</v>
      </c>
      <c r="E12" s="83">
        <f>'MODU 2025'!G15</f>
        <v>33</v>
      </c>
      <c r="F12" s="83">
        <f>'MODU 2025'!H15</f>
        <v>41</v>
      </c>
      <c r="G12" s="83">
        <f>'MODU 2025'!I15</f>
        <v>29.25</v>
      </c>
      <c r="H12" s="83">
        <f>'MODU 2025'!J15</f>
        <v>41</v>
      </c>
      <c r="I12" s="83">
        <f>'MODU 2025'!K15</f>
        <v>33</v>
      </c>
      <c r="J12" s="83">
        <f>'MODU 2025'!L15</f>
        <v>41</v>
      </c>
      <c r="K12" s="83">
        <f>'MODU 2025'!M15</f>
        <v>33</v>
      </c>
      <c r="L12" s="83">
        <f>'MODU 2025'!N15</f>
        <v>41</v>
      </c>
      <c r="M12" s="83">
        <f>'MODU 2025'!O15</f>
        <v>33</v>
      </c>
      <c r="N12" s="83">
        <f>'MODU 2025'!P15</f>
        <v>41</v>
      </c>
      <c r="O12" s="83">
        <f>'MODU 2025'!Q15</f>
        <v>33</v>
      </c>
      <c r="P12" s="85"/>
      <c r="Q12" s="85">
        <f>IF(MOD(COLUMN(),2)=0,INDEX(paramètres!$C$4:$C$6,MATCH($C12,paramètres!$B$4:$B$6,0)),INDEX(paramètres!$D$4:$D$6,MATCH($C12,paramètres!$B$4:$B$6,0)))</f>
        <v>41</v>
      </c>
      <c r="R12" s="85">
        <f>IF(MOD(COLUMN(),2)=0,INDEX(paramètres!$C$4:$C$6,MATCH($C12,paramètres!$B$4:$B$6,0)),INDEX(paramètres!$D$4:$D$6,MATCH($C12,paramètres!$B$4:$B$6,0)))</f>
        <v>33</v>
      </c>
      <c r="S12" s="85">
        <f>IF(MOD(COLUMN(),2)=0,INDEX(paramètres!$C$4:$C$6,MATCH($C12,paramètres!$B$4:$B$6,0)),INDEX(paramètres!$D$4:$D$6,MATCH($C12,paramètres!$B$4:$B$6,0)))</f>
        <v>41</v>
      </c>
      <c r="T12" s="85">
        <f>IF(MOD(COLUMN(),2)=0,INDEX(paramètres!$C$4:$C$6,MATCH($C12,paramètres!$B$4:$B$6,0)),INDEX(paramètres!$D$4:$D$6,MATCH($C12,paramètres!$B$4:$B$6,0)))</f>
        <v>33</v>
      </c>
      <c r="U12" s="85">
        <f>IF(MOD(COLUMN(),2)=0,INDEX(paramètres!$C$4:$C$6,MATCH($C12,paramètres!$B$4:$B$6,0)),INDEX(paramètres!$D$4:$D$6,MATCH($C12,paramètres!$B$4:$B$6,0)))</f>
        <v>41</v>
      </c>
      <c r="V12" s="85">
        <f>IF(MOD(COLUMN(),2)=0,INDEX(paramètres!$C$4:$C$6,MATCH($C12,paramètres!$B$4:$B$6,0)),INDEX(paramètres!$D$4:$D$6,MATCH($C12,paramètres!$B$4:$B$6,0)))</f>
        <v>33</v>
      </c>
      <c r="W12" s="85">
        <f>IF(MOD(COLUMN(),2)=0,INDEX(paramètres!$C$4:$C$6,MATCH($C12,paramètres!$B$4:$B$6,0)),INDEX(paramètres!$D$4:$D$6,MATCH($C12,paramètres!$B$4:$B$6,0)))</f>
        <v>41</v>
      </c>
      <c r="X12" s="85">
        <f>IF(MOD(COLUMN(),2)=0,INDEX(paramètres!$C$4:$C$6,MATCH($C12,paramètres!$B$4:$B$6,0)),INDEX(paramètres!$D$4:$D$6,MATCH($C12,paramètres!$B$4:$B$6,0)))</f>
        <v>33</v>
      </c>
      <c r="Y12" s="85">
        <f>IF(MOD(COLUMN(),2)=0,INDEX(paramètres!$C$4:$C$6,MATCH($C12,paramètres!$B$4:$B$6,0)),INDEX(paramètres!$D$4:$D$6,MATCH($C12,paramètres!$B$4:$B$6,0)))</f>
        <v>41</v>
      </c>
      <c r="Z12" s="85">
        <f>IF(MOD(COLUMN(),2)=0,INDEX(paramètres!$C$4:$C$6,MATCH($C12,paramètres!$B$4:$B$6,0)),INDEX(paramètres!$D$4:$D$6,MATCH($C12,paramètres!$B$4:$B$6,0)))</f>
        <v>33</v>
      </c>
      <c r="AA12" s="85">
        <f>IF(MOD(COLUMN(),2)=0,INDEX(paramètres!$C$4:$C$6,MATCH($C12,paramètres!$B$4:$B$6,0)),INDEX(paramètres!$D$4:$D$6,MATCH($C12,paramètres!$B$4:$B$6,0)))</f>
        <v>41</v>
      </c>
      <c r="AB12" s="86"/>
      <c r="AC12" s="85">
        <f t="shared" si="68"/>
        <v>0</v>
      </c>
      <c r="AD12" s="85">
        <f t="shared" si="26"/>
        <v>0</v>
      </c>
      <c r="AE12" s="85">
        <f t="shared" si="69"/>
        <v>-3.75</v>
      </c>
      <c r="AF12" s="85">
        <f t="shared" si="27"/>
        <v>0</v>
      </c>
      <c r="AG12" s="85">
        <f t="shared" si="28"/>
        <v>0</v>
      </c>
      <c r="AH12" s="85">
        <f t="shared" si="29"/>
        <v>0</v>
      </c>
      <c r="AI12" s="85">
        <f t="shared" si="30"/>
        <v>0</v>
      </c>
      <c r="AJ12" s="85">
        <f t="shared" si="31"/>
        <v>0</v>
      </c>
      <c r="AK12" s="85">
        <f t="shared" si="32"/>
        <v>0</v>
      </c>
      <c r="AL12" s="85">
        <f t="shared" si="33"/>
        <v>0</v>
      </c>
      <c r="AM12" s="85">
        <f t="shared" si="34"/>
        <v>-41</v>
      </c>
      <c r="AN12" s="85"/>
      <c r="AO12" s="85" t="str">
        <f t="shared" si="35"/>
        <v/>
      </c>
      <c r="AP12" s="85" t="str">
        <f t="shared" si="36"/>
        <v/>
      </c>
      <c r="AQ12" s="85" t="str">
        <f t="shared" si="37"/>
        <v/>
      </c>
      <c r="AR12" s="85" t="str">
        <f t="shared" si="38"/>
        <v/>
      </c>
      <c r="AS12" s="85" t="str">
        <f t="shared" si="39"/>
        <v/>
      </c>
      <c r="AT12" s="85" t="str">
        <f t="shared" si="40"/>
        <v/>
      </c>
      <c r="AU12" s="85" t="str">
        <f t="shared" si="41"/>
        <v/>
      </c>
      <c r="AV12" s="85" t="str">
        <f t="shared" si="42"/>
        <v/>
      </c>
      <c r="AW12" s="85" t="str">
        <f t="shared" si="43"/>
        <v/>
      </c>
      <c r="AX12" s="85" t="str">
        <f t="shared" si="44"/>
        <v/>
      </c>
      <c r="AY12" s="85" t="str">
        <f t="shared" si="45"/>
        <v/>
      </c>
      <c r="AZ12" s="85">
        <f t="shared" si="46"/>
        <v>0</v>
      </c>
      <c r="BA12" s="35"/>
      <c r="BB12" s="85" t="str" cm="1">
        <f t="array" ref="BB12">IF($C12&lt;&gt;"Production","",IFERROR(
_xlfn.IFS(AND(AC12&gt;0,AC12&lt;($BC$3-$D12)),AC12,
AND(AC12&gt;0,AC12&gt;($BC$3-$D12)),($BC$3-$D12)),""))</f>
        <v/>
      </c>
      <c r="BC12" s="85" t="str" cm="1">
        <f t="array" ref="BC12">IF($C12&lt;&gt;"Production","",IFERROR(
_xlfn.IFS(AND(AD12&gt;0,AD12&lt;($BC$3-$D12)),AD12,
AND(AD12&gt;0,AD12&gt;($BC$3-$D12)),($BC$3-$D12)),""))</f>
        <v/>
      </c>
      <c r="BD12" s="85" t="str" cm="1">
        <f t="array" ref="BD12">IF($C12&lt;&gt;"Production","",IFERROR(
_xlfn.IFS(AND(AE12&gt;0,AE12&lt;($BC$3-$D12)),AE12,
AND(AE12&gt;0,AE12&gt;($BC$3-$D12)),($BC$3-$D12)),""))</f>
        <v/>
      </c>
      <c r="BE12" s="85" t="str" cm="1">
        <f t="array" ref="BE12">IF($C12&lt;&gt;"Production","",IFERROR(
_xlfn.IFS(AND(AF12&gt;0,AF12&lt;($BC$3-$D12)),AF12,
AND(AF12&gt;0,AF12&gt;($BC$3-$D12)),($BC$3-$D12)),""))</f>
        <v/>
      </c>
      <c r="BF12" s="85" t="str" cm="1">
        <f t="array" ref="BF12">IF($C12&lt;&gt;"Production","",IFERROR(
_xlfn.IFS(AND(AG12&gt;0,AG12&lt;($BC$3-$D12)),AG12,
AND(AG12&gt;0,AG12&gt;($BC$3-$D12)),($BC$3-$D12)),""))</f>
        <v/>
      </c>
      <c r="BG12" s="85" t="str" cm="1">
        <f t="array" ref="BG12">IF($C12&lt;&gt;"Production","",IFERROR(
_xlfn.IFS(AND(AH12&gt;0,AH12&lt;($BC$3-$D12)),AH12,
AND(AH12&gt;0,AH12&gt;($BC$3-$D12)),($BC$3-$D12)),""))</f>
        <v/>
      </c>
      <c r="BH12" s="85" t="str" cm="1">
        <f t="array" ref="BH12">IF($C12&lt;&gt;"Production","",IFERROR(
_xlfn.IFS(AND(AI12&gt;0,AI12&lt;($BC$3-$D12)),AI12,
AND(AI12&gt;0,AI12&gt;($BC$3-$D12)),($BC$3-$D12)),""))</f>
        <v/>
      </c>
      <c r="BI12" s="85" t="str" cm="1">
        <f t="array" ref="BI12">IF($C12&lt;&gt;"Production","",IFERROR(
_xlfn.IFS(AND(AJ12&gt;0,AJ12&lt;($BC$3-$D12)),AJ12,
AND(AJ12&gt;0,AJ12&gt;($BC$3-$D12)),($BC$3-$D12)),""))</f>
        <v/>
      </c>
      <c r="BJ12" s="85" t="str" cm="1">
        <f t="array" ref="BJ12">IF($C12&lt;&gt;"Production","",IFERROR(
_xlfn.IFS(AND(AK12&gt;0,AK12&lt;($BC$3-$D12)),AK12,
AND(AK12&gt;0,AK12&gt;($BC$3-$D12)),($BC$3-$D12)),""))</f>
        <v/>
      </c>
      <c r="BK12" s="85" t="str" cm="1">
        <f t="array" ref="BK12">IF($C12&lt;&gt;"Production","",IFERROR(
_xlfn.IFS(AND(AL12&gt;0,AL12&lt;($BC$3-$D12)),AL12,
AND(AL12&gt;0,AL12&gt;($BC$3-$D12)),($BC$3-$D12)),""))</f>
        <v/>
      </c>
      <c r="BL12" s="85" t="str" cm="1">
        <f t="array" ref="BL12">IF($C12&lt;&gt;"Production","",IFERROR(
_xlfn.IFS(AND(AM12&gt;0,AM12&lt;($BC$3-$D12)),AM12,
AND(AM12&gt;0,AM12&gt;($BC$3-$D12)),($BC$3-$D12)),""))</f>
        <v/>
      </c>
      <c r="BM12" s="85">
        <f t="shared" si="47"/>
        <v>0</v>
      </c>
      <c r="BN12" s="81"/>
      <c r="BO12" s="85" t="str" cm="1">
        <f t="array" ref="BO12">IF($C12="Production","",IFERROR(
_xlfn.IFS(AND(AO12&gt;0,AO12&lt;($BC$3-$D12)),AO12,
AND(AO12&gt;0,AO12&gt;($BC$3-$D12)),($BC$3-$D12)),""))</f>
        <v/>
      </c>
      <c r="BP12" s="85" t="str" cm="1">
        <f t="array" ref="BP12">IF($C12="Production","",IFERROR(
_xlfn.IFS(AND(AP12&gt;0,AP12&lt;($BC$3-$D12)),AP12,
AND(AP12&gt;0,AP12&gt;($BC$3-$D12)),($BC$3-$D12)),""))</f>
        <v/>
      </c>
      <c r="BQ12" s="85" t="str" cm="1">
        <f t="array" ref="BQ12">IF($C12="Production","",IFERROR(
_xlfn.IFS(AND(AQ12&gt;0,AQ12&lt;($BC$3-$D12)),AQ12,
AND(AQ12&gt;0,AQ12&gt;($BC$3-$D12)),($BC$3-$D12)),""))</f>
        <v/>
      </c>
      <c r="BR12" s="85" t="str" cm="1">
        <f t="array" ref="BR12">IF($C12="Production","",IFERROR(
_xlfn.IFS(AND(AR12&gt;0,AR12&lt;($BC$3-$D12)),AR12,
AND(AR12&gt;0,AR12&gt;($BC$3-$D12)),($BC$3-$D12)),""))</f>
        <v/>
      </c>
      <c r="BS12" s="85" t="str" cm="1">
        <f t="array" ref="BS12">IF($C12="Production","",IFERROR(
_xlfn.IFS(AND(AS12&gt;0,AS12&lt;($BC$3-$D12)),AS12,
AND(AS12&gt;0,AS12&gt;($BC$3-$D12)),($BC$3-$D12)),""))</f>
        <v/>
      </c>
      <c r="BT12" s="85" t="str" cm="1">
        <f t="array" ref="BT12">IF($C12="Production","",IFERROR(
_xlfn.IFS(AND(AT12&gt;0,AT12&lt;($BC$3-$D12)),AT12,
AND(AT12&gt;0,AT12&gt;($BC$3-$D12)),($BC$3-$D12)),""))</f>
        <v/>
      </c>
      <c r="BU12" s="85" t="str" cm="1">
        <f t="array" ref="BU12">IF($C12="Production","",IFERROR(
_xlfn.IFS(AND(AU12&gt;0,AU12&lt;($BC$3-$D12)),AU12,
AND(AU12&gt;0,AU12&gt;($BC$3-$D12)),($BC$3-$D12)),""))</f>
        <v/>
      </c>
      <c r="BV12" s="85" t="str" cm="1">
        <f t="array" ref="BV12">IF($C12="Production","",IFERROR(
_xlfn.IFS(AND(AV12&gt;0,AV12&lt;($BC$3-$D12)),AV12,
AND(AV12&gt;0,AV12&gt;($BC$3-$D12)),($BC$3-$D12)),""))</f>
        <v/>
      </c>
      <c r="BW12" s="85" t="str" cm="1">
        <f t="array" ref="BW12">IF($C12="Production","",IFERROR(
_xlfn.IFS(AND(AW12&gt;0,AW12&lt;($BC$3-$D12)),AW12,
AND(AW12&gt;0,AW12&gt;($BC$3-$D12)),($BC$3-$D12)),""))</f>
        <v/>
      </c>
      <c r="BX12" s="85" t="str" cm="1">
        <f t="array" ref="BX12">IF($C12="Production","",IFERROR(
_xlfn.IFS(AND(AX12&gt;0,AX12&lt;($BC$3-$D12)),AX12,
AND(AX12&gt;0,AX12&gt;($BC$3-$D12)),($BC$3-$D12)),""))</f>
        <v/>
      </c>
      <c r="BY12" s="85" t="str" cm="1">
        <f t="array" ref="BY12">IF($C12="Production","",IFERROR(
_xlfn.IFS(AND(AY12&gt;0,AY12&lt;($BC$3-$D12)),AY12,
AND(AY12&gt;0,AY12&gt;($BC$3-$D12)),($BC$3-$D12)),""))</f>
        <v/>
      </c>
      <c r="BZ12" s="85">
        <f t="shared" si="48"/>
        <v>0</v>
      </c>
      <c r="CA12" s="81"/>
      <c r="CB12" s="85" t="str">
        <f t="shared" si="49"/>
        <v/>
      </c>
      <c r="CC12" s="85" t="str">
        <f t="shared" si="16"/>
        <v/>
      </c>
      <c r="CD12" s="85" t="str">
        <f t="shared" si="17"/>
        <v/>
      </c>
      <c r="CE12" s="85" t="str">
        <f t="shared" si="18"/>
        <v/>
      </c>
      <c r="CF12" s="85" t="str">
        <f t="shared" si="19"/>
        <v/>
      </c>
      <c r="CG12" s="85" t="str">
        <f t="shared" si="20"/>
        <v/>
      </c>
      <c r="CH12" s="85" t="str">
        <f t="shared" si="21"/>
        <v/>
      </c>
      <c r="CI12" s="85" t="str">
        <f t="shared" si="22"/>
        <v/>
      </c>
      <c r="CJ12" s="85" t="str">
        <f t="shared" si="23"/>
        <v/>
      </c>
      <c r="CK12" s="85" t="str">
        <f t="shared" si="24"/>
        <v/>
      </c>
      <c r="CL12" s="85" t="str">
        <f t="shared" si="25"/>
        <v/>
      </c>
      <c r="CM12" s="85">
        <f t="shared" si="50"/>
        <v>0</v>
      </c>
      <c r="CO12" s="80" t="str">
        <f t="shared" si="51"/>
        <v/>
      </c>
      <c r="CP12" s="80" t="str">
        <f t="shared" si="52"/>
        <v/>
      </c>
      <c r="CQ12" s="80" t="str">
        <f t="shared" si="53"/>
        <v/>
      </c>
      <c r="CR12" s="80" t="str">
        <f t="shared" si="54"/>
        <v/>
      </c>
      <c r="CS12" s="80" t="str">
        <f t="shared" si="55"/>
        <v/>
      </c>
      <c r="CT12" s="80" t="str">
        <f t="shared" si="56"/>
        <v/>
      </c>
      <c r="CU12" s="80" t="str">
        <f t="shared" si="57"/>
        <v/>
      </c>
      <c r="CV12" s="80" t="str">
        <f t="shared" si="58"/>
        <v/>
      </c>
      <c r="CW12" s="80" t="str">
        <f t="shared" si="59"/>
        <v/>
      </c>
      <c r="CX12" s="80" t="str">
        <f t="shared" si="60"/>
        <v/>
      </c>
      <c r="CY12" s="80" t="str">
        <f t="shared" si="61"/>
        <v/>
      </c>
      <c r="CZ12" s="80">
        <f t="shared" si="62"/>
        <v>0</v>
      </c>
      <c r="DB12" s="80">
        <f t="shared" si="63"/>
        <v>0</v>
      </c>
      <c r="DC12" s="80">
        <f t="shared" si="64"/>
        <v>0</v>
      </c>
      <c r="DD12" s="80">
        <f t="shared" si="65"/>
        <v>0</v>
      </c>
      <c r="DE12" s="80">
        <f t="shared" si="66"/>
        <v>-44.75</v>
      </c>
      <c r="DF12" s="80">
        <f t="shared" si="67"/>
        <v>-44.75</v>
      </c>
    </row>
    <row r="13" spans="2:110" x14ac:dyDescent="0.15">
      <c r="B13" s="83" t="str">
        <f>'MODU 2025'!B16</f>
        <v xml:space="preserve">CANU Jason </v>
      </c>
      <c r="C13" s="83" t="str">
        <f>'MODU 2025'!C16</f>
        <v>Production</v>
      </c>
      <c r="D13" s="83">
        <f>'MODU 2025'!D16</f>
        <v>37</v>
      </c>
      <c r="E13" s="83">
        <f>'MODU 2025'!G16</f>
        <v>33</v>
      </c>
      <c r="F13" s="83">
        <f>'MODU 2025'!H16</f>
        <v>41</v>
      </c>
      <c r="G13" s="83">
        <f>'MODU 2025'!I16</f>
        <v>33</v>
      </c>
      <c r="H13" s="83">
        <f>'MODU 2025'!J16</f>
        <v>41</v>
      </c>
      <c r="I13" s="83">
        <f>'MODU 2025'!K16</f>
        <v>33</v>
      </c>
      <c r="J13" s="83">
        <f>'MODU 2025'!L16</f>
        <v>41</v>
      </c>
      <c r="K13" s="83">
        <f>'MODU 2025'!M16</f>
        <v>33</v>
      </c>
      <c r="L13" s="83">
        <f>'MODU 2025'!N16</f>
        <v>41</v>
      </c>
      <c r="M13" s="83">
        <f>'MODU 2025'!O16</f>
        <v>33</v>
      </c>
      <c r="N13" s="83">
        <f>'MODU 2025'!P16</f>
        <v>41</v>
      </c>
      <c r="O13" s="83">
        <f>'MODU 2025'!Q16</f>
        <v>33</v>
      </c>
      <c r="P13" s="85"/>
      <c r="Q13" s="85">
        <f>IF(MOD(COLUMN(),2)=0,INDEX(paramètres!$C$4:$C$6,MATCH($C13,paramètres!$B$4:$B$6,0)),INDEX(paramètres!$D$4:$D$6,MATCH($C13,paramètres!$B$4:$B$6,0)))</f>
        <v>41</v>
      </c>
      <c r="R13" s="85">
        <f>IF(MOD(COLUMN(),2)=0,INDEX(paramètres!$C$4:$C$6,MATCH($C13,paramètres!$B$4:$B$6,0)),INDEX(paramètres!$D$4:$D$6,MATCH($C13,paramètres!$B$4:$B$6,0)))</f>
        <v>33</v>
      </c>
      <c r="S13" s="85">
        <f>IF(MOD(COLUMN(),2)=0,INDEX(paramètres!$C$4:$C$6,MATCH($C13,paramètres!$B$4:$B$6,0)),INDEX(paramètres!$D$4:$D$6,MATCH($C13,paramètres!$B$4:$B$6,0)))</f>
        <v>41</v>
      </c>
      <c r="T13" s="85">
        <f>IF(MOD(COLUMN(),2)=0,INDEX(paramètres!$C$4:$C$6,MATCH($C13,paramètres!$B$4:$B$6,0)),INDEX(paramètres!$D$4:$D$6,MATCH($C13,paramètres!$B$4:$B$6,0)))</f>
        <v>33</v>
      </c>
      <c r="U13" s="85">
        <f>IF(MOD(COLUMN(),2)=0,INDEX(paramètres!$C$4:$C$6,MATCH($C13,paramètres!$B$4:$B$6,0)),INDEX(paramètres!$D$4:$D$6,MATCH($C13,paramètres!$B$4:$B$6,0)))</f>
        <v>41</v>
      </c>
      <c r="V13" s="85">
        <f>IF(MOD(COLUMN(),2)=0,INDEX(paramètres!$C$4:$C$6,MATCH($C13,paramètres!$B$4:$B$6,0)),INDEX(paramètres!$D$4:$D$6,MATCH($C13,paramètres!$B$4:$B$6,0)))</f>
        <v>33</v>
      </c>
      <c r="W13" s="85">
        <f>IF(MOD(COLUMN(),2)=0,INDEX(paramètres!$C$4:$C$6,MATCH($C13,paramètres!$B$4:$B$6,0)),INDEX(paramètres!$D$4:$D$6,MATCH($C13,paramètres!$B$4:$B$6,0)))</f>
        <v>41</v>
      </c>
      <c r="X13" s="85">
        <f>IF(MOD(COLUMN(),2)=0,INDEX(paramètres!$C$4:$C$6,MATCH($C13,paramètres!$B$4:$B$6,0)),INDEX(paramètres!$D$4:$D$6,MATCH($C13,paramètres!$B$4:$B$6,0)))</f>
        <v>33</v>
      </c>
      <c r="Y13" s="85">
        <f>IF(MOD(COLUMN(),2)=0,INDEX(paramètres!$C$4:$C$6,MATCH($C13,paramètres!$B$4:$B$6,0)),INDEX(paramètres!$D$4:$D$6,MATCH($C13,paramètres!$B$4:$B$6,0)))</f>
        <v>41</v>
      </c>
      <c r="Z13" s="85">
        <f>IF(MOD(COLUMN(),2)=0,INDEX(paramètres!$C$4:$C$6,MATCH($C13,paramètres!$B$4:$B$6,0)),INDEX(paramètres!$D$4:$D$6,MATCH($C13,paramètres!$B$4:$B$6,0)))</f>
        <v>33</v>
      </c>
      <c r="AA13" s="85">
        <f>IF(MOD(COLUMN(),2)=0,INDEX(paramètres!$C$4:$C$6,MATCH($C13,paramètres!$B$4:$B$6,0)),INDEX(paramètres!$D$4:$D$6,MATCH($C13,paramètres!$B$4:$B$6,0)))</f>
        <v>41</v>
      </c>
      <c r="AB13" s="86"/>
      <c r="AC13" s="85">
        <f t="shared" si="68"/>
        <v>0</v>
      </c>
      <c r="AD13" s="85">
        <f t="shared" si="26"/>
        <v>0</v>
      </c>
      <c r="AE13" s="85">
        <f t="shared" si="69"/>
        <v>0</v>
      </c>
      <c r="AF13" s="85">
        <f t="shared" si="27"/>
        <v>0</v>
      </c>
      <c r="AG13" s="85">
        <f t="shared" si="28"/>
        <v>0</v>
      </c>
      <c r="AH13" s="85">
        <f t="shared" si="29"/>
        <v>0</v>
      </c>
      <c r="AI13" s="85">
        <f t="shared" si="30"/>
        <v>0</v>
      </c>
      <c r="AJ13" s="85">
        <f t="shared" si="31"/>
        <v>0</v>
      </c>
      <c r="AK13" s="85">
        <f t="shared" si="32"/>
        <v>0</v>
      </c>
      <c r="AL13" s="85">
        <f t="shared" si="33"/>
        <v>0</v>
      </c>
      <c r="AM13" s="85">
        <f t="shared" si="34"/>
        <v>-41</v>
      </c>
      <c r="AN13" s="85"/>
      <c r="AO13" s="85" t="str">
        <f t="shared" si="35"/>
        <v/>
      </c>
      <c r="AP13" s="85" t="str">
        <f t="shared" si="36"/>
        <v/>
      </c>
      <c r="AQ13" s="85" t="str">
        <f t="shared" si="37"/>
        <v/>
      </c>
      <c r="AR13" s="85" t="str">
        <f t="shared" si="38"/>
        <v/>
      </c>
      <c r="AS13" s="85" t="str">
        <f t="shared" si="39"/>
        <v/>
      </c>
      <c r="AT13" s="85" t="str">
        <f t="shared" si="40"/>
        <v/>
      </c>
      <c r="AU13" s="85" t="str">
        <f t="shared" si="41"/>
        <v/>
      </c>
      <c r="AV13" s="85" t="str">
        <f t="shared" si="42"/>
        <v/>
      </c>
      <c r="AW13" s="85" t="str">
        <f t="shared" si="43"/>
        <v/>
      </c>
      <c r="AX13" s="85" t="str">
        <f t="shared" si="44"/>
        <v/>
      </c>
      <c r="AY13" s="85" t="str">
        <f t="shared" si="45"/>
        <v/>
      </c>
      <c r="AZ13" s="85">
        <f t="shared" si="46"/>
        <v>0</v>
      </c>
      <c r="BA13" s="35"/>
      <c r="BB13" s="85" t="str" cm="1">
        <f t="array" ref="BB13">IF($C13&lt;&gt;"Production","",IFERROR(
_xlfn.IFS(AND(AC13&gt;0,AC13&lt;($BC$3-$D13)),AC13,
AND(AC13&gt;0,AC13&gt;($BC$3-$D13)),($BC$3-$D13)),""))</f>
        <v/>
      </c>
      <c r="BC13" s="85" t="str" cm="1">
        <f t="array" ref="BC13">IF($C13&lt;&gt;"Production","",IFERROR(
_xlfn.IFS(AND(AD13&gt;0,AD13&lt;($BC$3-$D13)),AD13,
AND(AD13&gt;0,AD13&gt;($BC$3-$D13)),($BC$3-$D13)),""))</f>
        <v/>
      </c>
      <c r="BD13" s="85" t="str" cm="1">
        <f t="array" ref="BD13">IF($C13&lt;&gt;"Production","",IFERROR(
_xlfn.IFS(AND(AE13&gt;0,AE13&lt;($BC$3-$D13)),AE13,
AND(AE13&gt;0,AE13&gt;($BC$3-$D13)),($BC$3-$D13)),""))</f>
        <v/>
      </c>
      <c r="BE13" s="85" t="str" cm="1">
        <f t="array" ref="BE13">IF($C13&lt;&gt;"Production","",IFERROR(
_xlfn.IFS(AND(AF13&gt;0,AF13&lt;($BC$3-$D13)),AF13,
AND(AF13&gt;0,AF13&gt;($BC$3-$D13)),($BC$3-$D13)),""))</f>
        <v/>
      </c>
      <c r="BF13" s="85" t="str" cm="1">
        <f t="array" ref="BF13">IF($C13&lt;&gt;"Production","",IFERROR(
_xlfn.IFS(AND(AG13&gt;0,AG13&lt;($BC$3-$D13)),AG13,
AND(AG13&gt;0,AG13&gt;($BC$3-$D13)),($BC$3-$D13)),""))</f>
        <v/>
      </c>
      <c r="BG13" s="85" t="str" cm="1">
        <f t="array" ref="BG13">IF($C13&lt;&gt;"Production","",IFERROR(
_xlfn.IFS(AND(AH13&gt;0,AH13&lt;($BC$3-$D13)),AH13,
AND(AH13&gt;0,AH13&gt;($BC$3-$D13)),($BC$3-$D13)),""))</f>
        <v/>
      </c>
      <c r="BH13" s="85" t="str" cm="1">
        <f t="array" ref="BH13">IF($C13&lt;&gt;"Production","",IFERROR(
_xlfn.IFS(AND(AI13&gt;0,AI13&lt;($BC$3-$D13)),AI13,
AND(AI13&gt;0,AI13&gt;($BC$3-$D13)),($BC$3-$D13)),""))</f>
        <v/>
      </c>
      <c r="BI13" s="85" t="str" cm="1">
        <f t="array" ref="BI13">IF($C13&lt;&gt;"Production","",IFERROR(
_xlfn.IFS(AND(AJ13&gt;0,AJ13&lt;($BC$3-$D13)),AJ13,
AND(AJ13&gt;0,AJ13&gt;($BC$3-$D13)),($BC$3-$D13)),""))</f>
        <v/>
      </c>
      <c r="BJ13" s="85" t="str" cm="1">
        <f t="array" ref="BJ13">IF($C13&lt;&gt;"Production","",IFERROR(
_xlfn.IFS(AND(AK13&gt;0,AK13&lt;($BC$3-$D13)),AK13,
AND(AK13&gt;0,AK13&gt;($BC$3-$D13)),($BC$3-$D13)),""))</f>
        <v/>
      </c>
      <c r="BK13" s="85" t="str" cm="1">
        <f t="array" ref="BK13">IF($C13&lt;&gt;"Production","",IFERROR(
_xlfn.IFS(AND(AL13&gt;0,AL13&lt;($BC$3-$D13)),AL13,
AND(AL13&gt;0,AL13&gt;($BC$3-$D13)),($BC$3-$D13)),""))</f>
        <v/>
      </c>
      <c r="BL13" s="85" t="str" cm="1">
        <f t="array" ref="BL13">IF($C13&lt;&gt;"Production","",IFERROR(
_xlfn.IFS(AND(AM13&gt;0,AM13&lt;($BC$3-$D13)),AM13,
AND(AM13&gt;0,AM13&gt;($BC$3-$D13)),($BC$3-$D13)),""))</f>
        <v/>
      </c>
      <c r="BM13" s="85">
        <f t="shared" si="47"/>
        <v>0</v>
      </c>
      <c r="BN13" s="81"/>
      <c r="BO13" s="85" t="str" cm="1">
        <f t="array" ref="BO13">IF($C13="Production","",IFERROR(
_xlfn.IFS(AND(AO13&gt;0,AO13&lt;($BC$3-$D13)),AO13,
AND(AO13&gt;0,AO13&gt;($BC$3-$D13)),($BC$3-$D13)),""))</f>
        <v/>
      </c>
      <c r="BP13" s="85" t="str" cm="1">
        <f t="array" ref="BP13">IF($C13="Production","",IFERROR(
_xlfn.IFS(AND(AP13&gt;0,AP13&lt;($BC$3-$D13)),AP13,
AND(AP13&gt;0,AP13&gt;($BC$3-$D13)),($BC$3-$D13)),""))</f>
        <v/>
      </c>
      <c r="BQ13" s="85" t="str" cm="1">
        <f t="array" ref="BQ13">IF($C13="Production","",IFERROR(
_xlfn.IFS(AND(AQ13&gt;0,AQ13&lt;($BC$3-$D13)),AQ13,
AND(AQ13&gt;0,AQ13&gt;($BC$3-$D13)),($BC$3-$D13)),""))</f>
        <v/>
      </c>
      <c r="BR13" s="85" t="str" cm="1">
        <f t="array" ref="BR13">IF($C13="Production","",IFERROR(
_xlfn.IFS(AND(AR13&gt;0,AR13&lt;($BC$3-$D13)),AR13,
AND(AR13&gt;0,AR13&gt;($BC$3-$D13)),($BC$3-$D13)),""))</f>
        <v/>
      </c>
      <c r="BS13" s="85" t="str" cm="1">
        <f t="array" ref="BS13">IF($C13="Production","",IFERROR(
_xlfn.IFS(AND(AS13&gt;0,AS13&lt;($BC$3-$D13)),AS13,
AND(AS13&gt;0,AS13&gt;($BC$3-$D13)),($BC$3-$D13)),""))</f>
        <v/>
      </c>
      <c r="BT13" s="85" t="str" cm="1">
        <f t="array" ref="BT13">IF($C13="Production","",IFERROR(
_xlfn.IFS(AND(AT13&gt;0,AT13&lt;($BC$3-$D13)),AT13,
AND(AT13&gt;0,AT13&gt;($BC$3-$D13)),($BC$3-$D13)),""))</f>
        <v/>
      </c>
      <c r="BU13" s="85" t="str" cm="1">
        <f t="array" ref="BU13">IF($C13="Production","",IFERROR(
_xlfn.IFS(AND(AU13&gt;0,AU13&lt;($BC$3-$D13)),AU13,
AND(AU13&gt;0,AU13&gt;($BC$3-$D13)),($BC$3-$D13)),""))</f>
        <v/>
      </c>
      <c r="BV13" s="85" t="str" cm="1">
        <f t="array" ref="BV13">IF($C13="Production","",IFERROR(
_xlfn.IFS(AND(AV13&gt;0,AV13&lt;($BC$3-$D13)),AV13,
AND(AV13&gt;0,AV13&gt;($BC$3-$D13)),($BC$3-$D13)),""))</f>
        <v/>
      </c>
      <c r="BW13" s="85" t="str" cm="1">
        <f t="array" ref="BW13">IF($C13="Production","",IFERROR(
_xlfn.IFS(AND(AW13&gt;0,AW13&lt;($BC$3-$D13)),AW13,
AND(AW13&gt;0,AW13&gt;($BC$3-$D13)),($BC$3-$D13)),""))</f>
        <v/>
      </c>
      <c r="BX13" s="85" t="str" cm="1">
        <f t="array" ref="BX13">IF($C13="Production","",IFERROR(
_xlfn.IFS(AND(AX13&gt;0,AX13&lt;($BC$3-$D13)),AX13,
AND(AX13&gt;0,AX13&gt;($BC$3-$D13)),($BC$3-$D13)),""))</f>
        <v/>
      </c>
      <c r="BY13" s="85" t="str" cm="1">
        <f t="array" ref="BY13">IF($C13="Production","",IFERROR(
_xlfn.IFS(AND(AY13&gt;0,AY13&lt;($BC$3-$D13)),AY13,
AND(AY13&gt;0,AY13&gt;($BC$3-$D13)),($BC$3-$D13)),""))</f>
        <v/>
      </c>
      <c r="BZ13" s="85">
        <f t="shared" si="48"/>
        <v>0</v>
      </c>
      <c r="CA13" s="81"/>
      <c r="CB13" s="85" t="str">
        <f t="shared" si="49"/>
        <v/>
      </c>
      <c r="CC13" s="85" t="str">
        <f t="shared" si="16"/>
        <v/>
      </c>
      <c r="CD13" s="85" t="str">
        <f t="shared" si="17"/>
        <v/>
      </c>
      <c r="CE13" s="85" t="str">
        <f t="shared" si="18"/>
        <v/>
      </c>
      <c r="CF13" s="85" t="str">
        <f t="shared" si="19"/>
        <v/>
      </c>
      <c r="CG13" s="85" t="str">
        <f t="shared" si="20"/>
        <v/>
      </c>
      <c r="CH13" s="85" t="str">
        <f t="shared" si="21"/>
        <v/>
      </c>
      <c r="CI13" s="85" t="str">
        <f t="shared" si="22"/>
        <v/>
      </c>
      <c r="CJ13" s="85" t="str">
        <f t="shared" si="23"/>
        <v/>
      </c>
      <c r="CK13" s="85" t="str">
        <f t="shared" si="24"/>
        <v/>
      </c>
      <c r="CL13" s="85" t="str">
        <f t="shared" si="25"/>
        <v/>
      </c>
      <c r="CM13" s="85">
        <f t="shared" si="50"/>
        <v>0</v>
      </c>
      <c r="CO13" s="80" t="str">
        <f t="shared" si="51"/>
        <v/>
      </c>
      <c r="CP13" s="80" t="str">
        <f t="shared" si="52"/>
        <v/>
      </c>
      <c r="CQ13" s="80" t="str">
        <f t="shared" si="53"/>
        <v/>
      </c>
      <c r="CR13" s="80" t="str">
        <f t="shared" si="54"/>
        <v/>
      </c>
      <c r="CS13" s="80" t="str">
        <f t="shared" si="55"/>
        <v/>
      </c>
      <c r="CT13" s="80" t="str">
        <f t="shared" si="56"/>
        <v/>
      </c>
      <c r="CU13" s="80" t="str">
        <f t="shared" si="57"/>
        <v/>
      </c>
      <c r="CV13" s="80" t="str">
        <f t="shared" si="58"/>
        <v/>
      </c>
      <c r="CW13" s="80" t="str">
        <f t="shared" si="59"/>
        <v/>
      </c>
      <c r="CX13" s="80" t="str">
        <f t="shared" si="60"/>
        <v/>
      </c>
      <c r="CY13" s="80" t="str">
        <f t="shared" si="61"/>
        <v/>
      </c>
      <c r="CZ13" s="80">
        <f t="shared" si="62"/>
        <v>0</v>
      </c>
      <c r="DB13" s="80">
        <f t="shared" si="63"/>
        <v>0</v>
      </c>
      <c r="DC13" s="80">
        <f t="shared" si="64"/>
        <v>0</v>
      </c>
      <c r="DD13" s="80">
        <f t="shared" si="65"/>
        <v>0</v>
      </c>
      <c r="DE13" s="80">
        <f t="shared" si="66"/>
        <v>-41</v>
      </c>
      <c r="DF13" s="80">
        <f t="shared" si="67"/>
        <v>-41</v>
      </c>
    </row>
    <row r="14" spans="2:110" x14ac:dyDescent="0.15">
      <c r="B14" s="83" t="str">
        <f>'MODU 2025'!B17</f>
        <v>COCHET Mélina</v>
      </c>
      <c r="C14" s="83" t="str">
        <f>'MODU 2025'!C17</f>
        <v>Logistique</v>
      </c>
      <c r="D14" s="83">
        <f>'MODU 2025'!D17</f>
        <v>39</v>
      </c>
      <c r="E14" s="83">
        <f>'MODU 2025'!G17</f>
        <v>40</v>
      </c>
      <c r="F14" s="83">
        <f>'MODU 2025'!H17</f>
        <v>40</v>
      </c>
      <c r="G14" s="83">
        <f>'MODU 2025'!I17</f>
        <v>40.5</v>
      </c>
      <c r="H14" s="83">
        <f>'MODU 2025'!J17</f>
        <v>39</v>
      </c>
      <c r="I14" s="83">
        <f>'MODU 2025'!K17</f>
        <v>39</v>
      </c>
      <c r="J14" s="83">
        <f>'MODU 2025'!L17</f>
        <v>39</v>
      </c>
      <c r="K14" s="83">
        <f>'MODU 2025'!M17</f>
        <v>39</v>
      </c>
      <c r="L14" s="83">
        <f>'MODU 2025'!N17</f>
        <v>39</v>
      </c>
      <c r="M14" s="83">
        <f>'MODU 2025'!O17</f>
        <v>39</v>
      </c>
      <c r="N14" s="83">
        <f>'MODU 2025'!P17</f>
        <v>39</v>
      </c>
      <c r="O14" s="83">
        <f>'MODU 2025'!Q17</f>
        <v>39</v>
      </c>
      <c r="P14" s="85"/>
      <c r="Q14" s="85">
        <f>IF(MOD(COLUMN(),2)=0,INDEX(paramètres!$C$4:$C$6,MATCH($C14,paramètres!$B$4:$B$6,0)),INDEX(paramètres!$D$4:$D$6,MATCH($C14,paramètres!$B$4:$B$6,0)))</f>
        <v>39</v>
      </c>
      <c r="R14" s="85">
        <f>IF(MOD(COLUMN(),2)=0,INDEX(paramètres!$C$4:$C$6,MATCH($C14,paramètres!$B$4:$B$6,0)),INDEX(paramètres!$D$4:$D$6,MATCH($C14,paramètres!$B$4:$B$6,0)))</f>
        <v>39</v>
      </c>
      <c r="S14" s="85">
        <f>IF(MOD(COLUMN(),2)=0,INDEX(paramètres!$C$4:$C$6,MATCH($C14,paramètres!$B$4:$B$6,0)),INDEX(paramètres!$D$4:$D$6,MATCH($C14,paramètres!$B$4:$B$6,0)))</f>
        <v>39</v>
      </c>
      <c r="T14" s="85">
        <f>IF(MOD(COLUMN(),2)=0,INDEX(paramètres!$C$4:$C$6,MATCH($C14,paramètres!$B$4:$B$6,0)),INDEX(paramètres!$D$4:$D$6,MATCH($C14,paramètres!$B$4:$B$6,0)))</f>
        <v>39</v>
      </c>
      <c r="U14" s="85">
        <f>IF(MOD(COLUMN(),2)=0,INDEX(paramètres!$C$4:$C$6,MATCH($C14,paramètres!$B$4:$B$6,0)),INDEX(paramètres!$D$4:$D$6,MATCH($C14,paramètres!$B$4:$B$6,0)))</f>
        <v>39</v>
      </c>
      <c r="V14" s="85">
        <f>IF(MOD(COLUMN(),2)=0,INDEX(paramètres!$C$4:$C$6,MATCH($C14,paramètres!$B$4:$B$6,0)),INDEX(paramètres!$D$4:$D$6,MATCH($C14,paramètres!$B$4:$B$6,0)))</f>
        <v>39</v>
      </c>
      <c r="W14" s="85">
        <f>IF(MOD(COLUMN(),2)=0,INDEX(paramètres!$C$4:$C$6,MATCH($C14,paramètres!$B$4:$B$6,0)),INDEX(paramètres!$D$4:$D$6,MATCH($C14,paramètres!$B$4:$B$6,0)))</f>
        <v>39</v>
      </c>
      <c r="X14" s="85">
        <f>IF(MOD(COLUMN(),2)=0,INDEX(paramètres!$C$4:$C$6,MATCH($C14,paramètres!$B$4:$B$6,0)),INDEX(paramètres!$D$4:$D$6,MATCH($C14,paramètres!$B$4:$B$6,0)))</f>
        <v>39</v>
      </c>
      <c r="Y14" s="85">
        <f>IF(MOD(COLUMN(),2)=0,INDEX(paramètres!$C$4:$C$6,MATCH($C14,paramètres!$B$4:$B$6,0)),INDEX(paramètres!$D$4:$D$6,MATCH($C14,paramètres!$B$4:$B$6,0)))</f>
        <v>39</v>
      </c>
      <c r="Z14" s="85">
        <f>IF(MOD(COLUMN(),2)=0,INDEX(paramètres!$C$4:$C$6,MATCH($C14,paramètres!$B$4:$B$6,0)),INDEX(paramètres!$D$4:$D$6,MATCH($C14,paramètres!$B$4:$B$6,0)))</f>
        <v>39</v>
      </c>
      <c r="AA14" s="85">
        <f>IF(MOD(COLUMN(),2)=0,INDEX(paramètres!$C$4:$C$6,MATCH($C14,paramètres!$B$4:$B$6,0)),INDEX(paramètres!$D$4:$D$6,MATCH($C14,paramètres!$B$4:$B$6,0)))</f>
        <v>39</v>
      </c>
      <c r="AB14" s="86"/>
      <c r="AC14" s="85" t="str">
        <f t="shared" si="68"/>
        <v/>
      </c>
      <c r="AD14" s="85" t="str">
        <f t="shared" si="26"/>
        <v/>
      </c>
      <c r="AE14" s="85" t="str">
        <f t="shared" si="69"/>
        <v/>
      </c>
      <c r="AF14" s="85" t="str">
        <f t="shared" si="27"/>
        <v/>
      </c>
      <c r="AG14" s="85" t="str">
        <f t="shared" si="28"/>
        <v/>
      </c>
      <c r="AH14" s="85" t="str">
        <f t="shared" si="29"/>
        <v/>
      </c>
      <c r="AI14" s="85" t="str">
        <f t="shared" si="30"/>
        <v/>
      </c>
      <c r="AJ14" s="85" t="str">
        <f t="shared" si="31"/>
        <v/>
      </c>
      <c r="AK14" s="85" t="str">
        <f t="shared" si="32"/>
        <v/>
      </c>
      <c r="AL14" s="85" t="str">
        <f t="shared" si="33"/>
        <v/>
      </c>
      <c r="AM14" s="85" t="str">
        <f t="shared" si="34"/>
        <v/>
      </c>
      <c r="AN14" s="85"/>
      <c r="AO14" s="85">
        <f t="shared" si="35"/>
        <v>1</v>
      </c>
      <c r="AP14" s="85">
        <f t="shared" si="36"/>
        <v>1</v>
      </c>
      <c r="AQ14" s="85">
        <f t="shared" si="37"/>
        <v>1.5</v>
      </c>
      <c r="AR14" s="85">
        <f t="shared" si="38"/>
        <v>0</v>
      </c>
      <c r="AS14" s="85">
        <f t="shared" si="39"/>
        <v>0</v>
      </c>
      <c r="AT14" s="85">
        <f t="shared" si="40"/>
        <v>0</v>
      </c>
      <c r="AU14" s="85">
        <f t="shared" si="41"/>
        <v>0</v>
      </c>
      <c r="AV14" s="85">
        <f t="shared" si="42"/>
        <v>0</v>
      </c>
      <c r="AW14" s="85">
        <f t="shared" si="43"/>
        <v>0</v>
      </c>
      <c r="AX14" s="85">
        <f t="shared" si="44"/>
        <v>0</v>
      </c>
      <c r="AY14" s="85">
        <f t="shared" si="45"/>
        <v>0</v>
      </c>
      <c r="AZ14" s="85">
        <f t="shared" si="46"/>
        <v>3.5</v>
      </c>
      <c r="BA14" s="35"/>
      <c r="BB14" s="85" t="str" cm="1">
        <f t="array" ref="BB14">IF($C14&lt;&gt;"Production","",IFERROR(
_xlfn.IFS(AND(AC14&gt;0,AC14&lt;($BC$3-$D14)),AC14,
AND(AC14&gt;0,AC14&gt;($BC$3-$D14)),($BC$3-$D14)),""))</f>
        <v/>
      </c>
      <c r="BC14" s="85" t="str" cm="1">
        <f t="array" ref="BC14">IF($C14&lt;&gt;"Production","",IFERROR(
_xlfn.IFS(AND(AD14&gt;0,AD14&lt;($BC$3-$D14)),AD14,
AND(AD14&gt;0,AD14&gt;($BC$3-$D14)),($BC$3-$D14)),""))</f>
        <v/>
      </c>
      <c r="BD14" s="85" t="str" cm="1">
        <f t="array" ref="BD14">IF($C14&lt;&gt;"Production","",IFERROR(
_xlfn.IFS(AND(AE14&gt;0,AE14&lt;($BC$3-$D14)),AE14,
AND(AE14&gt;0,AE14&gt;($BC$3-$D14)),($BC$3-$D14)),""))</f>
        <v/>
      </c>
      <c r="BE14" s="85" t="str" cm="1">
        <f t="array" ref="BE14">IF($C14&lt;&gt;"Production","",IFERROR(
_xlfn.IFS(AND(AF14&gt;0,AF14&lt;($BC$3-$D14)),AF14,
AND(AF14&gt;0,AF14&gt;($BC$3-$D14)),($BC$3-$D14)),""))</f>
        <v/>
      </c>
      <c r="BF14" s="85" t="str" cm="1">
        <f t="array" ref="BF14">IF($C14&lt;&gt;"Production","",IFERROR(
_xlfn.IFS(AND(AG14&gt;0,AG14&lt;($BC$3-$D14)),AG14,
AND(AG14&gt;0,AG14&gt;($BC$3-$D14)),($BC$3-$D14)),""))</f>
        <v/>
      </c>
      <c r="BG14" s="85" t="str" cm="1">
        <f t="array" ref="BG14">IF($C14&lt;&gt;"Production","",IFERROR(
_xlfn.IFS(AND(AH14&gt;0,AH14&lt;($BC$3-$D14)),AH14,
AND(AH14&gt;0,AH14&gt;($BC$3-$D14)),($BC$3-$D14)),""))</f>
        <v/>
      </c>
      <c r="BH14" s="85" t="str" cm="1">
        <f t="array" ref="BH14">IF($C14&lt;&gt;"Production","",IFERROR(
_xlfn.IFS(AND(AI14&gt;0,AI14&lt;($BC$3-$D14)),AI14,
AND(AI14&gt;0,AI14&gt;($BC$3-$D14)),($BC$3-$D14)),""))</f>
        <v/>
      </c>
      <c r="BI14" s="85" t="str" cm="1">
        <f t="array" ref="BI14">IF($C14&lt;&gt;"Production","",IFERROR(
_xlfn.IFS(AND(AJ14&gt;0,AJ14&lt;($BC$3-$D14)),AJ14,
AND(AJ14&gt;0,AJ14&gt;($BC$3-$D14)),($BC$3-$D14)),""))</f>
        <v/>
      </c>
      <c r="BJ14" s="85" t="str" cm="1">
        <f t="array" ref="BJ14">IF($C14&lt;&gt;"Production","",IFERROR(
_xlfn.IFS(AND(AK14&gt;0,AK14&lt;($BC$3-$D14)),AK14,
AND(AK14&gt;0,AK14&gt;($BC$3-$D14)),($BC$3-$D14)),""))</f>
        <v/>
      </c>
      <c r="BK14" s="85" t="str" cm="1">
        <f t="array" ref="BK14">IF($C14&lt;&gt;"Production","",IFERROR(
_xlfn.IFS(AND(AL14&gt;0,AL14&lt;($BC$3-$D14)),AL14,
AND(AL14&gt;0,AL14&gt;($BC$3-$D14)),($BC$3-$D14)),""))</f>
        <v/>
      </c>
      <c r="BL14" s="85" t="str" cm="1">
        <f t="array" ref="BL14">IF($C14&lt;&gt;"Production","",IFERROR(
_xlfn.IFS(AND(AM14&gt;0,AM14&lt;($BC$3-$D14)),AM14,
AND(AM14&gt;0,AM14&gt;($BC$3-$D14)),($BC$3-$D14)),""))</f>
        <v/>
      </c>
      <c r="BM14" s="85">
        <f t="shared" si="47"/>
        <v>0</v>
      </c>
      <c r="BN14" s="81"/>
      <c r="BO14" s="85" cm="1">
        <f t="array" ref="BO14">IF($C14="Production","",IFERROR(
_xlfn.IFS(AND(AO14&gt;0,AO14&lt;($BC$3-$D14)),AO14,
AND(AO14&gt;0,AO14&gt;($BC$3-$D14)),($BC$3-$D14)),""))</f>
        <v>1</v>
      </c>
      <c r="BP14" s="85" cm="1">
        <f t="array" ref="BP14">IF($C14="Production","",IFERROR(
_xlfn.IFS(AND(AP14&gt;0,AP14&lt;($BC$3-$D14)),AP14,
AND(AP14&gt;0,AP14&gt;($BC$3-$D14)),($BC$3-$D14)),""))</f>
        <v>1</v>
      </c>
      <c r="BQ14" s="85" cm="1">
        <f t="array" ref="BQ14">IF($C14="Production","",IFERROR(
_xlfn.IFS(AND(AQ14&gt;0,AQ14&lt;($BC$3-$D14)),AQ14,
AND(AQ14&gt;0,AQ14&gt;($BC$3-$D14)),($BC$3-$D14)),""))</f>
        <v>1.5</v>
      </c>
      <c r="BR14" s="85" t="str" cm="1">
        <f t="array" ref="BR14">IF($C14="Production","",IFERROR(
_xlfn.IFS(AND(AR14&gt;0,AR14&lt;($BC$3-$D14)),AR14,
AND(AR14&gt;0,AR14&gt;($BC$3-$D14)),($BC$3-$D14)),""))</f>
        <v/>
      </c>
      <c r="BS14" s="85" t="str" cm="1">
        <f t="array" ref="BS14">IF($C14="Production","",IFERROR(
_xlfn.IFS(AND(AS14&gt;0,AS14&lt;($BC$3-$D14)),AS14,
AND(AS14&gt;0,AS14&gt;($BC$3-$D14)),($BC$3-$D14)),""))</f>
        <v/>
      </c>
      <c r="BT14" s="85" t="str" cm="1">
        <f t="array" ref="BT14">IF($C14="Production","",IFERROR(
_xlfn.IFS(AND(AT14&gt;0,AT14&lt;($BC$3-$D14)),AT14,
AND(AT14&gt;0,AT14&gt;($BC$3-$D14)),($BC$3-$D14)),""))</f>
        <v/>
      </c>
      <c r="BU14" s="85" t="str" cm="1">
        <f t="array" ref="BU14">IF($C14="Production","",IFERROR(
_xlfn.IFS(AND(AU14&gt;0,AU14&lt;($BC$3-$D14)),AU14,
AND(AU14&gt;0,AU14&gt;($BC$3-$D14)),($BC$3-$D14)),""))</f>
        <v/>
      </c>
      <c r="BV14" s="85" t="str" cm="1">
        <f t="array" ref="BV14">IF($C14="Production","",IFERROR(
_xlfn.IFS(AND(AV14&gt;0,AV14&lt;($BC$3-$D14)),AV14,
AND(AV14&gt;0,AV14&gt;($BC$3-$D14)),($BC$3-$D14)),""))</f>
        <v/>
      </c>
      <c r="BW14" s="85" t="str" cm="1">
        <f t="array" ref="BW14">IF($C14="Production","",IFERROR(
_xlfn.IFS(AND(AW14&gt;0,AW14&lt;($BC$3-$D14)),AW14,
AND(AW14&gt;0,AW14&gt;($BC$3-$D14)),($BC$3-$D14)),""))</f>
        <v/>
      </c>
      <c r="BX14" s="85" t="str" cm="1">
        <f t="array" ref="BX14">IF($C14="Production","",IFERROR(
_xlfn.IFS(AND(AX14&gt;0,AX14&lt;($BC$3-$D14)),AX14,
AND(AX14&gt;0,AX14&gt;($BC$3-$D14)),($BC$3-$D14)),""))</f>
        <v/>
      </c>
      <c r="BY14" s="85" t="str" cm="1">
        <f t="array" ref="BY14">IF($C14="Production","",IFERROR(
_xlfn.IFS(AND(AY14&gt;0,AY14&lt;($BC$3-$D14)),AY14,
AND(AY14&gt;0,AY14&gt;($BC$3-$D14)),($BC$3-$D14)),""))</f>
        <v/>
      </c>
      <c r="BZ14" s="85">
        <f t="shared" si="48"/>
        <v>3.5</v>
      </c>
      <c r="CA14" s="81"/>
      <c r="CB14" s="85" t="str">
        <f t="shared" si="49"/>
        <v/>
      </c>
      <c r="CC14" s="85" t="str">
        <f t="shared" si="16"/>
        <v/>
      </c>
      <c r="CD14" s="85" t="str">
        <f t="shared" si="17"/>
        <v/>
      </c>
      <c r="CE14" s="85" t="str">
        <f t="shared" si="18"/>
        <v/>
      </c>
      <c r="CF14" s="85" t="str">
        <f t="shared" si="19"/>
        <v/>
      </c>
      <c r="CG14" s="85" t="str">
        <f t="shared" si="20"/>
        <v/>
      </c>
      <c r="CH14" s="85" t="str">
        <f t="shared" si="21"/>
        <v/>
      </c>
      <c r="CI14" s="85" t="str">
        <f t="shared" si="22"/>
        <v/>
      </c>
      <c r="CJ14" s="85" t="str">
        <f t="shared" si="23"/>
        <v/>
      </c>
      <c r="CK14" s="85" t="str">
        <f t="shared" si="24"/>
        <v/>
      </c>
      <c r="CL14" s="85" t="str">
        <f t="shared" si="25"/>
        <v/>
      </c>
      <c r="CM14" s="85">
        <f t="shared" si="50"/>
        <v>0</v>
      </c>
      <c r="CO14" s="80" t="str">
        <f t="shared" si="51"/>
        <v/>
      </c>
      <c r="CP14" s="80" t="str">
        <f t="shared" si="52"/>
        <v/>
      </c>
      <c r="CQ14" s="80" t="str">
        <f t="shared" si="53"/>
        <v/>
      </c>
      <c r="CR14" s="80" t="str">
        <f t="shared" si="54"/>
        <v/>
      </c>
      <c r="CS14" s="80" t="str">
        <f t="shared" si="55"/>
        <v/>
      </c>
      <c r="CT14" s="80" t="str">
        <f t="shared" si="56"/>
        <v/>
      </c>
      <c r="CU14" s="80" t="str">
        <f t="shared" si="57"/>
        <v/>
      </c>
      <c r="CV14" s="80" t="str">
        <f t="shared" si="58"/>
        <v/>
      </c>
      <c r="CW14" s="80" t="str">
        <f t="shared" si="59"/>
        <v/>
      </c>
      <c r="CX14" s="80" t="str">
        <f t="shared" si="60"/>
        <v/>
      </c>
      <c r="CY14" s="80" t="str">
        <f t="shared" si="61"/>
        <v/>
      </c>
      <c r="CZ14" s="80">
        <f t="shared" si="62"/>
        <v>0</v>
      </c>
      <c r="DB14" s="80">
        <f t="shared" si="63"/>
        <v>3.5</v>
      </c>
      <c r="DC14" s="80">
        <f t="shared" si="64"/>
        <v>0</v>
      </c>
      <c r="DD14" s="80">
        <f t="shared" si="65"/>
        <v>4.375</v>
      </c>
      <c r="DE14" s="80">
        <f t="shared" si="66"/>
        <v>0</v>
      </c>
      <c r="DF14" s="80">
        <f t="shared" si="67"/>
        <v>4.375</v>
      </c>
    </row>
    <row r="15" spans="2:110" x14ac:dyDescent="0.15">
      <c r="B15" s="83" t="str">
        <f>'MODU 2025'!B18</f>
        <v>COLLINS Tom</v>
      </c>
      <c r="C15" s="83" t="str">
        <f>'MODU 2025'!C18</f>
        <v>Production</v>
      </c>
      <c r="D15" s="83">
        <f>'MODU 2025'!D18</f>
        <v>37</v>
      </c>
      <c r="E15" s="83">
        <f>'MODU 2025'!G18</f>
        <v>33</v>
      </c>
      <c r="F15" s="83">
        <f>'MODU 2025'!H18</f>
        <v>41</v>
      </c>
      <c r="G15" s="83">
        <f>'MODU 2025'!I18</f>
        <v>33</v>
      </c>
      <c r="H15" s="83">
        <f>'MODU 2025'!J18</f>
        <v>41</v>
      </c>
      <c r="I15" s="83">
        <f>'MODU 2025'!K18</f>
        <v>33</v>
      </c>
      <c r="J15" s="83">
        <f>'MODU 2025'!L18</f>
        <v>41</v>
      </c>
      <c r="K15" s="83">
        <f>'MODU 2025'!M18</f>
        <v>33</v>
      </c>
      <c r="L15" s="83">
        <f>'MODU 2025'!N18</f>
        <v>41</v>
      </c>
      <c r="M15" s="83">
        <f>'MODU 2025'!O18</f>
        <v>33</v>
      </c>
      <c r="N15" s="83">
        <f>'MODU 2025'!P18</f>
        <v>41</v>
      </c>
      <c r="O15" s="83">
        <f>'MODU 2025'!Q18</f>
        <v>33</v>
      </c>
      <c r="P15" s="85"/>
      <c r="Q15" s="85">
        <f>IF(MOD(COLUMN(),2)=0,INDEX(paramètres!$C$4:$C$6,MATCH($C15,paramètres!$B$4:$B$6,0)),INDEX(paramètres!$D$4:$D$6,MATCH($C15,paramètres!$B$4:$B$6,0)))</f>
        <v>41</v>
      </c>
      <c r="R15" s="85">
        <f>IF(MOD(COLUMN(),2)=0,INDEX(paramètres!$C$4:$C$6,MATCH($C15,paramètres!$B$4:$B$6,0)),INDEX(paramètres!$D$4:$D$6,MATCH($C15,paramètres!$B$4:$B$6,0)))</f>
        <v>33</v>
      </c>
      <c r="S15" s="85">
        <f>IF(MOD(COLUMN(),2)=0,INDEX(paramètres!$C$4:$C$6,MATCH($C15,paramètres!$B$4:$B$6,0)),INDEX(paramètres!$D$4:$D$6,MATCH($C15,paramètres!$B$4:$B$6,0)))</f>
        <v>41</v>
      </c>
      <c r="T15" s="85">
        <f>IF(MOD(COLUMN(),2)=0,INDEX(paramètres!$C$4:$C$6,MATCH($C15,paramètres!$B$4:$B$6,0)),INDEX(paramètres!$D$4:$D$6,MATCH($C15,paramètres!$B$4:$B$6,0)))</f>
        <v>33</v>
      </c>
      <c r="U15" s="85">
        <f>IF(MOD(COLUMN(),2)=0,INDEX(paramètres!$C$4:$C$6,MATCH($C15,paramètres!$B$4:$B$6,0)),INDEX(paramètres!$D$4:$D$6,MATCH($C15,paramètres!$B$4:$B$6,0)))</f>
        <v>41</v>
      </c>
      <c r="V15" s="85">
        <f>IF(MOD(COLUMN(),2)=0,INDEX(paramètres!$C$4:$C$6,MATCH($C15,paramètres!$B$4:$B$6,0)),INDEX(paramètres!$D$4:$D$6,MATCH($C15,paramètres!$B$4:$B$6,0)))</f>
        <v>33</v>
      </c>
      <c r="W15" s="85">
        <f>IF(MOD(COLUMN(),2)=0,INDEX(paramètres!$C$4:$C$6,MATCH($C15,paramètres!$B$4:$B$6,0)),INDEX(paramètres!$D$4:$D$6,MATCH($C15,paramètres!$B$4:$B$6,0)))</f>
        <v>41</v>
      </c>
      <c r="X15" s="85">
        <f>IF(MOD(COLUMN(),2)=0,INDEX(paramètres!$C$4:$C$6,MATCH($C15,paramètres!$B$4:$B$6,0)),INDEX(paramètres!$D$4:$D$6,MATCH($C15,paramètres!$B$4:$B$6,0)))</f>
        <v>33</v>
      </c>
      <c r="Y15" s="85">
        <f>IF(MOD(COLUMN(),2)=0,INDEX(paramètres!$C$4:$C$6,MATCH($C15,paramètres!$B$4:$B$6,0)),INDEX(paramètres!$D$4:$D$6,MATCH($C15,paramètres!$B$4:$B$6,0)))</f>
        <v>41</v>
      </c>
      <c r="Z15" s="85">
        <f>IF(MOD(COLUMN(),2)=0,INDEX(paramètres!$C$4:$C$6,MATCH($C15,paramètres!$B$4:$B$6,0)),INDEX(paramètres!$D$4:$D$6,MATCH($C15,paramètres!$B$4:$B$6,0)))</f>
        <v>33</v>
      </c>
      <c r="AA15" s="85">
        <f>IF(MOD(COLUMN(),2)=0,INDEX(paramètres!$C$4:$C$6,MATCH($C15,paramètres!$B$4:$B$6,0)),INDEX(paramètres!$D$4:$D$6,MATCH($C15,paramètres!$B$4:$B$6,0)))</f>
        <v>41</v>
      </c>
      <c r="AB15" s="86"/>
      <c r="AC15" s="85">
        <f t="shared" si="68"/>
        <v>0</v>
      </c>
      <c r="AD15" s="85">
        <f t="shared" si="26"/>
        <v>0</v>
      </c>
      <c r="AE15" s="85">
        <f t="shared" si="69"/>
        <v>0</v>
      </c>
      <c r="AF15" s="85">
        <f t="shared" si="27"/>
        <v>0</v>
      </c>
      <c r="AG15" s="85">
        <f t="shared" si="28"/>
        <v>0</v>
      </c>
      <c r="AH15" s="85">
        <f t="shared" si="29"/>
        <v>0</v>
      </c>
      <c r="AI15" s="85">
        <f t="shared" si="30"/>
        <v>0</v>
      </c>
      <c r="AJ15" s="85">
        <f t="shared" si="31"/>
        <v>0</v>
      </c>
      <c r="AK15" s="85">
        <f t="shared" si="32"/>
        <v>0</v>
      </c>
      <c r="AL15" s="85">
        <f t="shared" si="33"/>
        <v>0</v>
      </c>
      <c r="AM15" s="85">
        <f t="shared" si="34"/>
        <v>-41</v>
      </c>
      <c r="AN15" s="85"/>
      <c r="AO15" s="85" t="str">
        <f t="shared" si="35"/>
        <v/>
      </c>
      <c r="AP15" s="85" t="str">
        <f t="shared" si="36"/>
        <v/>
      </c>
      <c r="AQ15" s="85" t="str">
        <f t="shared" si="37"/>
        <v/>
      </c>
      <c r="AR15" s="85" t="str">
        <f t="shared" si="38"/>
        <v/>
      </c>
      <c r="AS15" s="85" t="str">
        <f t="shared" si="39"/>
        <v/>
      </c>
      <c r="AT15" s="85" t="str">
        <f t="shared" si="40"/>
        <v/>
      </c>
      <c r="AU15" s="85" t="str">
        <f t="shared" si="41"/>
        <v/>
      </c>
      <c r="AV15" s="85" t="str">
        <f t="shared" si="42"/>
        <v/>
      </c>
      <c r="AW15" s="85" t="str">
        <f t="shared" si="43"/>
        <v/>
      </c>
      <c r="AX15" s="85" t="str">
        <f t="shared" si="44"/>
        <v/>
      </c>
      <c r="AY15" s="85" t="str">
        <f t="shared" si="45"/>
        <v/>
      </c>
      <c r="AZ15" s="85">
        <f t="shared" si="46"/>
        <v>0</v>
      </c>
      <c r="BA15" s="35"/>
      <c r="BB15" s="85" t="str" cm="1">
        <f t="array" ref="BB15">IF($C15&lt;&gt;"Production","",IFERROR(
_xlfn.IFS(AND(AC15&gt;0,AC15&lt;($BC$3-$D15)),AC15,
AND(AC15&gt;0,AC15&gt;($BC$3-$D15)),($BC$3-$D15)),""))</f>
        <v/>
      </c>
      <c r="BC15" s="85" t="str" cm="1">
        <f t="array" ref="BC15">IF($C15&lt;&gt;"Production","",IFERROR(
_xlfn.IFS(AND(AD15&gt;0,AD15&lt;($BC$3-$D15)),AD15,
AND(AD15&gt;0,AD15&gt;($BC$3-$D15)),($BC$3-$D15)),""))</f>
        <v/>
      </c>
      <c r="BD15" s="85" t="str" cm="1">
        <f t="array" ref="BD15">IF($C15&lt;&gt;"Production","",IFERROR(
_xlfn.IFS(AND(AE15&gt;0,AE15&lt;($BC$3-$D15)),AE15,
AND(AE15&gt;0,AE15&gt;($BC$3-$D15)),($BC$3-$D15)),""))</f>
        <v/>
      </c>
      <c r="BE15" s="85" t="str" cm="1">
        <f t="array" ref="BE15">IF($C15&lt;&gt;"Production","",IFERROR(
_xlfn.IFS(AND(AF15&gt;0,AF15&lt;($BC$3-$D15)),AF15,
AND(AF15&gt;0,AF15&gt;($BC$3-$D15)),($BC$3-$D15)),""))</f>
        <v/>
      </c>
      <c r="BF15" s="85" t="str" cm="1">
        <f t="array" ref="BF15">IF($C15&lt;&gt;"Production","",IFERROR(
_xlfn.IFS(AND(AG15&gt;0,AG15&lt;($BC$3-$D15)),AG15,
AND(AG15&gt;0,AG15&gt;($BC$3-$D15)),($BC$3-$D15)),""))</f>
        <v/>
      </c>
      <c r="BG15" s="85" t="str" cm="1">
        <f t="array" ref="BG15">IF($C15&lt;&gt;"Production","",IFERROR(
_xlfn.IFS(AND(AH15&gt;0,AH15&lt;($BC$3-$D15)),AH15,
AND(AH15&gt;0,AH15&gt;($BC$3-$D15)),($BC$3-$D15)),""))</f>
        <v/>
      </c>
      <c r="BH15" s="85" t="str" cm="1">
        <f t="array" ref="BH15">IF($C15&lt;&gt;"Production","",IFERROR(
_xlfn.IFS(AND(AI15&gt;0,AI15&lt;($BC$3-$D15)),AI15,
AND(AI15&gt;0,AI15&gt;($BC$3-$D15)),($BC$3-$D15)),""))</f>
        <v/>
      </c>
      <c r="BI15" s="85" t="str" cm="1">
        <f t="array" ref="BI15">IF($C15&lt;&gt;"Production","",IFERROR(
_xlfn.IFS(AND(AJ15&gt;0,AJ15&lt;($BC$3-$D15)),AJ15,
AND(AJ15&gt;0,AJ15&gt;($BC$3-$D15)),($BC$3-$D15)),""))</f>
        <v/>
      </c>
      <c r="BJ15" s="85" t="str" cm="1">
        <f t="array" ref="BJ15">IF($C15&lt;&gt;"Production","",IFERROR(
_xlfn.IFS(AND(AK15&gt;0,AK15&lt;($BC$3-$D15)),AK15,
AND(AK15&gt;0,AK15&gt;($BC$3-$D15)),($BC$3-$D15)),""))</f>
        <v/>
      </c>
      <c r="BK15" s="85" t="str" cm="1">
        <f t="array" ref="BK15">IF($C15&lt;&gt;"Production","",IFERROR(
_xlfn.IFS(AND(AL15&gt;0,AL15&lt;($BC$3-$D15)),AL15,
AND(AL15&gt;0,AL15&gt;($BC$3-$D15)),($BC$3-$D15)),""))</f>
        <v/>
      </c>
      <c r="BL15" s="85" t="str" cm="1">
        <f t="array" ref="BL15">IF($C15&lt;&gt;"Production","",IFERROR(
_xlfn.IFS(AND(AM15&gt;0,AM15&lt;($BC$3-$D15)),AM15,
AND(AM15&gt;0,AM15&gt;($BC$3-$D15)),($BC$3-$D15)),""))</f>
        <v/>
      </c>
      <c r="BM15" s="85">
        <f t="shared" si="47"/>
        <v>0</v>
      </c>
      <c r="BN15" s="81"/>
      <c r="BO15" s="85" t="str" cm="1">
        <f t="array" ref="BO15">IF($C15="Production","",IFERROR(
_xlfn.IFS(AND(AO15&gt;0,AO15&lt;($BC$3-$D15)),AO15,
AND(AO15&gt;0,AO15&gt;($BC$3-$D15)),($BC$3-$D15)),""))</f>
        <v/>
      </c>
      <c r="BP15" s="85" t="str" cm="1">
        <f t="array" ref="BP15">IF($C15="Production","",IFERROR(
_xlfn.IFS(AND(AP15&gt;0,AP15&lt;($BC$3-$D15)),AP15,
AND(AP15&gt;0,AP15&gt;($BC$3-$D15)),($BC$3-$D15)),""))</f>
        <v/>
      </c>
      <c r="BQ15" s="85" t="str" cm="1">
        <f t="array" ref="BQ15">IF($C15="Production","",IFERROR(
_xlfn.IFS(AND(AQ15&gt;0,AQ15&lt;($BC$3-$D15)),AQ15,
AND(AQ15&gt;0,AQ15&gt;($BC$3-$D15)),($BC$3-$D15)),""))</f>
        <v/>
      </c>
      <c r="BR15" s="85" t="str" cm="1">
        <f t="array" ref="BR15">IF($C15="Production","",IFERROR(
_xlfn.IFS(AND(AR15&gt;0,AR15&lt;($BC$3-$D15)),AR15,
AND(AR15&gt;0,AR15&gt;($BC$3-$D15)),($BC$3-$D15)),""))</f>
        <v/>
      </c>
      <c r="BS15" s="85" t="str" cm="1">
        <f t="array" ref="BS15">IF($C15="Production","",IFERROR(
_xlfn.IFS(AND(AS15&gt;0,AS15&lt;($BC$3-$D15)),AS15,
AND(AS15&gt;0,AS15&gt;($BC$3-$D15)),($BC$3-$D15)),""))</f>
        <v/>
      </c>
      <c r="BT15" s="85" t="str" cm="1">
        <f t="array" ref="BT15">IF($C15="Production","",IFERROR(
_xlfn.IFS(AND(AT15&gt;0,AT15&lt;($BC$3-$D15)),AT15,
AND(AT15&gt;0,AT15&gt;($BC$3-$D15)),($BC$3-$D15)),""))</f>
        <v/>
      </c>
      <c r="BU15" s="85" t="str" cm="1">
        <f t="array" ref="BU15">IF($C15="Production","",IFERROR(
_xlfn.IFS(AND(AU15&gt;0,AU15&lt;($BC$3-$D15)),AU15,
AND(AU15&gt;0,AU15&gt;($BC$3-$D15)),($BC$3-$D15)),""))</f>
        <v/>
      </c>
      <c r="BV15" s="85" t="str" cm="1">
        <f t="array" ref="BV15">IF($C15="Production","",IFERROR(
_xlfn.IFS(AND(AV15&gt;0,AV15&lt;($BC$3-$D15)),AV15,
AND(AV15&gt;0,AV15&gt;($BC$3-$D15)),($BC$3-$D15)),""))</f>
        <v/>
      </c>
      <c r="BW15" s="85" t="str" cm="1">
        <f t="array" ref="BW15">IF($C15="Production","",IFERROR(
_xlfn.IFS(AND(AW15&gt;0,AW15&lt;($BC$3-$D15)),AW15,
AND(AW15&gt;0,AW15&gt;($BC$3-$D15)),($BC$3-$D15)),""))</f>
        <v/>
      </c>
      <c r="BX15" s="85" t="str" cm="1">
        <f t="array" ref="BX15">IF($C15="Production","",IFERROR(
_xlfn.IFS(AND(AX15&gt;0,AX15&lt;($BC$3-$D15)),AX15,
AND(AX15&gt;0,AX15&gt;($BC$3-$D15)),($BC$3-$D15)),""))</f>
        <v/>
      </c>
      <c r="BY15" s="85" t="str" cm="1">
        <f t="array" ref="BY15">IF($C15="Production","",IFERROR(
_xlfn.IFS(AND(AY15&gt;0,AY15&lt;($BC$3-$D15)),AY15,
AND(AY15&gt;0,AY15&gt;($BC$3-$D15)),($BC$3-$D15)),""))</f>
        <v/>
      </c>
      <c r="BZ15" s="85">
        <f t="shared" si="48"/>
        <v>0</v>
      </c>
      <c r="CA15" s="81"/>
      <c r="CB15" s="85" t="str">
        <f t="shared" si="49"/>
        <v/>
      </c>
      <c r="CC15" s="85" t="str">
        <f t="shared" si="16"/>
        <v/>
      </c>
      <c r="CD15" s="85" t="str">
        <f t="shared" si="17"/>
        <v/>
      </c>
      <c r="CE15" s="85" t="str">
        <f t="shared" si="18"/>
        <v/>
      </c>
      <c r="CF15" s="85" t="str">
        <f t="shared" si="19"/>
        <v/>
      </c>
      <c r="CG15" s="85" t="str">
        <f t="shared" si="20"/>
        <v/>
      </c>
      <c r="CH15" s="85" t="str">
        <f t="shared" si="21"/>
        <v/>
      </c>
      <c r="CI15" s="85" t="str">
        <f t="shared" si="22"/>
        <v/>
      </c>
      <c r="CJ15" s="85" t="str">
        <f t="shared" si="23"/>
        <v/>
      </c>
      <c r="CK15" s="85" t="str">
        <f t="shared" si="24"/>
        <v/>
      </c>
      <c r="CL15" s="85" t="str">
        <f t="shared" si="25"/>
        <v/>
      </c>
      <c r="CM15" s="85">
        <f t="shared" si="50"/>
        <v>0</v>
      </c>
      <c r="CO15" s="80" t="str">
        <f t="shared" si="51"/>
        <v/>
      </c>
      <c r="CP15" s="80" t="str">
        <f t="shared" si="52"/>
        <v/>
      </c>
      <c r="CQ15" s="80" t="str">
        <f t="shared" si="53"/>
        <v/>
      </c>
      <c r="CR15" s="80" t="str">
        <f t="shared" si="54"/>
        <v/>
      </c>
      <c r="CS15" s="80" t="str">
        <f t="shared" si="55"/>
        <v/>
      </c>
      <c r="CT15" s="80" t="str">
        <f t="shared" si="56"/>
        <v/>
      </c>
      <c r="CU15" s="80" t="str">
        <f t="shared" si="57"/>
        <v/>
      </c>
      <c r="CV15" s="80" t="str">
        <f t="shared" si="58"/>
        <v/>
      </c>
      <c r="CW15" s="80" t="str">
        <f t="shared" si="59"/>
        <v/>
      </c>
      <c r="CX15" s="80" t="str">
        <f t="shared" si="60"/>
        <v/>
      </c>
      <c r="CY15" s="80" t="str">
        <f t="shared" si="61"/>
        <v/>
      </c>
      <c r="CZ15" s="80">
        <f t="shared" si="62"/>
        <v>0</v>
      </c>
      <c r="DB15" s="80">
        <f t="shared" si="63"/>
        <v>0</v>
      </c>
      <c r="DC15" s="80">
        <f t="shared" si="64"/>
        <v>0</v>
      </c>
      <c r="DD15" s="80">
        <f t="shared" si="65"/>
        <v>0</v>
      </c>
      <c r="DE15" s="80">
        <f t="shared" si="66"/>
        <v>-41</v>
      </c>
      <c r="DF15" s="80">
        <f t="shared" si="67"/>
        <v>-41</v>
      </c>
    </row>
    <row r="16" spans="2:110" x14ac:dyDescent="0.15">
      <c r="B16" s="83" t="str">
        <f>'MODU 2025'!B19</f>
        <v>CORTOT Catherine</v>
      </c>
      <c r="C16" s="83" t="str">
        <f>'MODU 2025'!C19</f>
        <v>Production</v>
      </c>
      <c r="D16" s="83">
        <f>'MODU 2025'!D19</f>
        <v>37</v>
      </c>
      <c r="E16" s="83">
        <f>'MODU 2025'!G19</f>
        <v>33</v>
      </c>
      <c r="F16" s="83">
        <f>'MODU 2025'!H19</f>
        <v>41</v>
      </c>
      <c r="G16" s="83">
        <f>'MODU 2025'!I19</f>
        <v>33</v>
      </c>
      <c r="H16" s="83">
        <f>'MODU 2025'!J19</f>
        <v>41</v>
      </c>
      <c r="I16" s="83">
        <f>'MODU 2025'!K19</f>
        <v>33</v>
      </c>
      <c r="J16" s="83">
        <f>'MODU 2025'!L19</f>
        <v>41</v>
      </c>
      <c r="K16" s="83">
        <f>'MODU 2025'!M19</f>
        <v>33</v>
      </c>
      <c r="L16" s="83">
        <f>'MODU 2025'!N19</f>
        <v>41</v>
      </c>
      <c r="M16" s="83">
        <f>'MODU 2025'!O19</f>
        <v>33</v>
      </c>
      <c r="N16" s="83">
        <f>'MODU 2025'!P19</f>
        <v>41</v>
      </c>
      <c r="O16" s="83">
        <f>'MODU 2025'!Q19</f>
        <v>33</v>
      </c>
      <c r="P16" s="85"/>
      <c r="Q16" s="85">
        <f>IF(MOD(COLUMN(),2)=0,INDEX(paramètres!$C$4:$C$6,MATCH($C16,paramètres!$B$4:$B$6,0)),INDEX(paramètres!$D$4:$D$6,MATCH($C16,paramètres!$B$4:$B$6,0)))</f>
        <v>41</v>
      </c>
      <c r="R16" s="85">
        <f>IF(MOD(COLUMN(),2)=0,INDEX(paramètres!$C$4:$C$6,MATCH($C16,paramètres!$B$4:$B$6,0)),INDEX(paramètres!$D$4:$D$6,MATCH($C16,paramètres!$B$4:$B$6,0)))</f>
        <v>33</v>
      </c>
      <c r="S16" s="85">
        <f>IF(MOD(COLUMN(),2)=0,INDEX(paramètres!$C$4:$C$6,MATCH($C16,paramètres!$B$4:$B$6,0)),INDEX(paramètres!$D$4:$D$6,MATCH($C16,paramètres!$B$4:$B$6,0)))</f>
        <v>41</v>
      </c>
      <c r="T16" s="85">
        <f>IF(MOD(COLUMN(),2)=0,INDEX(paramètres!$C$4:$C$6,MATCH($C16,paramètres!$B$4:$B$6,0)),INDEX(paramètres!$D$4:$D$6,MATCH($C16,paramètres!$B$4:$B$6,0)))</f>
        <v>33</v>
      </c>
      <c r="U16" s="85">
        <f>IF(MOD(COLUMN(),2)=0,INDEX(paramètres!$C$4:$C$6,MATCH($C16,paramètres!$B$4:$B$6,0)),INDEX(paramètres!$D$4:$D$6,MATCH($C16,paramètres!$B$4:$B$6,0)))</f>
        <v>41</v>
      </c>
      <c r="V16" s="85">
        <f>IF(MOD(COLUMN(),2)=0,INDEX(paramètres!$C$4:$C$6,MATCH($C16,paramètres!$B$4:$B$6,0)),INDEX(paramètres!$D$4:$D$6,MATCH($C16,paramètres!$B$4:$B$6,0)))</f>
        <v>33</v>
      </c>
      <c r="W16" s="85">
        <f>IF(MOD(COLUMN(),2)=0,INDEX(paramètres!$C$4:$C$6,MATCH($C16,paramètres!$B$4:$B$6,0)),INDEX(paramètres!$D$4:$D$6,MATCH($C16,paramètres!$B$4:$B$6,0)))</f>
        <v>41</v>
      </c>
      <c r="X16" s="85">
        <f>IF(MOD(COLUMN(),2)=0,INDEX(paramètres!$C$4:$C$6,MATCH($C16,paramètres!$B$4:$B$6,0)),INDEX(paramètres!$D$4:$D$6,MATCH($C16,paramètres!$B$4:$B$6,0)))</f>
        <v>33</v>
      </c>
      <c r="Y16" s="85">
        <f>IF(MOD(COLUMN(),2)=0,INDEX(paramètres!$C$4:$C$6,MATCH($C16,paramètres!$B$4:$B$6,0)),INDEX(paramètres!$D$4:$D$6,MATCH($C16,paramètres!$B$4:$B$6,0)))</f>
        <v>41</v>
      </c>
      <c r="Z16" s="85">
        <f>IF(MOD(COLUMN(),2)=0,INDEX(paramètres!$C$4:$C$6,MATCH($C16,paramètres!$B$4:$B$6,0)),INDEX(paramètres!$D$4:$D$6,MATCH($C16,paramètres!$B$4:$B$6,0)))</f>
        <v>33</v>
      </c>
      <c r="AA16" s="85">
        <f>IF(MOD(COLUMN(),2)=0,INDEX(paramètres!$C$4:$C$6,MATCH($C16,paramètres!$B$4:$B$6,0)),INDEX(paramètres!$D$4:$D$6,MATCH($C16,paramètres!$B$4:$B$6,0)))</f>
        <v>41</v>
      </c>
      <c r="AB16" s="86"/>
      <c r="AC16" s="85">
        <f t="shared" si="68"/>
        <v>0</v>
      </c>
      <c r="AD16" s="85">
        <f t="shared" si="26"/>
        <v>0</v>
      </c>
      <c r="AE16" s="85">
        <f t="shared" si="69"/>
        <v>0</v>
      </c>
      <c r="AF16" s="85">
        <f t="shared" si="27"/>
        <v>0</v>
      </c>
      <c r="AG16" s="85">
        <f t="shared" si="28"/>
        <v>0</v>
      </c>
      <c r="AH16" s="85">
        <f t="shared" si="29"/>
        <v>0</v>
      </c>
      <c r="AI16" s="85">
        <f t="shared" si="30"/>
        <v>0</v>
      </c>
      <c r="AJ16" s="85">
        <f t="shared" si="31"/>
        <v>0</v>
      </c>
      <c r="AK16" s="85">
        <f t="shared" si="32"/>
        <v>0</v>
      </c>
      <c r="AL16" s="85">
        <f t="shared" si="33"/>
        <v>0</v>
      </c>
      <c r="AM16" s="85">
        <f t="shared" si="34"/>
        <v>-41</v>
      </c>
      <c r="AN16" s="85"/>
      <c r="AO16" s="85" t="str">
        <f t="shared" si="35"/>
        <v/>
      </c>
      <c r="AP16" s="85" t="str">
        <f t="shared" si="36"/>
        <v/>
      </c>
      <c r="AQ16" s="85" t="str">
        <f t="shared" si="37"/>
        <v/>
      </c>
      <c r="AR16" s="85" t="str">
        <f t="shared" si="38"/>
        <v/>
      </c>
      <c r="AS16" s="85" t="str">
        <f t="shared" si="39"/>
        <v/>
      </c>
      <c r="AT16" s="85" t="str">
        <f t="shared" si="40"/>
        <v/>
      </c>
      <c r="AU16" s="85" t="str">
        <f t="shared" si="41"/>
        <v/>
      </c>
      <c r="AV16" s="85" t="str">
        <f t="shared" si="42"/>
        <v/>
      </c>
      <c r="AW16" s="85" t="str">
        <f t="shared" si="43"/>
        <v/>
      </c>
      <c r="AX16" s="85" t="str">
        <f t="shared" si="44"/>
        <v/>
      </c>
      <c r="AY16" s="85" t="str">
        <f t="shared" si="45"/>
        <v/>
      </c>
      <c r="AZ16" s="85">
        <f t="shared" si="46"/>
        <v>0</v>
      </c>
      <c r="BA16" s="35"/>
      <c r="BB16" s="85" t="str" cm="1">
        <f t="array" ref="BB16">IF($C16&lt;&gt;"Production","",IFERROR(
_xlfn.IFS(AND(AC16&gt;0,AC16&lt;($BC$3-$D16)),AC16,
AND(AC16&gt;0,AC16&gt;($BC$3-$D16)),($BC$3-$D16)),""))</f>
        <v/>
      </c>
      <c r="BC16" s="85" t="str" cm="1">
        <f t="array" ref="BC16">IF($C16&lt;&gt;"Production","",IFERROR(
_xlfn.IFS(AND(AD16&gt;0,AD16&lt;($BC$3-$D16)),AD16,
AND(AD16&gt;0,AD16&gt;($BC$3-$D16)),($BC$3-$D16)),""))</f>
        <v/>
      </c>
      <c r="BD16" s="85" t="str" cm="1">
        <f t="array" ref="BD16">IF($C16&lt;&gt;"Production","",IFERROR(
_xlfn.IFS(AND(AE16&gt;0,AE16&lt;($BC$3-$D16)),AE16,
AND(AE16&gt;0,AE16&gt;($BC$3-$D16)),($BC$3-$D16)),""))</f>
        <v/>
      </c>
      <c r="BE16" s="85" t="str" cm="1">
        <f t="array" ref="BE16">IF($C16&lt;&gt;"Production","",IFERROR(
_xlfn.IFS(AND(AF16&gt;0,AF16&lt;($BC$3-$D16)),AF16,
AND(AF16&gt;0,AF16&gt;($BC$3-$D16)),($BC$3-$D16)),""))</f>
        <v/>
      </c>
      <c r="BF16" s="85" t="str" cm="1">
        <f t="array" ref="BF16">IF($C16&lt;&gt;"Production","",IFERROR(
_xlfn.IFS(AND(AG16&gt;0,AG16&lt;($BC$3-$D16)),AG16,
AND(AG16&gt;0,AG16&gt;($BC$3-$D16)),($BC$3-$D16)),""))</f>
        <v/>
      </c>
      <c r="BG16" s="85" t="str" cm="1">
        <f t="array" ref="BG16">IF($C16&lt;&gt;"Production","",IFERROR(
_xlfn.IFS(AND(AH16&gt;0,AH16&lt;($BC$3-$D16)),AH16,
AND(AH16&gt;0,AH16&gt;($BC$3-$D16)),($BC$3-$D16)),""))</f>
        <v/>
      </c>
      <c r="BH16" s="85" t="str" cm="1">
        <f t="array" ref="BH16">IF($C16&lt;&gt;"Production","",IFERROR(
_xlfn.IFS(AND(AI16&gt;0,AI16&lt;($BC$3-$D16)),AI16,
AND(AI16&gt;0,AI16&gt;($BC$3-$D16)),($BC$3-$D16)),""))</f>
        <v/>
      </c>
      <c r="BI16" s="85" t="str" cm="1">
        <f t="array" ref="BI16">IF($C16&lt;&gt;"Production","",IFERROR(
_xlfn.IFS(AND(AJ16&gt;0,AJ16&lt;($BC$3-$D16)),AJ16,
AND(AJ16&gt;0,AJ16&gt;($BC$3-$D16)),($BC$3-$D16)),""))</f>
        <v/>
      </c>
      <c r="BJ16" s="85" t="str" cm="1">
        <f t="array" ref="BJ16">IF($C16&lt;&gt;"Production","",IFERROR(
_xlfn.IFS(AND(AK16&gt;0,AK16&lt;($BC$3-$D16)),AK16,
AND(AK16&gt;0,AK16&gt;($BC$3-$D16)),($BC$3-$D16)),""))</f>
        <v/>
      </c>
      <c r="BK16" s="85" t="str" cm="1">
        <f t="array" ref="BK16">IF($C16&lt;&gt;"Production","",IFERROR(
_xlfn.IFS(AND(AL16&gt;0,AL16&lt;($BC$3-$D16)),AL16,
AND(AL16&gt;0,AL16&gt;($BC$3-$D16)),($BC$3-$D16)),""))</f>
        <v/>
      </c>
      <c r="BL16" s="85" t="str" cm="1">
        <f t="array" ref="BL16">IF($C16&lt;&gt;"Production","",IFERROR(
_xlfn.IFS(AND(AM16&gt;0,AM16&lt;($BC$3-$D16)),AM16,
AND(AM16&gt;0,AM16&gt;($BC$3-$D16)),($BC$3-$D16)),""))</f>
        <v/>
      </c>
      <c r="BM16" s="85">
        <f t="shared" si="47"/>
        <v>0</v>
      </c>
      <c r="BN16" s="81"/>
      <c r="BO16" s="85" t="str" cm="1">
        <f t="array" ref="BO16">IF($C16="Production","",IFERROR(
_xlfn.IFS(AND(AO16&gt;0,AO16&lt;($BC$3-$D16)),AO16,
AND(AO16&gt;0,AO16&gt;($BC$3-$D16)),($BC$3-$D16)),""))</f>
        <v/>
      </c>
      <c r="BP16" s="85" t="str" cm="1">
        <f t="array" ref="BP16">IF($C16="Production","",IFERROR(
_xlfn.IFS(AND(AP16&gt;0,AP16&lt;($BC$3-$D16)),AP16,
AND(AP16&gt;0,AP16&gt;($BC$3-$D16)),($BC$3-$D16)),""))</f>
        <v/>
      </c>
      <c r="BQ16" s="85" t="str" cm="1">
        <f t="array" ref="BQ16">IF($C16="Production","",IFERROR(
_xlfn.IFS(AND(AQ16&gt;0,AQ16&lt;($BC$3-$D16)),AQ16,
AND(AQ16&gt;0,AQ16&gt;($BC$3-$D16)),($BC$3-$D16)),""))</f>
        <v/>
      </c>
      <c r="BR16" s="85" t="str" cm="1">
        <f t="array" ref="BR16">IF($C16="Production","",IFERROR(
_xlfn.IFS(AND(AR16&gt;0,AR16&lt;($BC$3-$D16)),AR16,
AND(AR16&gt;0,AR16&gt;($BC$3-$D16)),($BC$3-$D16)),""))</f>
        <v/>
      </c>
      <c r="BS16" s="85" t="str" cm="1">
        <f t="array" ref="BS16">IF($C16="Production","",IFERROR(
_xlfn.IFS(AND(AS16&gt;0,AS16&lt;($BC$3-$D16)),AS16,
AND(AS16&gt;0,AS16&gt;($BC$3-$D16)),($BC$3-$D16)),""))</f>
        <v/>
      </c>
      <c r="BT16" s="85" t="str" cm="1">
        <f t="array" ref="BT16">IF($C16="Production","",IFERROR(
_xlfn.IFS(AND(AT16&gt;0,AT16&lt;($BC$3-$D16)),AT16,
AND(AT16&gt;0,AT16&gt;($BC$3-$D16)),($BC$3-$D16)),""))</f>
        <v/>
      </c>
      <c r="BU16" s="85" t="str" cm="1">
        <f t="array" ref="BU16">IF($C16="Production","",IFERROR(
_xlfn.IFS(AND(AU16&gt;0,AU16&lt;($BC$3-$D16)),AU16,
AND(AU16&gt;0,AU16&gt;($BC$3-$D16)),($BC$3-$D16)),""))</f>
        <v/>
      </c>
      <c r="BV16" s="85" t="str" cm="1">
        <f t="array" ref="BV16">IF($C16="Production","",IFERROR(
_xlfn.IFS(AND(AV16&gt;0,AV16&lt;($BC$3-$D16)),AV16,
AND(AV16&gt;0,AV16&gt;($BC$3-$D16)),($BC$3-$D16)),""))</f>
        <v/>
      </c>
      <c r="BW16" s="85" t="str" cm="1">
        <f t="array" ref="BW16">IF($C16="Production","",IFERROR(
_xlfn.IFS(AND(AW16&gt;0,AW16&lt;($BC$3-$D16)),AW16,
AND(AW16&gt;0,AW16&gt;($BC$3-$D16)),($BC$3-$D16)),""))</f>
        <v/>
      </c>
      <c r="BX16" s="85" t="str" cm="1">
        <f t="array" ref="BX16">IF($C16="Production","",IFERROR(
_xlfn.IFS(AND(AX16&gt;0,AX16&lt;($BC$3-$D16)),AX16,
AND(AX16&gt;0,AX16&gt;($BC$3-$D16)),($BC$3-$D16)),""))</f>
        <v/>
      </c>
      <c r="BY16" s="85" t="str" cm="1">
        <f t="array" ref="BY16">IF($C16="Production","",IFERROR(
_xlfn.IFS(AND(AY16&gt;0,AY16&lt;($BC$3-$D16)),AY16,
AND(AY16&gt;0,AY16&gt;($BC$3-$D16)),($BC$3-$D16)),""))</f>
        <v/>
      </c>
      <c r="BZ16" s="85">
        <f t="shared" si="48"/>
        <v>0</v>
      </c>
      <c r="CA16" s="81"/>
      <c r="CB16" s="85" t="str">
        <f t="shared" si="49"/>
        <v/>
      </c>
      <c r="CC16" s="85" t="str">
        <f t="shared" si="16"/>
        <v/>
      </c>
      <c r="CD16" s="85" t="str">
        <f t="shared" si="17"/>
        <v/>
      </c>
      <c r="CE16" s="85" t="str">
        <f t="shared" si="18"/>
        <v/>
      </c>
      <c r="CF16" s="85" t="str">
        <f t="shared" si="19"/>
        <v/>
      </c>
      <c r="CG16" s="85" t="str">
        <f t="shared" si="20"/>
        <v/>
      </c>
      <c r="CH16" s="85" t="str">
        <f t="shared" si="21"/>
        <v/>
      </c>
      <c r="CI16" s="85" t="str">
        <f t="shared" si="22"/>
        <v/>
      </c>
      <c r="CJ16" s="85" t="str">
        <f t="shared" si="23"/>
        <v/>
      </c>
      <c r="CK16" s="85" t="str">
        <f t="shared" si="24"/>
        <v/>
      </c>
      <c r="CL16" s="85" t="str">
        <f t="shared" si="25"/>
        <v/>
      </c>
      <c r="CM16" s="85">
        <f t="shared" si="50"/>
        <v>0</v>
      </c>
      <c r="CO16" s="80" t="str">
        <f t="shared" si="51"/>
        <v/>
      </c>
      <c r="CP16" s="80" t="str">
        <f t="shared" si="52"/>
        <v/>
      </c>
      <c r="CQ16" s="80" t="str">
        <f t="shared" si="53"/>
        <v/>
      </c>
      <c r="CR16" s="80" t="str">
        <f t="shared" si="54"/>
        <v/>
      </c>
      <c r="CS16" s="80" t="str">
        <f t="shared" si="55"/>
        <v/>
      </c>
      <c r="CT16" s="80" t="str">
        <f t="shared" si="56"/>
        <v/>
      </c>
      <c r="CU16" s="80" t="str">
        <f t="shared" si="57"/>
        <v/>
      </c>
      <c r="CV16" s="80" t="str">
        <f t="shared" si="58"/>
        <v/>
      </c>
      <c r="CW16" s="80" t="str">
        <f t="shared" si="59"/>
        <v/>
      </c>
      <c r="CX16" s="80" t="str">
        <f t="shared" si="60"/>
        <v/>
      </c>
      <c r="CY16" s="80" t="str">
        <f t="shared" si="61"/>
        <v/>
      </c>
      <c r="CZ16" s="80">
        <f t="shared" si="62"/>
        <v>0</v>
      </c>
      <c r="DB16" s="80">
        <f t="shared" si="63"/>
        <v>0</v>
      </c>
      <c r="DC16" s="80">
        <f t="shared" si="64"/>
        <v>0</v>
      </c>
      <c r="DD16" s="80">
        <f t="shared" si="65"/>
        <v>0</v>
      </c>
      <c r="DE16" s="80">
        <f t="shared" si="66"/>
        <v>-41</v>
      </c>
      <c r="DF16" s="80">
        <f t="shared" si="67"/>
        <v>-41</v>
      </c>
    </row>
    <row r="17" spans="2:110" x14ac:dyDescent="0.15">
      <c r="B17" s="83" t="str">
        <f>'MODU 2025'!B20</f>
        <v>DUCERF Norbert</v>
      </c>
      <c r="C17" s="83" t="str">
        <f>'MODU 2025'!C20</f>
        <v>Logistique</v>
      </c>
      <c r="D17" s="83">
        <f>'MODU 2025'!D20</f>
        <v>39</v>
      </c>
      <c r="E17" s="83">
        <f>'MODU 2025'!G20</f>
        <v>39</v>
      </c>
      <c r="F17" s="83">
        <f>'MODU 2025'!H20</f>
        <v>39</v>
      </c>
      <c r="G17" s="83">
        <f>'MODU 2025'!I20</f>
        <v>40</v>
      </c>
      <c r="H17" s="83">
        <f>'MODU 2025'!J20</f>
        <v>39</v>
      </c>
      <c r="I17" s="83">
        <f>'MODU 2025'!K20</f>
        <v>39</v>
      </c>
      <c r="J17" s="83">
        <f>'MODU 2025'!L20</f>
        <v>39</v>
      </c>
      <c r="K17" s="83">
        <f>'MODU 2025'!M20</f>
        <v>39</v>
      </c>
      <c r="L17" s="83">
        <f>'MODU 2025'!N20</f>
        <v>39</v>
      </c>
      <c r="M17" s="83">
        <f>'MODU 2025'!O20</f>
        <v>39</v>
      </c>
      <c r="N17" s="83">
        <f>'MODU 2025'!P20</f>
        <v>39</v>
      </c>
      <c r="O17" s="83">
        <f>'MODU 2025'!Q20</f>
        <v>39</v>
      </c>
      <c r="P17" s="85"/>
      <c r="Q17" s="85">
        <f>IF(MOD(COLUMN(),2)=0,INDEX(paramètres!$C$4:$C$6,MATCH($C17,paramètres!$B$4:$B$6,0)),INDEX(paramètres!$D$4:$D$6,MATCH($C17,paramètres!$B$4:$B$6,0)))</f>
        <v>39</v>
      </c>
      <c r="R17" s="85">
        <f>IF(MOD(COLUMN(),2)=0,INDEX(paramètres!$C$4:$C$6,MATCH($C17,paramètres!$B$4:$B$6,0)),INDEX(paramètres!$D$4:$D$6,MATCH($C17,paramètres!$B$4:$B$6,0)))</f>
        <v>39</v>
      </c>
      <c r="S17" s="85">
        <f>IF(MOD(COLUMN(),2)=0,INDEX(paramètres!$C$4:$C$6,MATCH($C17,paramètres!$B$4:$B$6,0)),INDEX(paramètres!$D$4:$D$6,MATCH($C17,paramètres!$B$4:$B$6,0)))</f>
        <v>39</v>
      </c>
      <c r="T17" s="85">
        <f>IF(MOD(COLUMN(),2)=0,INDEX(paramètres!$C$4:$C$6,MATCH($C17,paramètres!$B$4:$B$6,0)),INDEX(paramètres!$D$4:$D$6,MATCH($C17,paramètres!$B$4:$B$6,0)))</f>
        <v>39</v>
      </c>
      <c r="U17" s="85">
        <f>IF(MOD(COLUMN(),2)=0,INDEX(paramètres!$C$4:$C$6,MATCH($C17,paramètres!$B$4:$B$6,0)),INDEX(paramètres!$D$4:$D$6,MATCH($C17,paramètres!$B$4:$B$6,0)))</f>
        <v>39</v>
      </c>
      <c r="V17" s="85">
        <f>IF(MOD(COLUMN(),2)=0,INDEX(paramètres!$C$4:$C$6,MATCH($C17,paramètres!$B$4:$B$6,0)),INDEX(paramètres!$D$4:$D$6,MATCH($C17,paramètres!$B$4:$B$6,0)))</f>
        <v>39</v>
      </c>
      <c r="W17" s="85">
        <f>IF(MOD(COLUMN(),2)=0,INDEX(paramètres!$C$4:$C$6,MATCH($C17,paramètres!$B$4:$B$6,0)),INDEX(paramètres!$D$4:$D$6,MATCH($C17,paramètres!$B$4:$B$6,0)))</f>
        <v>39</v>
      </c>
      <c r="X17" s="85">
        <f>IF(MOD(COLUMN(),2)=0,INDEX(paramètres!$C$4:$C$6,MATCH($C17,paramètres!$B$4:$B$6,0)),INDEX(paramètres!$D$4:$D$6,MATCH($C17,paramètres!$B$4:$B$6,0)))</f>
        <v>39</v>
      </c>
      <c r="Y17" s="85">
        <f>IF(MOD(COLUMN(),2)=0,INDEX(paramètres!$C$4:$C$6,MATCH($C17,paramètres!$B$4:$B$6,0)),INDEX(paramètres!$D$4:$D$6,MATCH($C17,paramètres!$B$4:$B$6,0)))</f>
        <v>39</v>
      </c>
      <c r="Z17" s="85">
        <f>IF(MOD(COLUMN(),2)=0,INDEX(paramètres!$C$4:$C$6,MATCH($C17,paramètres!$B$4:$B$6,0)),INDEX(paramètres!$D$4:$D$6,MATCH($C17,paramètres!$B$4:$B$6,0)))</f>
        <v>39</v>
      </c>
      <c r="AA17" s="85">
        <f>IF(MOD(COLUMN(),2)=0,INDEX(paramètres!$C$4:$C$6,MATCH($C17,paramètres!$B$4:$B$6,0)),INDEX(paramètres!$D$4:$D$6,MATCH($C17,paramètres!$B$4:$B$6,0)))</f>
        <v>39</v>
      </c>
      <c r="AB17" s="86"/>
      <c r="AC17" s="85" t="str">
        <f t="shared" si="68"/>
        <v/>
      </c>
      <c r="AD17" s="85" t="str">
        <f t="shared" si="26"/>
        <v/>
      </c>
      <c r="AE17" s="85" t="str">
        <f t="shared" si="69"/>
        <v/>
      </c>
      <c r="AF17" s="85" t="str">
        <f t="shared" si="27"/>
        <v/>
      </c>
      <c r="AG17" s="85" t="str">
        <f t="shared" si="28"/>
        <v/>
      </c>
      <c r="AH17" s="85" t="str">
        <f t="shared" si="29"/>
        <v/>
      </c>
      <c r="AI17" s="85" t="str">
        <f t="shared" si="30"/>
        <v/>
      </c>
      <c r="AJ17" s="85" t="str">
        <f t="shared" si="31"/>
        <v/>
      </c>
      <c r="AK17" s="85" t="str">
        <f t="shared" si="32"/>
        <v/>
      </c>
      <c r="AL17" s="85" t="str">
        <f t="shared" si="33"/>
        <v/>
      </c>
      <c r="AM17" s="85" t="str">
        <f t="shared" si="34"/>
        <v/>
      </c>
      <c r="AN17" s="85"/>
      <c r="AO17" s="85">
        <f t="shared" si="35"/>
        <v>0</v>
      </c>
      <c r="AP17" s="85">
        <f t="shared" si="36"/>
        <v>0</v>
      </c>
      <c r="AQ17" s="85">
        <f t="shared" si="37"/>
        <v>1</v>
      </c>
      <c r="AR17" s="85">
        <f t="shared" si="38"/>
        <v>0</v>
      </c>
      <c r="AS17" s="85">
        <f t="shared" si="39"/>
        <v>0</v>
      </c>
      <c r="AT17" s="85">
        <f t="shared" si="40"/>
        <v>0</v>
      </c>
      <c r="AU17" s="85">
        <f t="shared" si="41"/>
        <v>0</v>
      </c>
      <c r="AV17" s="85">
        <f t="shared" si="42"/>
        <v>0</v>
      </c>
      <c r="AW17" s="85">
        <f t="shared" si="43"/>
        <v>0</v>
      </c>
      <c r="AX17" s="85">
        <f t="shared" si="44"/>
        <v>0</v>
      </c>
      <c r="AY17" s="85">
        <f t="shared" si="45"/>
        <v>0</v>
      </c>
      <c r="AZ17" s="85">
        <f t="shared" si="46"/>
        <v>1</v>
      </c>
      <c r="BA17" s="35"/>
      <c r="BB17" s="85" t="str" cm="1">
        <f t="array" ref="BB17">IF($C17&lt;&gt;"Production","",IFERROR(
_xlfn.IFS(AND(AC17&gt;0,AC17&lt;($BC$3-$D17)),AC17,
AND(AC17&gt;0,AC17&gt;($BC$3-$D17)),($BC$3-$D17)),""))</f>
        <v/>
      </c>
      <c r="BC17" s="85" t="str" cm="1">
        <f t="array" ref="BC17">IF($C17&lt;&gt;"Production","",IFERROR(
_xlfn.IFS(AND(AD17&gt;0,AD17&lt;($BC$3-$D17)),AD17,
AND(AD17&gt;0,AD17&gt;($BC$3-$D17)),($BC$3-$D17)),""))</f>
        <v/>
      </c>
      <c r="BD17" s="85" t="str" cm="1">
        <f t="array" ref="BD17">IF($C17&lt;&gt;"Production","",IFERROR(
_xlfn.IFS(AND(AE17&gt;0,AE17&lt;($BC$3-$D17)),AE17,
AND(AE17&gt;0,AE17&gt;($BC$3-$D17)),($BC$3-$D17)),""))</f>
        <v/>
      </c>
      <c r="BE17" s="85" t="str" cm="1">
        <f t="array" ref="BE17">IF($C17&lt;&gt;"Production","",IFERROR(
_xlfn.IFS(AND(AF17&gt;0,AF17&lt;($BC$3-$D17)),AF17,
AND(AF17&gt;0,AF17&gt;($BC$3-$D17)),($BC$3-$D17)),""))</f>
        <v/>
      </c>
      <c r="BF17" s="85" t="str" cm="1">
        <f t="array" ref="BF17">IF($C17&lt;&gt;"Production","",IFERROR(
_xlfn.IFS(AND(AG17&gt;0,AG17&lt;($BC$3-$D17)),AG17,
AND(AG17&gt;0,AG17&gt;($BC$3-$D17)),($BC$3-$D17)),""))</f>
        <v/>
      </c>
      <c r="BG17" s="85" t="str" cm="1">
        <f t="array" ref="BG17">IF($C17&lt;&gt;"Production","",IFERROR(
_xlfn.IFS(AND(AH17&gt;0,AH17&lt;($BC$3-$D17)),AH17,
AND(AH17&gt;0,AH17&gt;($BC$3-$D17)),($BC$3-$D17)),""))</f>
        <v/>
      </c>
      <c r="BH17" s="85" t="str" cm="1">
        <f t="array" ref="BH17">IF($C17&lt;&gt;"Production","",IFERROR(
_xlfn.IFS(AND(AI17&gt;0,AI17&lt;($BC$3-$D17)),AI17,
AND(AI17&gt;0,AI17&gt;($BC$3-$D17)),($BC$3-$D17)),""))</f>
        <v/>
      </c>
      <c r="BI17" s="85" t="str" cm="1">
        <f t="array" ref="BI17">IF($C17&lt;&gt;"Production","",IFERROR(
_xlfn.IFS(AND(AJ17&gt;0,AJ17&lt;($BC$3-$D17)),AJ17,
AND(AJ17&gt;0,AJ17&gt;($BC$3-$D17)),($BC$3-$D17)),""))</f>
        <v/>
      </c>
      <c r="BJ17" s="85" t="str" cm="1">
        <f t="array" ref="BJ17">IF($C17&lt;&gt;"Production","",IFERROR(
_xlfn.IFS(AND(AK17&gt;0,AK17&lt;($BC$3-$D17)),AK17,
AND(AK17&gt;0,AK17&gt;($BC$3-$D17)),($BC$3-$D17)),""))</f>
        <v/>
      </c>
      <c r="BK17" s="85" t="str" cm="1">
        <f t="array" ref="BK17">IF($C17&lt;&gt;"Production","",IFERROR(
_xlfn.IFS(AND(AL17&gt;0,AL17&lt;($BC$3-$D17)),AL17,
AND(AL17&gt;0,AL17&gt;($BC$3-$D17)),($BC$3-$D17)),""))</f>
        <v/>
      </c>
      <c r="BL17" s="85" t="str" cm="1">
        <f t="array" ref="BL17">IF($C17&lt;&gt;"Production","",IFERROR(
_xlfn.IFS(AND(AM17&gt;0,AM17&lt;($BC$3-$D17)),AM17,
AND(AM17&gt;0,AM17&gt;($BC$3-$D17)),($BC$3-$D17)),""))</f>
        <v/>
      </c>
      <c r="BM17" s="85">
        <f t="shared" si="47"/>
        <v>0</v>
      </c>
      <c r="BN17" s="81"/>
      <c r="BO17" s="85" t="str" cm="1">
        <f t="array" ref="BO17">IF($C17="Production","",IFERROR(
_xlfn.IFS(AND(AO17&gt;0,AO17&lt;($BC$3-$D17)),AO17,
AND(AO17&gt;0,AO17&gt;($BC$3-$D17)),($BC$3-$D17)),""))</f>
        <v/>
      </c>
      <c r="BP17" s="85" t="str" cm="1">
        <f t="array" ref="BP17">IF($C17="Production","",IFERROR(
_xlfn.IFS(AND(AP17&gt;0,AP17&lt;($BC$3-$D17)),AP17,
AND(AP17&gt;0,AP17&gt;($BC$3-$D17)),($BC$3-$D17)),""))</f>
        <v/>
      </c>
      <c r="BQ17" s="85" cm="1">
        <f t="array" ref="BQ17">IF($C17="Production","",IFERROR(
_xlfn.IFS(AND(AQ17&gt;0,AQ17&lt;($BC$3-$D17)),AQ17,
AND(AQ17&gt;0,AQ17&gt;($BC$3-$D17)),($BC$3-$D17)),""))</f>
        <v>1</v>
      </c>
      <c r="BR17" s="85" t="str" cm="1">
        <f t="array" ref="BR17">IF($C17="Production","",IFERROR(
_xlfn.IFS(AND(AR17&gt;0,AR17&lt;($BC$3-$D17)),AR17,
AND(AR17&gt;0,AR17&gt;($BC$3-$D17)),($BC$3-$D17)),""))</f>
        <v/>
      </c>
      <c r="BS17" s="85" t="str" cm="1">
        <f t="array" ref="BS17">IF($C17="Production","",IFERROR(
_xlfn.IFS(AND(AS17&gt;0,AS17&lt;($BC$3-$D17)),AS17,
AND(AS17&gt;0,AS17&gt;($BC$3-$D17)),($BC$3-$D17)),""))</f>
        <v/>
      </c>
      <c r="BT17" s="85" t="str" cm="1">
        <f t="array" ref="BT17">IF($C17="Production","",IFERROR(
_xlfn.IFS(AND(AT17&gt;0,AT17&lt;($BC$3-$D17)),AT17,
AND(AT17&gt;0,AT17&gt;($BC$3-$D17)),($BC$3-$D17)),""))</f>
        <v/>
      </c>
      <c r="BU17" s="85" t="str" cm="1">
        <f t="array" ref="BU17">IF($C17="Production","",IFERROR(
_xlfn.IFS(AND(AU17&gt;0,AU17&lt;($BC$3-$D17)),AU17,
AND(AU17&gt;0,AU17&gt;($BC$3-$D17)),($BC$3-$D17)),""))</f>
        <v/>
      </c>
      <c r="BV17" s="85" t="str" cm="1">
        <f t="array" ref="BV17">IF($C17="Production","",IFERROR(
_xlfn.IFS(AND(AV17&gt;0,AV17&lt;($BC$3-$D17)),AV17,
AND(AV17&gt;0,AV17&gt;($BC$3-$D17)),($BC$3-$D17)),""))</f>
        <v/>
      </c>
      <c r="BW17" s="85" t="str" cm="1">
        <f t="array" ref="BW17">IF($C17="Production","",IFERROR(
_xlfn.IFS(AND(AW17&gt;0,AW17&lt;($BC$3-$D17)),AW17,
AND(AW17&gt;0,AW17&gt;($BC$3-$D17)),($BC$3-$D17)),""))</f>
        <v/>
      </c>
      <c r="BX17" s="85" t="str" cm="1">
        <f t="array" ref="BX17">IF($C17="Production","",IFERROR(
_xlfn.IFS(AND(AX17&gt;0,AX17&lt;($BC$3-$D17)),AX17,
AND(AX17&gt;0,AX17&gt;($BC$3-$D17)),($BC$3-$D17)),""))</f>
        <v/>
      </c>
      <c r="BY17" s="85" t="str" cm="1">
        <f t="array" ref="BY17">IF($C17="Production","",IFERROR(
_xlfn.IFS(AND(AY17&gt;0,AY17&lt;($BC$3-$D17)),AY17,
AND(AY17&gt;0,AY17&gt;($BC$3-$D17)),($BC$3-$D17)),""))</f>
        <v/>
      </c>
      <c r="BZ17" s="85">
        <f t="shared" si="48"/>
        <v>1</v>
      </c>
      <c r="CA17" s="81"/>
      <c r="CB17" s="85" t="str">
        <f t="shared" si="49"/>
        <v/>
      </c>
      <c r="CC17" s="85" t="str">
        <f t="shared" si="16"/>
        <v/>
      </c>
      <c r="CD17" s="85" t="str">
        <f t="shared" si="17"/>
        <v/>
      </c>
      <c r="CE17" s="85" t="str">
        <f t="shared" si="18"/>
        <v/>
      </c>
      <c r="CF17" s="85" t="str">
        <f t="shared" si="19"/>
        <v/>
      </c>
      <c r="CG17" s="85" t="str">
        <f t="shared" si="20"/>
        <v/>
      </c>
      <c r="CH17" s="85" t="str">
        <f t="shared" si="21"/>
        <v/>
      </c>
      <c r="CI17" s="85" t="str">
        <f t="shared" si="22"/>
        <v/>
      </c>
      <c r="CJ17" s="85" t="str">
        <f t="shared" si="23"/>
        <v/>
      </c>
      <c r="CK17" s="85" t="str">
        <f t="shared" si="24"/>
        <v/>
      </c>
      <c r="CL17" s="85" t="str">
        <f t="shared" si="25"/>
        <v/>
      </c>
      <c r="CM17" s="85">
        <f t="shared" si="50"/>
        <v>0</v>
      </c>
      <c r="CO17" s="80" t="str">
        <f t="shared" si="51"/>
        <v/>
      </c>
      <c r="CP17" s="80" t="str">
        <f t="shared" si="52"/>
        <v/>
      </c>
      <c r="CQ17" s="80" t="str">
        <f t="shared" si="53"/>
        <v/>
      </c>
      <c r="CR17" s="80" t="str">
        <f t="shared" si="54"/>
        <v/>
      </c>
      <c r="CS17" s="80" t="str">
        <f t="shared" si="55"/>
        <v/>
      </c>
      <c r="CT17" s="80" t="str">
        <f t="shared" si="56"/>
        <v/>
      </c>
      <c r="CU17" s="80" t="str">
        <f t="shared" si="57"/>
        <v/>
      </c>
      <c r="CV17" s="80" t="str">
        <f t="shared" si="58"/>
        <v/>
      </c>
      <c r="CW17" s="80" t="str">
        <f t="shared" si="59"/>
        <v/>
      </c>
      <c r="CX17" s="80" t="str">
        <f t="shared" si="60"/>
        <v/>
      </c>
      <c r="CY17" s="80" t="str">
        <f t="shared" si="61"/>
        <v/>
      </c>
      <c r="CZ17" s="80">
        <f t="shared" si="62"/>
        <v>0</v>
      </c>
      <c r="DB17" s="80">
        <f t="shared" si="63"/>
        <v>1</v>
      </c>
      <c r="DC17" s="80">
        <f t="shared" si="64"/>
        <v>0</v>
      </c>
      <c r="DD17" s="80">
        <f t="shared" si="65"/>
        <v>1.25</v>
      </c>
      <c r="DE17" s="80">
        <f t="shared" si="66"/>
        <v>0</v>
      </c>
      <c r="DF17" s="80">
        <f t="shared" si="67"/>
        <v>1.25</v>
      </c>
    </row>
    <row r="18" spans="2:110" x14ac:dyDescent="0.15">
      <c r="B18" s="83" t="str">
        <f>'MODU 2025'!B21</f>
        <v>EL BOUKABOUTI Mamouch</v>
      </c>
      <c r="C18" s="83" t="str">
        <f>'MODU 2025'!C21</f>
        <v>Production</v>
      </c>
      <c r="D18" s="83">
        <f>'MODU 2025'!D21</f>
        <v>37</v>
      </c>
      <c r="E18" s="83">
        <f>'MODU 2025'!G21</f>
        <v>41</v>
      </c>
      <c r="F18" s="83">
        <f>'MODU 2025'!H21</f>
        <v>28</v>
      </c>
      <c r="G18" s="83">
        <f>'MODU 2025'!I21</f>
        <v>41</v>
      </c>
      <c r="H18" s="83">
        <f>'MODU 2025'!J21</f>
        <v>33</v>
      </c>
      <c r="I18" s="83">
        <f>'MODU 2025'!K21</f>
        <v>41</v>
      </c>
      <c r="J18" s="83">
        <f>'MODU 2025'!L21</f>
        <v>33</v>
      </c>
      <c r="K18" s="83">
        <f>'MODU 2025'!M21</f>
        <v>41</v>
      </c>
      <c r="L18" s="83">
        <f>'MODU 2025'!N21</f>
        <v>33</v>
      </c>
      <c r="M18" s="83">
        <f>'MODU 2025'!O21</f>
        <v>41</v>
      </c>
      <c r="N18" s="83">
        <f>'MODU 2025'!P21</f>
        <v>33</v>
      </c>
      <c r="O18" s="83">
        <f>'MODU 2025'!Q21</f>
        <v>41</v>
      </c>
      <c r="P18" s="85"/>
      <c r="Q18" s="85">
        <f>IF(MOD(COLUMN(),2)=0,INDEX(paramètres!$C$4:$C$6,MATCH($C18,paramètres!$B$4:$B$6,0)),INDEX(paramètres!$D$4:$D$6,MATCH($C18,paramètres!$B$4:$B$6,0)))</f>
        <v>41</v>
      </c>
      <c r="R18" s="85">
        <f>IF(MOD(COLUMN(),2)=0,INDEX(paramètres!$C$4:$C$6,MATCH($C18,paramètres!$B$4:$B$6,0)),INDEX(paramètres!$D$4:$D$6,MATCH($C18,paramètres!$B$4:$B$6,0)))</f>
        <v>33</v>
      </c>
      <c r="S18" s="85">
        <f>IF(MOD(COLUMN(),2)=0,INDEX(paramètres!$C$4:$C$6,MATCH($C18,paramètres!$B$4:$B$6,0)),INDEX(paramètres!$D$4:$D$6,MATCH($C18,paramètres!$B$4:$B$6,0)))</f>
        <v>41</v>
      </c>
      <c r="T18" s="85">
        <f>IF(MOD(COLUMN(),2)=0,INDEX(paramètres!$C$4:$C$6,MATCH($C18,paramètres!$B$4:$B$6,0)),INDEX(paramètres!$D$4:$D$6,MATCH($C18,paramètres!$B$4:$B$6,0)))</f>
        <v>33</v>
      </c>
      <c r="U18" s="85">
        <f>IF(MOD(COLUMN(),2)=0,INDEX(paramètres!$C$4:$C$6,MATCH($C18,paramètres!$B$4:$B$6,0)),INDEX(paramètres!$D$4:$D$6,MATCH($C18,paramètres!$B$4:$B$6,0)))</f>
        <v>41</v>
      </c>
      <c r="V18" s="85">
        <f>IF(MOD(COLUMN(),2)=0,INDEX(paramètres!$C$4:$C$6,MATCH($C18,paramètres!$B$4:$B$6,0)),INDEX(paramètres!$D$4:$D$6,MATCH($C18,paramètres!$B$4:$B$6,0)))</f>
        <v>33</v>
      </c>
      <c r="W18" s="85">
        <f>IF(MOD(COLUMN(),2)=0,INDEX(paramètres!$C$4:$C$6,MATCH($C18,paramètres!$B$4:$B$6,0)),INDEX(paramètres!$D$4:$D$6,MATCH($C18,paramètres!$B$4:$B$6,0)))</f>
        <v>41</v>
      </c>
      <c r="X18" s="85">
        <f>IF(MOD(COLUMN(),2)=0,INDEX(paramètres!$C$4:$C$6,MATCH($C18,paramètres!$B$4:$B$6,0)),INDEX(paramètres!$D$4:$D$6,MATCH($C18,paramètres!$B$4:$B$6,0)))</f>
        <v>33</v>
      </c>
      <c r="Y18" s="85">
        <f>IF(MOD(COLUMN(),2)=0,INDEX(paramètres!$C$4:$C$6,MATCH($C18,paramètres!$B$4:$B$6,0)),INDEX(paramètres!$D$4:$D$6,MATCH($C18,paramètres!$B$4:$B$6,0)))</f>
        <v>41</v>
      </c>
      <c r="Z18" s="85">
        <f>IF(MOD(COLUMN(),2)=0,INDEX(paramètres!$C$4:$C$6,MATCH($C18,paramètres!$B$4:$B$6,0)),INDEX(paramètres!$D$4:$D$6,MATCH($C18,paramètres!$B$4:$B$6,0)))</f>
        <v>33</v>
      </c>
      <c r="AA18" s="85">
        <f>IF(MOD(COLUMN(),2)=0,INDEX(paramètres!$C$4:$C$6,MATCH($C18,paramètres!$B$4:$B$6,0)),INDEX(paramètres!$D$4:$D$6,MATCH($C18,paramètres!$B$4:$B$6,0)))</f>
        <v>41</v>
      </c>
      <c r="AB18" s="86"/>
      <c r="AC18" s="85">
        <f t="shared" si="68"/>
        <v>-5</v>
      </c>
      <c r="AD18" s="85">
        <f t="shared" si="26"/>
        <v>0</v>
      </c>
      <c r="AE18" s="85">
        <f t="shared" si="69"/>
        <v>0</v>
      </c>
      <c r="AF18" s="85">
        <f t="shared" si="27"/>
        <v>0</v>
      </c>
      <c r="AG18" s="85">
        <f t="shared" si="28"/>
        <v>0</v>
      </c>
      <c r="AH18" s="85">
        <f t="shared" si="29"/>
        <v>0</v>
      </c>
      <c r="AI18" s="85">
        <f t="shared" si="30"/>
        <v>0</v>
      </c>
      <c r="AJ18" s="85">
        <f t="shared" si="31"/>
        <v>0</v>
      </c>
      <c r="AK18" s="85">
        <f t="shared" si="32"/>
        <v>0</v>
      </c>
      <c r="AL18" s="85">
        <f t="shared" si="33"/>
        <v>0</v>
      </c>
      <c r="AM18" s="85">
        <f t="shared" si="34"/>
        <v>-33</v>
      </c>
      <c r="AN18" s="85"/>
      <c r="AO18" s="85" t="str">
        <f t="shared" si="35"/>
        <v/>
      </c>
      <c r="AP18" s="85" t="str">
        <f t="shared" si="36"/>
        <v/>
      </c>
      <c r="AQ18" s="85" t="str">
        <f t="shared" si="37"/>
        <v/>
      </c>
      <c r="AR18" s="85" t="str">
        <f t="shared" si="38"/>
        <v/>
      </c>
      <c r="AS18" s="85" t="str">
        <f t="shared" si="39"/>
        <v/>
      </c>
      <c r="AT18" s="85" t="str">
        <f t="shared" si="40"/>
        <v/>
      </c>
      <c r="AU18" s="85" t="str">
        <f t="shared" si="41"/>
        <v/>
      </c>
      <c r="AV18" s="85" t="str">
        <f t="shared" si="42"/>
        <v/>
      </c>
      <c r="AW18" s="85" t="str">
        <f t="shared" si="43"/>
        <v/>
      </c>
      <c r="AX18" s="85" t="str">
        <f t="shared" si="44"/>
        <v/>
      </c>
      <c r="AY18" s="85" t="str">
        <f t="shared" si="45"/>
        <v/>
      </c>
      <c r="AZ18" s="85">
        <f t="shared" si="46"/>
        <v>0</v>
      </c>
      <c r="BA18" s="35"/>
      <c r="BB18" s="85" t="str" cm="1">
        <f t="array" ref="BB18">IF($C18&lt;&gt;"Production","",IFERROR(
_xlfn.IFS(AND(AC18&gt;0,AC18&lt;($BC$3-$D18)),AC18,
AND(AC18&gt;0,AC18&gt;($BC$3-$D18)),($BC$3-$D18)),""))</f>
        <v/>
      </c>
      <c r="BC18" s="85" t="str" cm="1">
        <f t="array" ref="BC18">IF($C18&lt;&gt;"Production","",IFERROR(
_xlfn.IFS(AND(AD18&gt;0,AD18&lt;($BC$3-$D18)),AD18,
AND(AD18&gt;0,AD18&gt;($BC$3-$D18)),($BC$3-$D18)),""))</f>
        <v/>
      </c>
      <c r="BD18" s="85" t="str" cm="1">
        <f t="array" ref="BD18">IF($C18&lt;&gt;"Production","",IFERROR(
_xlfn.IFS(AND(AE18&gt;0,AE18&lt;($BC$3-$D18)),AE18,
AND(AE18&gt;0,AE18&gt;($BC$3-$D18)),($BC$3-$D18)),""))</f>
        <v/>
      </c>
      <c r="BE18" s="85" t="str" cm="1">
        <f t="array" ref="BE18">IF($C18&lt;&gt;"Production","",IFERROR(
_xlfn.IFS(AND(AF18&gt;0,AF18&lt;($BC$3-$D18)),AF18,
AND(AF18&gt;0,AF18&gt;($BC$3-$D18)),($BC$3-$D18)),""))</f>
        <v/>
      </c>
      <c r="BF18" s="85" t="str" cm="1">
        <f t="array" ref="BF18">IF($C18&lt;&gt;"Production","",IFERROR(
_xlfn.IFS(AND(AG18&gt;0,AG18&lt;($BC$3-$D18)),AG18,
AND(AG18&gt;0,AG18&gt;($BC$3-$D18)),($BC$3-$D18)),""))</f>
        <v/>
      </c>
      <c r="BG18" s="85" t="str" cm="1">
        <f t="array" ref="BG18">IF($C18&lt;&gt;"Production","",IFERROR(
_xlfn.IFS(AND(AH18&gt;0,AH18&lt;($BC$3-$D18)),AH18,
AND(AH18&gt;0,AH18&gt;($BC$3-$D18)),($BC$3-$D18)),""))</f>
        <v/>
      </c>
      <c r="BH18" s="85" t="str" cm="1">
        <f t="array" ref="BH18">IF($C18&lt;&gt;"Production","",IFERROR(
_xlfn.IFS(AND(AI18&gt;0,AI18&lt;($BC$3-$D18)),AI18,
AND(AI18&gt;0,AI18&gt;($BC$3-$D18)),($BC$3-$D18)),""))</f>
        <v/>
      </c>
      <c r="BI18" s="85" t="str" cm="1">
        <f t="array" ref="BI18">IF($C18&lt;&gt;"Production","",IFERROR(
_xlfn.IFS(AND(AJ18&gt;0,AJ18&lt;($BC$3-$D18)),AJ18,
AND(AJ18&gt;0,AJ18&gt;($BC$3-$D18)),($BC$3-$D18)),""))</f>
        <v/>
      </c>
      <c r="BJ18" s="85" t="str" cm="1">
        <f t="array" ref="BJ18">IF($C18&lt;&gt;"Production","",IFERROR(
_xlfn.IFS(AND(AK18&gt;0,AK18&lt;($BC$3-$D18)),AK18,
AND(AK18&gt;0,AK18&gt;($BC$3-$D18)),($BC$3-$D18)),""))</f>
        <v/>
      </c>
      <c r="BK18" s="85" t="str" cm="1">
        <f t="array" ref="BK18">IF($C18&lt;&gt;"Production","",IFERROR(
_xlfn.IFS(AND(AL18&gt;0,AL18&lt;($BC$3-$D18)),AL18,
AND(AL18&gt;0,AL18&gt;($BC$3-$D18)),($BC$3-$D18)),""))</f>
        <v/>
      </c>
      <c r="BL18" s="85" t="str" cm="1">
        <f t="array" ref="BL18">IF($C18&lt;&gt;"Production","",IFERROR(
_xlfn.IFS(AND(AM18&gt;0,AM18&lt;($BC$3-$D18)),AM18,
AND(AM18&gt;0,AM18&gt;($BC$3-$D18)),($BC$3-$D18)),""))</f>
        <v/>
      </c>
      <c r="BM18" s="85">
        <f t="shared" si="47"/>
        <v>0</v>
      </c>
      <c r="BN18" s="81"/>
      <c r="BO18" s="85" t="str" cm="1">
        <f t="array" ref="BO18">IF($C18="Production","",IFERROR(
_xlfn.IFS(AND(AO18&gt;0,AO18&lt;($BC$3-$D18)),AO18,
AND(AO18&gt;0,AO18&gt;($BC$3-$D18)),($BC$3-$D18)),""))</f>
        <v/>
      </c>
      <c r="BP18" s="85" t="str" cm="1">
        <f t="array" ref="BP18">IF($C18="Production","",IFERROR(
_xlfn.IFS(AND(AP18&gt;0,AP18&lt;($BC$3-$D18)),AP18,
AND(AP18&gt;0,AP18&gt;($BC$3-$D18)),($BC$3-$D18)),""))</f>
        <v/>
      </c>
      <c r="BQ18" s="85" t="str" cm="1">
        <f t="array" ref="BQ18">IF($C18="Production","",IFERROR(
_xlfn.IFS(AND(AQ18&gt;0,AQ18&lt;($BC$3-$D18)),AQ18,
AND(AQ18&gt;0,AQ18&gt;($BC$3-$D18)),($BC$3-$D18)),""))</f>
        <v/>
      </c>
      <c r="BR18" s="85" t="str" cm="1">
        <f t="array" ref="BR18">IF($C18="Production","",IFERROR(
_xlfn.IFS(AND(AR18&gt;0,AR18&lt;($BC$3-$D18)),AR18,
AND(AR18&gt;0,AR18&gt;($BC$3-$D18)),($BC$3-$D18)),""))</f>
        <v/>
      </c>
      <c r="BS18" s="85" t="str" cm="1">
        <f t="array" ref="BS18">IF($C18="Production","",IFERROR(
_xlfn.IFS(AND(AS18&gt;0,AS18&lt;($BC$3-$D18)),AS18,
AND(AS18&gt;0,AS18&gt;($BC$3-$D18)),($BC$3-$D18)),""))</f>
        <v/>
      </c>
      <c r="BT18" s="85" t="str" cm="1">
        <f t="array" ref="BT18">IF($C18="Production","",IFERROR(
_xlfn.IFS(AND(AT18&gt;0,AT18&lt;($BC$3-$D18)),AT18,
AND(AT18&gt;0,AT18&gt;($BC$3-$D18)),($BC$3-$D18)),""))</f>
        <v/>
      </c>
      <c r="BU18" s="85" t="str" cm="1">
        <f t="array" ref="BU18">IF($C18="Production","",IFERROR(
_xlfn.IFS(AND(AU18&gt;0,AU18&lt;($BC$3-$D18)),AU18,
AND(AU18&gt;0,AU18&gt;($BC$3-$D18)),($BC$3-$D18)),""))</f>
        <v/>
      </c>
      <c r="BV18" s="85" t="str" cm="1">
        <f t="array" ref="BV18">IF($C18="Production","",IFERROR(
_xlfn.IFS(AND(AV18&gt;0,AV18&lt;($BC$3-$D18)),AV18,
AND(AV18&gt;0,AV18&gt;($BC$3-$D18)),($BC$3-$D18)),""))</f>
        <v/>
      </c>
      <c r="BW18" s="85" t="str" cm="1">
        <f t="array" ref="BW18">IF($C18="Production","",IFERROR(
_xlfn.IFS(AND(AW18&gt;0,AW18&lt;($BC$3-$D18)),AW18,
AND(AW18&gt;0,AW18&gt;($BC$3-$D18)),($BC$3-$D18)),""))</f>
        <v/>
      </c>
      <c r="BX18" s="85" t="str" cm="1">
        <f t="array" ref="BX18">IF($C18="Production","",IFERROR(
_xlfn.IFS(AND(AX18&gt;0,AX18&lt;($BC$3-$D18)),AX18,
AND(AX18&gt;0,AX18&gt;($BC$3-$D18)),($BC$3-$D18)),""))</f>
        <v/>
      </c>
      <c r="BY18" s="85" t="str" cm="1">
        <f t="array" ref="BY18">IF($C18="Production","",IFERROR(
_xlfn.IFS(AND(AY18&gt;0,AY18&lt;($BC$3-$D18)),AY18,
AND(AY18&gt;0,AY18&gt;($BC$3-$D18)),($BC$3-$D18)),""))</f>
        <v/>
      </c>
      <c r="BZ18" s="85">
        <f t="shared" si="48"/>
        <v>0</v>
      </c>
      <c r="CA18" s="81"/>
      <c r="CB18" s="85" t="str">
        <f t="shared" si="49"/>
        <v/>
      </c>
      <c r="CC18" s="85" t="str">
        <f t="shared" si="16"/>
        <v/>
      </c>
      <c r="CD18" s="85" t="str">
        <f t="shared" si="17"/>
        <v/>
      </c>
      <c r="CE18" s="85" t="str">
        <f t="shared" si="18"/>
        <v/>
      </c>
      <c r="CF18" s="85" t="str">
        <f t="shared" si="19"/>
        <v/>
      </c>
      <c r="CG18" s="85" t="str">
        <f t="shared" si="20"/>
        <v/>
      </c>
      <c r="CH18" s="85" t="str">
        <f t="shared" si="21"/>
        <v/>
      </c>
      <c r="CI18" s="85" t="str">
        <f t="shared" si="22"/>
        <v/>
      </c>
      <c r="CJ18" s="85" t="str">
        <f t="shared" si="23"/>
        <v/>
      </c>
      <c r="CK18" s="85" t="str">
        <f t="shared" si="24"/>
        <v/>
      </c>
      <c r="CL18" s="85" t="str">
        <f t="shared" si="25"/>
        <v/>
      </c>
      <c r="CM18" s="85">
        <f t="shared" si="50"/>
        <v>0</v>
      </c>
      <c r="CO18" s="80" t="str">
        <f t="shared" si="51"/>
        <v/>
      </c>
      <c r="CP18" s="80" t="str">
        <f t="shared" si="52"/>
        <v/>
      </c>
      <c r="CQ18" s="80" t="str">
        <f t="shared" si="53"/>
        <v/>
      </c>
      <c r="CR18" s="80" t="str">
        <f t="shared" si="54"/>
        <v/>
      </c>
      <c r="CS18" s="80" t="str">
        <f t="shared" si="55"/>
        <v/>
      </c>
      <c r="CT18" s="80" t="str">
        <f t="shared" si="56"/>
        <v/>
      </c>
      <c r="CU18" s="80" t="str">
        <f t="shared" si="57"/>
        <v/>
      </c>
      <c r="CV18" s="80" t="str">
        <f t="shared" si="58"/>
        <v/>
      </c>
      <c r="CW18" s="80" t="str">
        <f t="shared" si="59"/>
        <v/>
      </c>
      <c r="CX18" s="80" t="str">
        <f t="shared" si="60"/>
        <v/>
      </c>
      <c r="CY18" s="80" t="str">
        <f t="shared" si="61"/>
        <v/>
      </c>
      <c r="CZ18" s="80">
        <f t="shared" si="62"/>
        <v>0</v>
      </c>
      <c r="DB18" s="80">
        <f t="shared" si="63"/>
        <v>0</v>
      </c>
      <c r="DC18" s="80">
        <f t="shared" si="64"/>
        <v>0</v>
      </c>
      <c r="DD18" s="80">
        <f t="shared" si="65"/>
        <v>0</v>
      </c>
      <c r="DE18" s="80">
        <f t="shared" si="66"/>
        <v>-38</v>
      </c>
      <c r="DF18" s="80">
        <f t="shared" si="67"/>
        <v>-38</v>
      </c>
    </row>
    <row r="19" spans="2:110" x14ac:dyDescent="0.15">
      <c r="B19" s="83" t="str">
        <f>'MODU 2025'!B22</f>
        <v>EVENTOVA Natalya</v>
      </c>
      <c r="C19" s="83" t="str">
        <f>'MODU 2025'!C22</f>
        <v>Production</v>
      </c>
      <c r="D19" s="83">
        <f>'MODU 2025'!D22</f>
        <v>37</v>
      </c>
      <c r="E19" s="83">
        <f>'MODU 2025'!G22</f>
        <v>41</v>
      </c>
      <c r="F19" s="83">
        <f>'MODU 2025'!H22</f>
        <v>33</v>
      </c>
      <c r="G19" s="83">
        <f>'MODU 2025'!I22</f>
        <v>41</v>
      </c>
      <c r="H19" s="83">
        <f>'MODU 2025'!J22</f>
        <v>33</v>
      </c>
      <c r="I19" s="83">
        <f>'MODU 2025'!K22</f>
        <v>41</v>
      </c>
      <c r="J19" s="83">
        <f>'MODU 2025'!L22</f>
        <v>33</v>
      </c>
      <c r="K19" s="83">
        <f>'MODU 2025'!M22</f>
        <v>41</v>
      </c>
      <c r="L19" s="83">
        <f>'MODU 2025'!N22</f>
        <v>33</v>
      </c>
      <c r="M19" s="83">
        <f>'MODU 2025'!O22</f>
        <v>41</v>
      </c>
      <c r="N19" s="83">
        <f>'MODU 2025'!P22</f>
        <v>33</v>
      </c>
      <c r="O19" s="83">
        <f>'MODU 2025'!Q22</f>
        <v>41</v>
      </c>
      <c r="P19" s="85"/>
      <c r="Q19" s="85">
        <f>IF(MOD(COLUMN(),2)=0,INDEX(paramètres!$C$4:$C$6,MATCH($C19,paramètres!$B$4:$B$6,0)),INDEX(paramètres!$D$4:$D$6,MATCH($C19,paramètres!$B$4:$B$6,0)))</f>
        <v>41</v>
      </c>
      <c r="R19" s="85">
        <f>IF(MOD(COLUMN(),2)=0,INDEX(paramètres!$C$4:$C$6,MATCH($C19,paramètres!$B$4:$B$6,0)),INDEX(paramètres!$D$4:$D$6,MATCH($C19,paramètres!$B$4:$B$6,0)))</f>
        <v>33</v>
      </c>
      <c r="S19" s="85">
        <f>IF(MOD(COLUMN(),2)=0,INDEX(paramètres!$C$4:$C$6,MATCH($C19,paramètres!$B$4:$B$6,0)),INDEX(paramètres!$D$4:$D$6,MATCH($C19,paramètres!$B$4:$B$6,0)))</f>
        <v>41</v>
      </c>
      <c r="T19" s="85">
        <f>IF(MOD(COLUMN(),2)=0,INDEX(paramètres!$C$4:$C$6,MATCH($C19,paramètres!$B$4:$B$6,0)),INDEX(paramètres!$D$4:$D$6,MATCH($C19,paramètres!$B$4:$B$6,0)))</f>
        <v>33</v>
      </c>
      <c r="U19" s="85">
        <f>IF(MOD(COLUMN(),2)=0,INDEX(paramètres!$C$4:$C$6,MATCH($C19,paramètres!$B$4:$B$6,0)),INDEX(paramètres!$D$4:$D$6,MATCH($C19,paramètres!$B$4:$B$6,0)))</f>
        <v>41</v>
      </c>
      <c r="V19" s="85">
        <f>IF(MOD(COLUMN(),2)=0,INDEX(paramètres!$C$4:$C$6,MATCH($C19,paramètres!$B$4:$B$6,0)),INDEX(paramètres!$D$4:$D$6,MATCH($C19,paramètres!$B$4:$B$6,0)))</f>
        <v>33</v>
      </c>
      <c r="W19" s="85">
        <f>IF(MOD(COLUMN(),2)=0,INDEX(paramètres!$C$4:$C$6,MATCH($C19,paramètres!$B$4:$B$6,0)),INDEX(paramètres!$D$4:$D$6,MATCH($C19,paramètres!$B$4:$B$6,0)))</f>
        <v>41</v>
      </c>
      <c r="X19" s="85">
        <f>IF(MOD(COLUMN(),2)=0,INDEX(paramètres!$C$4:$C$6,MATCH($C19,paramètres!$B$4:$B$6,0)),INDEX(paramètres!$D$4:$D$6,MATCH($C19,paramètres!$B$4:$B$6,0)))</f>
        <v>33</v>
      </c>
      <c r="Y19" s="85">
        <f>IF(MOD(COLUMN(),2)=0,INDEX(paramètres!$C$4:$C$6,MATCH($C19,paramètres!$B$4:$B$6,0)),INDEX(paramètres!$D$4:$D$6,MATCH($C19,paramètres!$B$4:$B$6,0)))</f>
        <v>41</v>
      </c>
      <c r="Z19" s="85">
        <f>IF(MOD(COLUMN(),2)=0,INDEX(paramètres!$C$4:$C$6,MATCH($C19,paramètres!$B$4:$B$6,0)),INDEX(paramètres!$D$4:$D$6,MATCH($C19,paramètres!$B$4:$B$6,0)))</f>
        <v>33</v>
      </c>
      <c r="AA19" s="85">
        <f>IF(MOD(COLUMN(),2)=0,INDEX(paramètres!$C$4:$C$6,MATCH($C19,paramètres!$B$4:$B$6,0)),INDEX(paramètres!$D$4:$D$6,MATCH($C19,paramètres!$B$4:$B$6,0)))</f>
        <v>41</v>
      </c>
      <c r="AB19" s="86"/>
      <c r="AC19" s="85">
        <f t="shared" si="68"/>
        <v>0</v>
      </c>
      <c r="AD19" s="85">
        <f t="shared" si="26"/>
        <v>0</v>
      </c>
      <c r="AE19" s="85">
        <f t="shared" si="69"/>
        <v>0</v>
      </c>
      <c r="AF19" s="85">
        <f t="shared" si="27"/>
        <v>0</v>
      </c>
      <c r="AG19" s="85">
        <f t="shared" si="28"/>
        <v>0</v>
      </c>
      <c r="AH19" s="85">
        <f t="shared" si="29"/>
        <v>0</v>
      </c>
      <c r="AI19" s="85">
        <f t="shared" si="30"/>
        <v>0</v>
      </c>
      <c r="AJ19" s="85">
        <f t="shared" si="31"/>
        <v>0</v>
      </c>
      <c r="AK19" s="85">
        <f t="shared" si="32"/>
        <v>0</v>
      </c>
      <c r="AL19" s="85">
        <f t="shared" si="33"/>
        <v>0</v>
      </c>
      <c r="AM19" s="85">
        <f t="shared" si="34"/>
        <v>-33</v>
      </c>
      <c r="AN19" s="85"/>
      <c r="AO19" s="85" t="str">
        <f t="shared" si="35"/>
        <v/>
      </c>
      <c r="AP19" s="85" t="str">
        <f t="shared" si="36"/>
        <v/>
      </c>
      <c r="AQ19" s="85" t="str">
        <f t="shared" si="37"/>
        <v/>
      </c>
      <c r="AR19" s="85" t="str">
        <f t="shared" si="38"/>
        <v/>
      </c>
      <c r="AS19" s="85" t="str">
        <f t="shared" si="39"/>
        <v/>
      </c>
      <c r="AT19" s="85" t="str">
        <f t="shared" si="40"/>
        <v/>
      </c>
      <c r="AU19" s="85" t="str">
        <f t="shared" si="41"/>
        <v/>
      </c>
      <c r="AV19" s="85" t="str">
        <f t="shared" si="42"/>
        <v/>
      </c>
      <c r="AW19" s="85" t="str">
        <f t="shared" si="43"/>
        <v/>
      </c>
      <c r="AX19" s="85" t="str">
        <f t="shared" si="44"/>
        <v/>
      </c>
      <c r="AY19" s="85" t="str">
        <f t="shared" si="45"/>
        <v/>
      </c>
      <c r="AZ19" s="85">
        <f t="shared" si="46"/>
        <v>0</v>
      </c>
      <c r="BA19" s="35"/>
      <c r="BB19" s="85" t="str" cm="1">
        <f t="array" ref="BB19">IF($C19&lt;&gt;"Production","",IFERROR(
_xlfn.IFS(AND(AC19&gt;0,AC19&lt;($BC$3-$D19)),AC19,
AND(AC19&gt;0,AC19&gt;($BC$3-$D19)),($BC$3-$D19)),""))</f>
        <v/>
      </c>
      <c r="BC19" s="85" t="str" cm="1">
        <f t="array" ref="BC19">IF($C19&lt;&gt;"Production","",IFERROR(
_xlfn.IFS(AND(AD19&gt;0,AD19&lt;($BC$3-$D19)),AD19,
AND(AD19&gt;0,AD19&gt;($BC$3-$D19)),($BC$3-$D19)),""))</f>
        <v/>
      </c>
      <c r="BD19" s="85" t="str" cm="1">
        <f t="array" ref="BD19">IF($C19&lt;&gt;"Production","",IFERROR(
_xlfn.IFS(AND(AE19&gt;0,AE19&lt;($BC$3-$D19)),AE19,
AND(AE19&gt;0,AE19&gt;($BC$3-$D19)),($BC$3-$D19)),""))</f>
        <v/>
      </c>
      <c r="BE19" s="85" t="str" cm="1">
        <f t="array" ref="BE19">IF($C19&lt;&gt;"Production","",IFERROR(
_xlfn.IFS(AND(AF19&gt;0,AF19&lt;($BC$3-$D19)),AF19,
AND(AF19&gt;0,AF19&gt;($BC$3-$D19)),($BC$3-$D19)),""))</f>
        <v/>
      </c>
      <c r="BF19" s="85" t="str" cm="1">
        <f t="array" ref="BF19">IF($C19&lt;&gt;"Production","",IFERROR(
_xlfn.IFS(AND(AG19&gt;0,AG19&lt;($BC$3-$D19)),AG19,
AND(AG19&gt;0,AG19&gt;($BC$3-$D19)),($BC$3-$D19)),""))</f>
        <v/>
      </c>
      <c r="BG19" s="85" t="str" cm="1">
        <f t="array" ref="BG19">IF($C19&lt;&gt;"Production","",IFERROR(
_xlfn.IFS(AND(AH19&gt;0,AH19&lt;($BC$3-$D19)),AH19,
AND(AH19&gt;0,AH19&gt;($BC$3-$D19)),($BC$3-$D19)),""))</f>
        <v/>
      </c>
      <c r="BH19" s="85" t="str" cm="1">
        <f t="array" ref="BH19">IF($C19&lt;&gt;"Production","",IFERROR(
_xlfn.IFS(AND(AI19&gt;0,AI19&lt;($BC$3-$D19)),AI19,
AND(AI19&gt;0,AI19&gt;($BC$3-$D19)),($BC$3-$D19)),""))</f>
        <v/>
      </c>
      <c r="BI19" s="85" t="str" cm="1">
        <f t="array" ref="BI19">IF($C19&lt;&gt;"Production","",IFERROR(
_xlfn.IFS(AND(AJ19&gt;0,AJ19&lt;($BC$3-$D19)),AJ19,
AND(AJ19&gt;0,AJ19&gt;($BC$3-$D19)),($BC$3-$D19)),""))</f>
        <v/>
      </c>
      <c r="BJ19" s="85" t="str" cm="1">
        <f t="array" ref="BJ19">IF($C19&lt;&gt;"Production","",IFERROR(
_xlfn.IFS(AND(AK19&gt;0,AK19&lt;($BC$3-$D19)),AK19,
AND(AK19&gt;0,AK19&gt;($BC$3-$D19)),($BC$3-$D19)),""))</f>
        <v/>
      </c>
      <c r="BK19" s="85" t="str" cm="1">
        <f t="array" ref="BK19">IF($C19&lt;&gt;"Production","",IFERROR(
_xlfn.IFS(AND(AL19&gt;0,AL19&lt;($BC$3-$D19)),AL19,
AND(AL19&gt;0,AL19&gt;($BC$3-$D19)),($BC$3-$D19)),""))</f>
        <v/>
      </c>
      <c r="BL19" s="85" t="str" cm="1">
        <f t="array" ref="BL19">IF($C19&lt;&gt;"Production","",IFERROR(
_xlfn.IFS(AND(AM19&gt;0,AM19&lt;($BC$3-$D19)),AM19,
AND(AM19&gt;0,AM19&gt;($BC$3-$D19)),($BC$3-$D19)),""))</f>
        <v/>
      </c>
      <c r="BM19" s="85">
        <f t="shared" si="47"/>
        <v>0</v>
      </c>
      <c r="BN19" s="81"/>
      <c r="BO19" s="85" t="str" cm="1">
        <f t="array" ref="BO19">IF($C19="Production","",IFERROR(
_xlfn.IFS(AND(AO19&gt;0,AO19&lt;($BC$3-$D19)),AO19,
AND(AO19&gt;0,AO19&gt;($BC$3-$D19)),($BC$3-$D19)),""))</f>
        <v/>
      </c>
      <c r="BP19" s="85" t="str" cm="1">
        <f t="array" ref="BP19">IF($C19="Production","",IFERROR(
_xlfn.IFS(AND(AP19&gt;0,AP19&lt;($BC$3-$D19)),AP19,
AND(AP19&gt;0,AP19&gt;($BC$3-$D19)),($BC$3-$D19)),""))</f>
        <v/>
      </c>
      <c r="BQ19" s="85" t="str" cm="1">
        <f t="array" ref="BQ19">IF($C19="Production","",IFERROR(
_xlfn.IFS(AND(AQ19&gt;0,AQ19&lt;($BC$3-$D19)),AQ19,
AND(AQ19&gt;0,AQ19&gt;($BC$3-$D19)),($BC$3-$D19)),""))</f>
        <v/>
      </c>
      <c r="BR19" s="85" t="str" cm="1">
        <f t="array" ref="BR19">IF($C19="Production","",IFERROR(
_xlfn.IFS(AND(AR19&gt;0,AR19&lt;($BC$3-$D19)),AR19,
AND(AR19&gt;0,AR19&gt;($BC$3-$D19)),($BC$3-$D19)),""))</f>
        <v/>
      </c>
      <c r="BS19" s="85" t="str" cm="1">
        <f t="array" ref="BS19">IF($C19="Production","",IFERROR(
_xlfn.IFS(AND(AS19&gt;0,AS19&lt;($BC$3-$D19)),AS19,
AND(AS19&gt;0,AS19&gt;($BC$3-$D19)),($BC$3-$D19)),""))</f>
        <v/>
      </c>
      <c r="BT19" s="85" t="str" cm="1">
        <f t="array" ref="BT19">IF($C19="Production","",IFERROR(
_xlfn.IFS(AND(AT19&gt;0,AT19&lt;($BC$3-$D19)),AT19,
AND(AT19&gt;0,AT19&gt;($BC$3-$D19)),($BC$3-$D19)),""))</f>
        <v/>
      </c>
      <c r="BU19" s="85" t="str" cm="1">
        <f t="array" ref="BU19">IF($C19="Production","",IFERROR(
_xlfn.IFS(AND(AU19&gt;0,AU19&lt;($BC$3-$D19)),AU19,
AND(AU19&gt;0,AU19&gt;($BC$3-$D19)),($BC$3-$D19)),""))</f>
        <v/>
      </c>
      <c r="BV19" s="85" t="str" cm="1">
        <f t="array" ref="BV19">IF($C19="Production","",IFERROR(
_xlfn.IFS(AND(AV19&gt;0,AV19&lt;($BC$3-$D19)),AV19,
AND(AV19&gt;0,AV19&gt;($BC$3-$D19)),($BC$3-$D19)),""))</f>
        <v/>
      </c>
      <c r="BW19" s="85" t="str" cm="1">
        <f t="array" ref="BW19">IF($C19="Production","",IFERROR(
_xlfn.IFS(AND(AW19&gt;0,AW19&lt;($BC$3-$D19)),AW19,
AND(AW19&gt;0,AW19&gt;($BC$3-$D19)),($BC$3-$D19)),""))</f>
        <v/>
      </c>
      <c r="BX19" s="85" t="str" cm="1">
        <f t="array" ref="BX19">IF($C19="Production","",IFERROR(
_xlfn.IFS(AND(AX19&gt;0,AX19&lt;($BC$3-$D19)),AX19,
AND(AX19&gt;0,AX19&gt;($BC$3-$D19)),($BC$3-$D19)),""))</f>
        <v/>
      </c>
      <c r="BY19" s="85" t="str" cm="1">
        <f t="array" ref="BY19">IF($C19="Production","",IFERROR(
_xlfn.IFS(AND(AY19&gt;0,AY19&lt;($BC$3-$D19)),AY19,
AND(AY19&gt;0,AY19&gt;($BC$3-$D19)),($BC$3-$D19)),""))</f>
        <v/>
      </c>
      <c r="BZ19" s="85">
        <f t="shared" si="48"/>
        <v>0</v>
      </c>
      <c r="CA19" s="81"/>
      <c r="CB19" s="85" t="str">
        <f t="shared" si="49"/>
        <v/>
      </c>
      <c r="CC19" s="85" t="str">
        <f t="shared" si="16"/>
        <v/>
      </c>
      <c r="CD19" s="85" t="str">
        <f t="shared" si="17"/>
        <v/>
      </c>
      <c r="CE19" s="85" t="str">
        <f t="shared" si="18"/>
        <v/>
      </c>
      <c r="CF19" s="85" t="str">
        <f t="shared" si="19"/>
        <v/>
      </c>
      <c r="CG19" s="85" t="str">
        <f t="shared" si="20"/>
        <v/>
      </c>
      <c r="CH19" s="85" t="str">
        <f t="shared" si="21"/>
        <v/>
      </c>
      <c r="CI19" s="85" t="str">
        <f t="shared" si="22"/>
        <v/>
      </c>
      <c r="CJ19" s="85" t="str">
        <f t="shared" si="23"/>
        <v/>
      </c>
      <c r="CK19" s="85" t="str">
        <f t="shared" si="24"/>
        <v/>
      </c>
      <c r="CL19" s="85" t="str">
        <f t="shared" si="25"/>
        <v/>
      </c>
      <c r="CM19" s="85">
        <f t="shared" si="50"/>
        <v>0</v>
      </c>
      <c r="CO19" s="80" t="str">
        <f t="shared" si="51"/>
        <v/>
      </c>
      <c r="CP19" s="80" t="str">
        <f t="shared" si="52"/>
        <v/>
      </c>
      <c r="CQ19" s="80" t="str">
        <f t="shared" si="53"/>
        <v/>
      </c>
      <c r="CR19" s="80" t="str">
        <f t="shared" si="54"/>
        <v/>
      </c>
      <c r="CS19" s="80" t="str">
        <f t="shared" si="55"/>
        <v/>
      </c>
      <c r="CT19" s="80" t="str">
        <f t="shared" si="56"/>
        <v/>
      </c>
      <c r="CU19" s="80" t="str">
        <f t="shared" si="57"/>
        <v/>
      </c>
      <c r="CV19" s="80" t="str">
        <f t="shared" si="58"/>
        <v/>
      </c>
      <c r="CW19" s="80" t="str">
        <f t="shared" si="59"/>
        <v/>
      </c>
      <c r="CX19" s="80" t="str">
        <f t="shared" si="60"/>
        <v/>
      </c>
      <c r="CY19" s="80" t="str">
        <f t="shared" si="61"/>
        <v/>
      </c>
      <c r="CZ19" s="80">
        <f t="shared" si="62"/>
        <v>0</v>
      </c>
      <c r="DB19" s="80">
        <f t="shared" si="63"/>
        <v>0</v>
      </c>
      <c r="DC19" s="80">
        <f t="shared" si="64"/>
        <v>0</v>
      </c>
      <c r="DD19" s="80">
        <f t="shared" si="65"/>
        <v>0</v>
      </c>
      <c r="DE19" s="80">
        <f t="shared" si="66"/>
        <v>-33</v>
      </c>
      <c r="DF19" s="80">
        <f t="shared" si="67"/>
        <v>-33</v>
      </c>
    </row>
    <row r="20" spans="2:110" x14ac:dyDescent="0.15">
      <c r="B20" s="83" t="str">
        <f>'MODU 2025'!B23</f>
        <v>FANGUIN Nadine</v>
      </c>
      <c r="C20" s="83" t="str">
        <f>'MODU 2025'!C23</f>
        <v>Production</v>
      </c>
      <c r="D20" s="83">
        <f>'MODU 2025'!D23</f>
        <v>37</v>
      </c>
      <c r="E20" s="83">
        <f>'MODU 2025'!G23</f>
        <v>41</v>
      </c>
      <c r="F20" s="83">
        <f>'MODU 2025'!H23</f>
        <v>33</v>
      </c>
      <c r="G20" s="83">
        <f>'MODU 2025'!I23</f>
        <v>41</v>
      </c>
      <c r="H20" s="83">
        <f>'MODU 2025'!J23</f>
        <v>33</v>
      </c>
      <c r="I20" s="83">
        <f>'MODU 2025'!K23</f>
        <v>32.75</v>
      </c>
      <c r="J20" s="83">
        <f>'MODU 2025'!L23</f>
        <v>33</v>
      </c>
      <c r="K20" s="83">
        <f>'MODU 2025'!M23</f>
        <v>41</v>
      </c>
      <c r="L20" s="83">
        <f>'MODU 2025'!N23</f>
        <v>33</v>
      </c>
      <c r="M20" s="83">
        <f>'MODU 2025'!O23</f>
        <v>41</v>
      </c>
      <c r="N20" s="83">
        <f>'MODU 2025'!P23</f>
        <v>33</v>
      </c>
      <c r="O20" s="83">
        <f>'MODU 2025'!Q23</f>
        <v>41</v>
      </c>
      <c r="P20" s="85"/>
      <c r="Q20" s="85">
        <f>IF(MOD(COLUMN(),2)=0,INDEX(paramètres!$C$4:$C$6,MATCH($C20,paramètres!$B$4:$B$6,0)),INDEX(paramètres!$D$4:$D$6,MATCH($C20,paramètres!$B$4:$B$6,0)))</f>
        <v>41</v>
      </c>
      <c r="R20" s="85">
        <f>IF(MOD(COLUMN(),2)=0,INDEX(paramètres!$C$4:$C$6,MATCH($C20,paramètres!$B$4:$B$6,0)),INDEX(paramètres!$D$4:$D$6,MATCH($C20,paramètres!$B$4:$B$6,0)))</f>
        <v>33</v>
      </c>
      <c r="S20" s="85">
        <f>IF(MOD(COLUMN(),2)=0,INDEX(paramètres!$C$4:$C$6,MATCH($C20,paramètres!$B$4:$B$6,0)),INDEX(paramètres!$D$4:$D$6,MATCH($C20,paramètres!$B$4:$B$6,0)))</f>
        <v>41</v>
      </c>
      <c r="T20" s="85">
        <f>IF(MOD(COLUMN(),2)=0,INDEX(paramètres!$C$4:$C$6,MATCH($C20,paramètres!$B$4:$B$6,0)),INDEX(paramètres!$D$4:$D$6,MATCH($C20,paramètres!$B$4:$B$6,0)))</f>
        <v>33</v>
      </c>
      <c r="U20" s="85">
        <f>IF(MOD(COLUMN(),2)=0,INDEX(paramètres!$C$4:$C$6,MATCH($C20,paramètres!$B$4:$B$6,0)),INDEX(paramètres!$D$4:$D$6,MATCH($C20,paramètres!$B$4:$B$6,0)))</f>
        <v>41</v>
      </c>
      <c r="V20" s="85">
        <f>IF(MOD(COLUMN(),2)=0,INDEX(paramètres!$C$4:$C$6,MATCH($C20,paramètres!$B$4:$B$6,0)),INDEX(paramètres!$D$4:$D$6,MATCH($C20,paramètres!$B$4:$B$6,0)))</f>
        <v>33</v>
      </c>
      <c r="W20" s="85">
        <f>IF(MOD(COLUMN(),2)=0,INDEX(paramètres!$C$4:$C$6,MATCH($C20,paramètres!$B$4:$B$6,0)),INDEX(paramètres!$D$4:$D$6,MATCH($C20,paramètres!$B$4:$B$6,0)))</f>
        <v>41</v>
      </c>
      <c r="X20" s="85">
        <f>IF(MOD(COLUMN(),2)=0,INDEX(paramètres!$C$4:$C$6,MATCH($C20,paramètres!$B$4:$B$6,0)),INDEX(paramètres!$D$4:$D$6,MATCH($C20,paramètres!$B$4:$B$6,0)))</f>
        <v>33</v>
      </c>
      <c r="Y20" s="85">
        <f>IF(MOD(COLUMN(),2)=0,INDEX(paramètres!$C$4:$C$6,MATCH($C20,paramètres!$B$4:$B$6,0)),INDEX(paramètres!$D$4:$D$6,MATCH($C20,paramètres!$B$4:$B$6,0)))</f>
        <v>41</v>
      </c>
      <c r="Z20" s="85">
        <f>IF(MOD(COLUMN(),2)=0,INDEX(paramètres!$C$4:$C$6,MATCH($C20,paramètres!$B$4:$B$6,0)),INDEX(paramètres!$D$4:$D$6,MATCH($C20,paramètres!$B$4:$B$6,0)))</f>
        <v>33</v>
      </c>
      <c r="AA20" s="85">
        <f>IF(MOD(COLUMN(),2)=0,INDEX(paramètres!$C$4:$C$6,MATCH($C20,paramètres!$B$4:$B$6,0)),INDEX(paramètres!$D$4:$D$6,MATCH($C20,paramètres!$B$4:$B$6,0)))</f>
        <v>41</v>
      </c>
      <c r="AB20" s="86"/>
      <c r="AC20" s="85">
        <f t="shared" si="68"/>
        <v>0</v>
      </c>
      <c r="AD20" s="85">
        <f t="shared" si="26"/>
        <v>0</v>
      </c>
      <c r="AE20" s="85">
        <f t="shared" si="69"/>
        <v>0</v>
      </c>
      <c r="AF20" s="85">
        <f t="shared" si="27"/>
        <v>0</v>
      </c>
      <c r="AG20" s="85">
        <f t="shared" si="28"/>
        <v>-8.25</v>
      </c>
      <c r="AH20" s="85">
        <f t="shared" si="29"/>
        <v>0</v>
      </c>
      <c r="AI20" s="85">
        <f t="shared" si="30"/>
        <v>0</v>
      </c>
      <c r="AJ20" s="85">
        <f t="shared" si="31"/>
        <v>0</v>
      </c>
      <c r="AK20" s="85">
        <f t="shared" si="32"/>
        <v>0</v>
      </c>
      <c r="AL20" s="85">
        <f t="shared" si="33"/>
        <v>0</v>
      </c>
      <c r="AM20" s="85">
        <f t="shared" si="34"/>
        <v>-33</v>
      </c>
      <c r="AN20" s="85"/>
      <c r="AO20" s="85" t="str">
        <f t="shared" si="35"/>
        <v/>
      </c>
      <c r="AP20" s="85" t="str">
        <f t="shared" si="36"/>
        <v/>
      </c>
      <c r="AQ20" s="85" t="str">
        <f t="shared" si="37"/>
        <v/>
      </c>
      <c r="AR20" s="85" t="str">
        <f t="shared" si="38"/>
        <v/>
      </c>
      <c r="AS20" s="85" t="str">
        <f t="shared" si="39"/>
        <v/>
      </c>
      <c r="AT20" s="85" t="str">
        <f t="shared" si="40"/>
        <v/>
      </c>
      <c r="AU20" s="85" t="str">
        <f t="shared" si="41"/>
        <v/>
      </c>
      <c r="AV20" s="85" t="str">
        <f t="shared" si="42"/>
        <v/>
      </c>
      <c r="AW20" s="85" t="str">
        <f t="shared" si="43"/>
        <v/>
      </c>
      <c r="AX20" s="85" t="str">
        <f t="shared" si="44"/>
        <v/>
      </c>
      <c r="AY20" s="85" t="str">
        <f t="shared" si="45"/>
        <v/>
      </c>
      <c r="AZ20" s="85">
        <f t="shared" si="46"/>
        <v>0</v>
      </c>
      <c r="BA20" s="35"/>
      <c r="BB20" s="85" t="str" cm="1">
        <f t="array" ref="BB20">IF($C20&lt;&gt;"Production","",IFERROR(
_xlfn.IFS(AND(AC20&gt;0,AC20&lt;($BC$3-$D20)),AC20,
AND(AC20&gt;0,AC20&gt;($BC$3-$D20)),($BC$3-$D20)),""))</f>
        <v/>
      </c>
      <c r="BC20" s="85" t="str" cm="1">
        <f t="array" ref="BC20">IF($C20&lt;&gt;"Production","",IFERROR(
_xlfn.IFS(AND(AD20&gt;0,AD20&lt;($BC$3-$D20)),AD20,
AND(AD20&gt;0,AD20&gt;($BC$3-$D20)),($BC$3-$D20)),""))</f>
        <v/>
      </c>
      <c r="BD20" s="85" t="str" cm="1">
        <f t="array" ref="BD20">IF($C20&lt;&gt;"Production","",IFERROR(
_xlfn.IFS(AND(AE20&gt;0,AE20&lt;($BC$3-$D20)),AE20,
AND(AE20&gt;0,AE20&gt;($BC$3-$D20)),($BC$3-$D20)),""))</f>
        <v/>
      </c>
      <c r="BE20" s="85" t="str" cm="1">
        <f t="array" ref="BE20">IF($C20&lt;&gt;"Production","",IFERROR(
_xlfn.IFS(AND(AF20&gt;0,AF20&lt;($BC$3-$D20)),AF20,
AND(AF20&gt;0,AF20&gt;($BC$3-$D20)),($BC$3-$D20)),""))</f>
        <v/>
      </c>
      <c r="BF20" s="85" t="str" cm="1">
        <f t="array" ref="BF20">IF($C20&lt;&gt;"Production","",IFERROR(
_xlfn.IFS(AND(AG20&gt;0,AG20&lt;($BC$3-$D20)),AG20,
AND(AG20&gt;0,AG20&gt;($BC$3-$D20)),($BC$3-$D20)),""))</f>
        <v/>
      </c>
      <c r="BG20" s="85" t="str" cm="1">
        <f t="array" ref="BG20">IF($C20&lt;&gt;"Production","",IFERROR(
_xlfn.IFS(AND(AH20&gt;0,AH20&lt;($BC$3-$D20)),AH20,
AND(AH20&gt;0,AH20&gt;($BC$3-$D20)),($BC$3-$D20)),""))</f>
        <v/>
      </c>
      <c r="BH20" s="85" t="str" cm="1">
        <f t="array" ref="BH20">IF($C20&lt;&gt;"Production","",IFERROR(
_xlfn.IFS(AND(AI20&gt;0,AI20&lt;($BC$3-$D20)),AI20,
AND(AI20&gt;0,AI20&gt;($BC$3-$D20)),($BC$3-$D20)),""))</f>
        <v/>
      </c>
      <c r="BI20" s="85" t="str" cm="1">
        <f t="array" ref="BI20">IF($C20&lt;&gt;"Production","",IFERROR(
_xlfn.IFS(AND(AJ20&gt;0,AJ20&lt;($BC$3-$D20)),AJ20,
AND(AJ20&gt;0,AJ20&gt;($BC$3-$D20)),($BC$3-$D20)),""))</f>
        <v/>
      </c>
      <c r="BJ20" s="85" t="str" cm="1">
        <f t="array" ref="BJ20">IF($C20&lt;&gt;"Production","",IFERROR(
_xlfn.IFS(AND(AK20&gt;0,AK20&lt;($BC$3-$D20)),AK20,
AND(AK20&gt;0,AK20&gt;($BC$3-$D20)),($BC$3-$D20)),""))</f>
        <v/>
      </c>
      <c r="BK20" s="85" t="str" cm="1">
        <f t="array" ref="BK20">IF($C20&lt;&gt;"Production","",IFERROR(
_xlfn.IFS(AND(AL20&gt;0,AL20&lt;($BC$3-$D20)),AL20,
AND(AL20&gt;0,AL20&gt;($BC$3-$D20)),($BC$3-$D20)),""))</f>
        <v/>
      </c>
      <c r="BL20" s="85" t="str" cm="1">
        <f t="array" ref="BL20">IF($C20&lt;&gt;"Production","",IFERROR(
_xlfn.IFS(AND(AM20&gt;0,AM20&lt;($BC$3-$D20)),AM20,
AND(AM20&gt;0,AM20&gt;($BC$3-$D20)),($BC$3-$D20)),""))</f>
        <v/>
      </c>
      <c r="BM20" s="85">
        <f t="shared" si="47"/>
        <v>0</v>
      </c>
      <c r="BN20" s="81"/>
      <c r="BO20" s="85" t="str" cm="1">
        <f t="array" ref="BO20">IF($C20="Production","",IFERROR(
_xlfn.IFS(AND(AO20&gt;0,AO20&lt;($BC$3-$D20)),AO20,
AND(AO20&gt;0,AO20&gt;($BC$3-$D20)),($BC$3-$D20)),""))</f>
        <v/>
      </c>
      <c r="BP20" s="85" t="str" cm="1">
        <f t="array" ref="BP20">IF($C20="Production","",IFERROR(
_xlfn.IFS(AND(AP20&gt;0,AP20&lt;($BC$3-$D20)),AP20,
AND(AP20&gt;0,AP20&gt;($BC$3-$D20)),($BC$3-$D20)),""))</f>
        <v/>
      </c>
      <c r="BQ20" s="85" t="str" cm="1">
        <f t="array" ref="BQ20">IF($C20="Production","",IFERROR(
_xlfn.IFS(AND(AQ20&gt;0,AQ20&lt;($BC$3-$D20)),AQ20,
AND(AQ20&gt;0,AQ20&gt;($BC$3-$D20)),($BC$3-$D20)),""))</f>
        <v/>
      </c>
      <c r="BR20" s="85" t="str" cm="1">
        <f t="array" ref="BR20">IF($C20="Production","",IFERROR(
_xlfn.IFS(AND(AR20&gt;0,AR20&lt;($BC$3-$D20)),AR20,
AND(AR20&gt;0,AR20&gt;($BC$3-$D20)),($BC$3-$D20)),""))</f>
        <v/>
      </c>
      <c r="BS20" s="85" t="str" cm="1">
        <f t="array" ref="BS20">IF($C20="Production","",IFERROR(
_xlfn.IFS(AND(AS20&gt;0,AS20&lt;($BC$3-$D20)),AS20,
AND(AS20&gt;0,AS20&gt;($BC$3-$D20)),($BC$3-$D20)),""))</f>
        <v/>
      </c>
      <c r="BT20" s="85" t="str" cm="1">
        <f t="array" ref="BT20">IF($C20="Production","",IFERROR(
_xlfn.IFS(AND(AT20&gt;0,AT20&lt;($BC$3-$D20)),AT20,
AND(AT20&gt;0,AT20&gt;($BC$3-$D20)),($BC$3-$D20)),""))</f>
        <v/>
      </c>
      <c r="BU20" s="85" t="str" cm="1">
        <f t="array" ref="BU20">IF($C20="Production","",IFERROR(
_xlfn.IFS(AND(AU20&gt;0,AU20&lt;($BC$3-$D20)),AU20,
AND(AU20&gt;0,AU20&gt;($BC$3-$D20)),($BC$3-$D20)),""))</f>
        <v/>
      </c>
      <c r="BV20" s="85" t="str" cm="1">
        <f t="array" ref="BV20">IF($C20="Production","",IFERROR(
_xlfn.IFS(AND(AV20&gt;0,AV20&lt;($BC$3-$D20)),AV20,
AND(AV20&gt;0,AV20&gt;($BC$3-$D20)),($BC$3-$D20)),""))</f>
        <v/>
      </c>
      <c r="BW20" s="85" t="str" cm="1">
        <f t="array" ref="BW20">IF($C20="Production","",IFERROR(
_xlfn.IFS(AND(AW20&gt;0,AW20&lt;($BC$3-$D20)),AW20,
AND(AW20&gt;0,AW20&gt;($BC$3-$D20)),($BC$3-$D20)),""))</f>
        <v/>
      </c>
      <c r="BX20" s="85" t="str" cm="1">
        <f t="array" ref="BX20">IF($C20="Production","",IFERROR(
_xlfn.IFS(AND(AX20&gt;0,AX20&lt;($BC$3-$D20)),AX20,
AND(AX20&gt;0,AX20&gt;($BC$3-$D20)),($BC$3-$D20)),""))</f>
        <v/>
      </c>
      <c r="BY20" s="85" t="str" cm="1">
        <f t="array" ref="BY20">IF($C20="Production","",IFERROR(
_xlfn.IFS(AND(AY20&gt;0,AY20&lt;($BC$3-$D20)),AY20,
AND(AY20&gt;0,AY20&gt;($BC$3-$D20)),($BC$3-$D20)),""))</f>
        <v/>
      </c>
      <c r="BZ20" s="85">
        <f t="shared" si="48"/>
        <v>0</v>
      </c>
      <c r="CA20" s="81"/>
      <c r="CB20" s="85" t="str">
        <f t="shared" si="49"/>
        <v/>
      </c>
      <c r="CC20" s="85" t="str">
        <f t="shared" si="16"/>
        <v/>
      </c>
      <c r="CD20" s="85" t="str">
        <f t="shared" si="17"/>
        <v/>
      </c>
      <c r="CE20" s="85" t="str">
        <f t="shared" si="18"/>
        <v/>
      </c>
      <c r="CF20" s="85" t="str">
        <f t="shared" si="19"/>
        <v/>
      </c>
      <c r="CG20" s="85" t="str">
        <f t="shared" si="20"/>
        <v/>
      </c>
      <c r="CH20" s="85" t="str">
        <f t="shared" si="21"/>
        <v/>
      </c>
      <c r="CI20" s="85" t="str">
        <f t="shared" si="22"/>
        <v/>
      </c>
      <c r="CJ20" s="85" t="str">
        <f t="shared" si="23"/>
        <v/>
      </c>
      <c r="CK20" s="85" t="str">
        <f t="shared" si="24"/>
        <v/>
      </c>
      <c r="CL20" s="85" t="str">
        <f t="shared" si="25"/>
        <v/>
      </c>
      <c r="CM20" s="85">
        <f t="shared" si="50"/>
        <v>0</v>
      </c>
      <c r="CO20" s="80" t="str">
        <f t="shared" si="51"/>
        <v/>
      </c>
      <c r="CP20" s="80" t="str">
        <f t="shared" si="52"/>
        <v/>
      </c>
      <c r="CQ20" s="80" t="str">
        <f t="shared" si="53"/>
        <v/>
      </c>
      <c r="CR20" s="80" t="str">
        <f t="shared" si="54"/>
        <v/>
      </c>
      <c r="CS20" s="80" t="str">
        <f t="shared" si="55"/>
        <v/>
      </c>
      <c r="CT20" s="80" t="str">
        <f t="shared" si="56"/>
        <v/>
      </c>
      <c r="CU20" s="80" t="str">
        <f t="shared" si="57"/>
        <v/>
      </c>
      <c r="CV20" s="80" t="str">
        <f t="shared" si="58"/>
        <v/>
      </c>
      <c r="CW20" s="80" t="str">
        <f t="shared" si="59"/>
        <v/>
      </c>
      <c r="CX20" s="80" t="str">
        <f t="shared" si="60"/>
        <v/>
      </c>
      <c r="CY20" s="80" t="str">
        <f t="shared" si="61"/>
        <v/>
      </c>
      <c r="CZ20" s="80">
        <f t="shared" si="62"/>
        <v>0</v>
      </c>
      <c r="DB20" s="80">
        <f t="shared" si="63"/>
        <v>0</v>
      </c>
      <c r="DC20" s="80">
        <f t="shared" si="64"/>
        <v>0</v>
      </c>
      <c r="DD20" s="80">
        <f t="shared" si="65"/>
        <v>0</v>
      </c>
      <c r="DE20" s="80">
        <f t="shared" si="66"/>
        <v>-41.25</v>
      </c>
      <c r="DF20" s="80">
        <f t="shared" si="67"/>
        <v>-41.25</v>
      </c>
    </row>
    <row r="21" spans="2:110" x14ac:dyDescent="0.15">
      <c r="B21" s="83" t="str">
        <f>'MODU 2025'!B24</f>
        <v>FENILLE Victoria</v>
      </c>
      <c r="C21" s="83" t="str">
        <f>'MODU 2025'!C24</f>
        <v>Production</v>
      </c>
      <c r="D21" s="83">
        <f>'MODU 2025'!D24</f>
        <v>37</v>
      </c>
      <c r="E21" s="83">
        <f>'MODU 2025'!G24</f>
        <v>41</v>
      </c>
      <c r="F21" s="83">
        <f>'MODU 2025'!H24</f>
        <v>32.75</v>
      </c>
      <c r="G21" s="83">
        <f>'MODU 2025'!I24</f>
        <v>42</v>
      </c>
      <c r="H21" s="83">
        <f>'MODU 2025'!J24</f>
        <v>33</v>
      </c>
      <c r="I21" s="83">
        <f>'MODU 2025'!K24</f>
        <v>41</v>
      </c>
      <c r="J21" s="83">
        <f>'MODU 2025'!L24</f>
        <v>33</v>
      </c>
      <c r="K21" s="83">
        <f>'MODU 2025'!M24</f>
        <v>41</v>
      </c>
      <c r="L21" s="83">
        <f>'MODU 2025'!N24</f>
        <v>33</v>
      </c>
      <c r="M21" s="83">
        <f>'MODU 2025'!O24</f>
        <v>41</v>
      </c>
      <c r="N21" s="83">
        <f>'MODU 2025'!P24</f>
        <v>33</v>
      </c>
      <c r="O21" s="83">
        <f>'MODU 2025'!Q24</f>
        <v>41</v>
      </c>
      <c r="P21" s="85"/>
      <c r="Q21" s="85">
        <f>IF(MOD(COLUMN(),2)=0,INDEX(paramètres!$C$4:$C$6,MATCH($C21,paramètres!$B$4:$B$6,0)),INDEX(paramètres!$D$4:$D$6,MATCH($C21,paramètres!$B$4:$B$6,0)))</f>
        <v>41</v>
      </c>
      <c r="R21" s="85">
        <f>IF(MOD(COLUMN(),2)=0,INDEX(paramètres!$C$4:$C$6,MATCH($C21,paramètres!$B$4:$B$6,0)),INDEX(paramètres!$D$4:$D$6,MATCH($C21,paramètres!$B$4:$B$6,0)))</f>
        <v>33</v>
      </c>
      <c r="S21" s="85">
        <f>IF(MOD(COLUMN(),2)=0,INDEX(paramètres!$C$4:$C$6,MATCH($C21,paramètres!$B$4:$B$6,0)),INDEX(paramètres!$D$4:$D$6,MATCH($C21,paramètres!$B$4:$B$6,0)))</f>
        <v>41</v>
      </c>
      <c r="T21" s="85">
        <f>IF(MOD(COLUMN(),2)=0,INDEX(paramètres!$C$4:$C$6,MATCH($C21,paramètres!$B$4:$B$6,0)),INDEX(paramètres!$D$4:$D$6,MATCH($C21,paramètres!$B$4:$B$6,0)))</f>
        <v>33</v>
      </c>
      <c r="U21" s="85">
        <f>IF(MOD(COLUMN(),2)=0,INDEX(paramètres!$C$4:$C$6,MATCH($C21,paramètres!$B$4:$B$6,0)),INDEX(paramètres!$D$4:$D$6,MATCH($C21,paramètres!$B$4:$B$6,0)))</f>
        <v>41</v>
      </c>
      <c r="V21" s="85">
        <f>IF(MOD(COLUMN(),2)=0,INDEX(paramètres!$C$4:$C$6,MATCH($C21,paramètres!$B$4:$B$6,0)),INDEX(paramètres!$D$4:$D$6,MATCH($C21,paramètres!$B$4:$B$6,0)))</f>
        <v>33</v>
      </c>
      <c r="W21" s="85">
        <f>IF(MOD(COLUMN(),2)=0,INDEX(paramètres!$C$4:$C$6,MATCH($C21,paramètres!$B$4:$B$6,0)),INDEX(paramètres!$D$4:$D$6,MATCH($C21,paramètres!$B$4:$B$6,0)))</f>
        <v>41</v>
      </c>
      <c r="X21" s="85">
        <f>IF(MOD(COLUMN(),2)=0,INDEX(paramètres!$C$4:$C$6,MATCH($C21,paramètres!$B$4:$B$6,0)),INDEX(paramètres!$D$4:$D$6,MATCH($C21,paramètres!$B$4:$B$6,0)))</f>
        <v>33</v>
      </c>
      <c r="Y21" s="85">
        <f>IF(MOD(COLUMN(),2)=0,INDEX(paramètres!$C$4:$C$6,MATCH($C21,paramètres!$B$4:$B$6,0)),INDEX(paramètres!$D$4:$D$6,MATCH($C21,paramètres!$B$4:$B$6,0)))</f>
        <v>41</v>
      </c>
      <c r="Z21" s="85">
        <f>IF(MOD(COLUMN(),2)=0,INDEX(paramètres!$C$4:$C$6,MATCH($C21,paramètres!$B$4:$B$6,0)),INDEX(paramètres!$D$4:$D$6,MATCH($C21,paramètres!$B$4:$B$6,0)))</f>
        <v>33</v>
      </c>
      <c r="AA21" s="85">
        <f>IF(MOD(COLUMN(),2)=0,INDEX(paramètres!$C$4:$C$6,MATCH($C21,paramètres!$B$4:$B$6,0)),INDEX(paramètres!$D$4:$D$6,MATCH($C21,paramètres!$B$4:$B$6,0)))</f>
        <v>41</v>
      </c>
      <c r="AB21" s="86"/>
      <c r="AC21" s="85">
        <f t="shared" si="68"/>
        <v>-0.25</v>
      </c>
      <c r="AD21" s="85">
        <f t="shared" si="26"/>
        <v>0</v>
      </c>
      <c r="AE21" s="85">
        <f t="shared" si="69"/>
        <v>1</v>
      </c>
      <c r="AF21" s="85">
        <f t="shared" si="27"/>
        <v>0</v>
      </c>
      <c r="AG21" s="85">
        <f t="shared" si="28"/>
        <v>0</v>
      </c>
      <c r="AH21" s="85">
        <f t="shared" si="29"/>
        <v>0</v>
      </c>
      <c r="AI21" s="85">
        <f t="shared" si="30"/>
        <v>0</v>
      </c>
      <c r="AJ21" s="85">
        <f t="shared" si="31"/>
        <v>0</v>
      </c>
      <c r="AK21" s="85">
        <f t="shared" si="32"/>
        <v>0</v>
      </c>
      <c r="AL21" s="85">
        <f t="shared" si="33"/>
        <v>0</v>
      </c>
      <c r="AM21" s="85">
        <f t="shared" si="34"/>
        <v>-33</v>
      </c>
      <c r="AN21" s="85"/>
      <c r="AO21" s="85" t="str">
        <f t="shared" si="35"/>
        <v/>
      </c>
      <c r="AP21" s="85" t="str">
        <f t="shared" si="36"/>
        <v/>
      </c>
      <c r="AQ21" s="85" t="str">
        <f t="shared" si="37"/>
        <v/>
      </c>
      <c r="AR21" s="85" t="str">
        <f t="shared" si="38"/>
        <v/>
      </c>
      <c r="AS21" s="85" t="str">
        <f t="shared" si="39"/>
        <v/>
      </c>
      <c r="AT21" s="85" t="str">
        <f t="shared" si="40"/>
        <v/>
      </c>
      <c r="AU21" s="85" t="str">
        <f t="shared" si="41"/>
        <v/>
      </c>
      <c r="AV21" s="85" t="str">
        <f t="shared" si="42"/>
        <v/>
      </c>
      <c r="AW21" s="85" t="str">
        <f t="shared" si="43"/>
        <v/>
      </c>
      <c r="AX21" s="85" t="str">
        <f t="shared" si="44"/>
        <v/>
      </c>
      <c r="AY21" s="85" t="str">
        <f t="shared" si="45"/>
        <v/>
      </c>
      <c r="AZ21" s="85">
        <f t="shared" si="46"/>
        <v>0</v>
      </c>
      <c r="BA21" s="35"/>
      <c r="BB21" s="85" t="str" cm="1">
        <f t="array" ref="BB21">IF($C21&lt;&gt;"Production","",IFERROR(
_xlfn.IFS(AND(AC21&gt;0,AC21&lt;($BC$3-$D21)),AC21,
AND(AC21&gt;0,AC21&gt;($BC$3-$D21)),($BC$3-$D21)),""))</f>
        <v/>
      </c>
      <c r="BC21" s="85" t="str" cm="1">
        <f t="array" ref="BC21">IF($C21&lt;&gt;"Production","",IFERROR(
_xlfn.IFS(AND(AD21&gt;0,AD21&lt;($BC$3-$D21)),AD21,
AND(AD21&gt;0,AD21&gt;($BC$3-$D21)),($BC$3-$D21)),""))</f>
        <v/>
      </c>
      <c r="BD21" s="85" cm="1">
        <f t="array" ref="BD21">IF($C21&lt;&gt;"Production","",IFERROR(
_xlfn.IFS(AND(AE21&gt;0,AE21&lt;($BC$3-$D21)),AE21,
AND(AE21&gt;0,AE21&gt;($BC$3-$D21)),($BC$3-$D21)),""))</f>
        <v>1</v>
      </c>
      <c r="BE21" s="85" t="str" cm="1">
        <f t="array" ref="BE21">IF($C21&lt;&gt;"Production","",IFERROR(
_xlfn.IFS(AND(AF21&gt;0,AF21&lt;($BC$3-$D21)),AF21,
AND(AF21&gt;0,AF21&gt;($BC$3-$D21)),($BC$3-$D21)),""))</f>
        <v/>
      </c>
      <c r="BF21" s="85" t="str" cm="1">
        <f t="array" ref="BF21">IF($C21&lt;&gt;"Production","",IFERROR(
_xlfn.IFS(AND(AG21&gt;0,AG21&lt;($BC$3-$D21)),AG21,
AND(AG21&gt;0,AG21&gt;($BC$3-$D21)),($BC$3-$D21)),""))</f>
        <v/>
      </c>
      <c r="BG21" s="85" t="str" cm="1">
        <f t="array" ref="BG21">IF($C21&lt;&gt;"Production","",IFERROR(
_xlfn.IFS(AND(AH21&gt;0,AH21&lt;($BC$3-$D21)),AH21,
AND(AH21&gt;0,AH21&gt;($BC$3-$D21)),($BC$3-$D21)),""))</f>
        <v/>
      </c>
      <c r="BH21" s="85" t="str" cm="1">
        <f t="array" ref="BH21">IF($C21&lt;&gt;"Production","",IFERROR(
_xlfn.IFS(AND(AI21&gt;0,AI21&lt;($BC$3-$D21)),AI21,
AND(AI21&gt;0,AI21&gt;($BC$3-$D21)),($BC$3-$D21)),""))</f>
        <v/>
      </c>
      <c r="BI21" s="85" t="str" cm="1">
        <f t="array" ref="BI21">IF($C21&lt;&gt;"Production","",IFERROR(
_xlfn.IFS(AND(AJ21&gt;0,AJ21&lt;($BC$3-$D21)),AJ21,
AND(AJ21&gt;0,AJ21&gt;($BC$3-$D21)),($BC$3-$D21)),""))</f>
        <v/>
      </c>
      <c r="BJ21" s="85" t="str" cm="1">
        <f t="array" ref="BJ21">IF($C21&lt;&gt;"Production","",IFERROR(
_xlfn.IFS(AND(AK21&gt;0,AK21&lt;($BC$3-$D21)),AK21,
AND(AK21&gt;0,AK21&gt;($BC$3-$D21)),($BC$3-$D21)),""))</f>
        <v/>
      </c>
      <c r="BK21" s="85" t="str" cm="1">
        <f t="array" ref="BK21">IF($C21&lt;&gt;"Production","",IFERROR(
_xlfn.IFS(AND(AL21&gt;0,AL21&lt;($BC$3-$D21)),AL21,
AND(AL21&gt;0,AL21&gt;($BC$3-$D21)),($BC$3-$D21)),""))</f>
        <v/>
      </c>
      <c r="BL21" s="85" t="str" cm="1">
        <f t="array" ref="BL21">IF($C21&lt;&gt;"Production","",IFERROR(
_xlfn.IFS(AND(AM21&gt;0,AM21&lt;($BC$3-$D21)),AM21,
AND(AM21&gt;0,AM21&gt;($BC$3-$D21)),($BC$3-$D21)),""))</f>
        <v/>
      </c>
      <c r="BM21" s="85">
        <f t="shared" si="47"/>
        <v>1</v>
      </c>
      <c r="BN21" s="81"/>
      <c r="BO21" s="85" t="str" cm="1">
        <f t="array" ref="BO21">IF($C21="Production","",IFERROR(
_xlfn.IFS(AND(AO21&gt;0,AO21&lt;($BC$3-$D21)),AO21,
AND(AO21&gt;0,AO21&gt;($BC$3-$D21)),($BC$3-$D21)),""))</f>
        <v/>
      </c>
      <c r="BP21" s="85" t="str" cm="1">
        <f t="array" ref="BP21">IF($C21="Production","",IFERROR(
_xlfn.IFS(AND(AP21&gt;0,AP21&lt;($BC$3-$D21)),AP21,
AND(AP21&gt;0,AP21&gt;($BC$3-$D21)),($BC$3-$D21)),""))</f>
        <v/>
      </c>
      <c r="BQ21" s="85" t="str" cm="1">
        <f t="array" ref="BQ21">IF($C21="Production","",IFERROR(
_xlfn.IFS(AND(AQ21&gt;0,AQ21&lt;($BC$3-$D21)),AQ21,
AND(AQ21&gt;0,AQ21&gt;($BC$3-$D21)),($BC$3-$D21)),""))</f>
        <v/>
      </c>
      <c r="BR21" s="85" t="str" cm="1">
        <f t="array" ref="BR21">IF($C21="Production","",IFERROR(
_xlfn.IFS(AND(AR21&gt;0,AR21&lt;($BC$3-$D21)),AR21,
AND(AR21&gt;0,AR21&gt;($BC$3-$D21)),($BC$3-$D21)),""))</f>
        <v/>
      </c>
      <c r="BS21" s="85" t="str" cm="1">
        <f t="array" ref="BS21">IF($C21="Production","",IFERROR(
_xlfn.IFS(AND(AS21&gt;0,AS21&lt;($BC$3-$D21)),AS21,
AND(AS21&gt;0,AS21&gt;($BC$3-$D21)),($BC$3-$D21)),""))</f>
        <v/>
      </c>
      <c r="BT21" s="85" t="str" cm="1">
        <f t="array" ref="BT21">IF($C21="Production","",IFERROR(
_xlfn.IFS(AND(AT21&gt;0,AT21&lt;($BC$3-$D21)),AT21,
AND(AT21&gt;0,AT21&gt;($BC$3-$D21)),($BC$3-$D21)),""))</f>
        <v/>
      </c>
      <c r="BU21" s="85" t="str" cm="1">
        <f t="array" ref="BU21">IF($C21="Production","",IFERROR(
_xlfn.IFS(AND(AU21&gt;0,AU21&lt;($BC$3-$D21)),AU21,
AND(AU21&gt;0,AU21&gt;($BC$3-$D21)),($BC$3-$D21)),""))</f>
        <v/>
      </c>
      <c r="BV21" s="85" t="str" cm="1">
        <f t="array" ref="BV21">IF($C21="Production","",IFERROR(
_xlfn.IFS(AND(AV21&gt;0,AV21&lt;($BC$3-$D21)),AV21,
AND(AV21&gt;0,AV21&gt;($BC$3-$D21)),($BC$3-$D21)),""))</f>
        <v/>
      </c>
      <c r="BW21" s="85" t="str" cm="1">
        <f t="array" ref="BW21">IF($C21="Production","",IFERROR(
_xlfn.IFS(AND(AW21&gt;0,AW21&lt;($BC$3-$D21)),AW21,
AND(AW21&gt;0,AW21&gt;($BC$3-$D21)),($BC$3-$D21)),""))</f>
        <v/>
      </c>
      <c r="BX21" s="85" t="str" cm="1">
        <f t="array" ref="BX21">IF($C21="Production","",IFERROR(
_xlfn.IFS(AND(AX21&gt;0,AX21&lt;($BC$3-$D21)),AX21,
AND(AX21&gt;0,AX21&gt;($BC$3-$D21)),($BC$3-$D21)),""))</f>
        <v/>
      </c>
      <c r="BY21" s="85" t="str" cm="1">
        <f t="array" ref="BY21">IF($C21="Production","",IFERROR(
_xlfn.IFS(AND(AY21&gt;0,AY21&lt;($BC$3-$D21)),AY21,
AND(AY21&gt;0,AY21&gt;($BC$3-$D21)),($BC$3-$D21)),""))</f>
        <v/>
      </c>
      <c r="BZ21" s="85">
        <f t="shared" si="48"/>
        <v>0</v>
      </c>
      <c r="CA21" s="81"/>
      <c r="CB21" s="85" t="str">
        <f t="shared" si="49"/>
        <v/>
      </c>
      <c r="CC21" s="85" t="str">
        <f t="shared" si="16"/>
        <v/>
      </c>
      <c r="CD21" s="85" t="str">
        <f t="shared" si="17"/>
        <v/>
      </c>
      <c r="CE21" s="85" t="str">
        <f t="shared" si="18"/>
        <v/>
      </c>
      <c r="CF21" s="85" t="str">
        <f t="shared" si="19"/>
        <v/>
      </c>
      <c r="CG21" s="85" t="str">
        <f t="shared" si="20"/>
        <v/>
      </c>
      <c r="CH21" s="85" t="str">
        <f t="shared" si="21"/>
        <v/>
      </c>
      <c r="CI21" s="85" t="str">
        <f t="shared" si="22"/>
        <v/>
      </c>
      <c r="CJ21" s="85" t="str">
        <f t="shared" si="23"/>
        <v/>
      </c>
      <c r="CK21" s="85" t="str">
        <f t="shared" si="24"/>
        <v/>
      </c>
      <c r="CL21" s="85" t="str">
        <f t="shared" si="25"/>
        <v/>
      </c>
      <c r="CM21" s="85">
        <f t="shared" si="50"/>
        <v>0</v>
      </c>
      <c r="CO21" s="80" t="str">
        <f t="shared" si="51"/>
        <v/>
      </c>
      <c r="CP21" s="80" t="str">
        <f t="shared" si="52"/>
        <v/>
      </c>
      <c r="CQ21" s="80" t="str">
        <f t="shared" si="53"/>
        <v/>
      </c>
      <c r="CR21" s="80" t="str">
        <f t="shared" si="54"/>
        <v/>
      </c>
      <c r="CS21" s="80" t="str">
        <f t="shared" si="55"/>
        <v/>
      </c>
      <c r="CT21" s="80" t="str">
        <f t="shared" si="56"/>
        <v/>
      </c>
      <c r="CU21" s="80" t="str">
        <f t="shared" si="57"/>
        <v/>
      </c>
      <c r="CV21" s="80" t="str">
        <f t="shared" si="58"/>
        <v/>
      </c>
      <c r="CW21" s="80" t="str">
        <f t="shared" si="59"/>
        <v/>
      </c>
      <c r="CX21" s="80" t="str">
        <f t="shared" si="60"/>
        <v/>
      </c>
      <c r="CY21" s="80" t="str">
        <f t="shared" si="61"/>
        <v/>
      </c>
      <c r="CZ21" s="80">
        <f t="shared" si="62"/>
        <v>0</v>
      </c>
      <c r="DB21" s="80">
        <f t="shared" si="63"/>
        <v>1</v>
      </c>
      <c r="DC21" s="80">
        <f t="shared" si="64"/>
        <v>0</v>
      </c>
      <c r="DD21" s="80">
        <f t="shared" si="65"/>
        <v>1.25</v>
      </c>
      <c r="DE21" s="80">
        <f t="shared" si="66"/>
        <v>-33.25</v>
      </c>
      <c r="DF21" s="80">
        <f t="shared" si="67"/>
        <v>-32</v>
      </c>
    </row>
    <row r="22" spans="2:110" x14ac:dyDescent="0.15">
      <c r="B22" s="83" t="str">
        <f>'MODU 2025'!B25</f>
        <v>GARCIA Béatrice</v>
      </c>
      <c r="C22" s="83" t="str">
        <f>'MODU 2025'!C25</f>
        <v>Production</v>
      </c>
      <c r="D22" s="83">
        <f>'MODU 2025'!D25</f>
        <v>37</v>
      </c>
      <c r="E22" s="83">
        <f>'MODU 2025'!G25</f>
        <v>41</v>
      </c>
      <c r="F22" s="83">
        <f>'MODU 2025'!H25</f>
        <v>33</v>
      </c>
      <c r="G22" s="83">
        <f>'MODU 2025'!I25</f>
        <v>41</v>
      </c>
      <c r="H22" s="83">
        <f>'MODU 2025'!J25</f>
        <v>33</v>
      </c>
      <c r="I22" s="83">
        <f>'MODU 2025'!K25</f>
        <v>41</v>
      </c>
      <c r="J22" s="83">
        <f>'MODU 2025'!L25</f>
        <v>33</v>
      </c>
      <c r="K22" s="83">
        <f>'MODU 2025'!M25</f>
        <v>41</v>
      </c>
      <c r="L22" s="83">
        <f>'MODU 2025'!N25</f>
        <v>33</v>
      </c>
      <c r="M22" s="83">
        <f>'MODU 2025'!O25</f>
        <v>41</v>
      </c>
      <c r="N22" s="83">
        <f>'MODU 2025'!P25</f>
        <v>33</v>
      </c>
      <c r="O22" s="83">
        <f>'MODU 2025'!Q25</f>
        <v>41</v>
      </c>
      <c r="P22" s="85"/>
      <c r="Q22" s="85">
        <f>IF(MOD(COLUMN(),2)=0,INDEX(paramètres!$C$4:$C$6,MATCH($C22,paramètres!$B$4:$B$6,0)),INDEX(paramètres!$D$4:$D$6,MATCH($C22,paramètres!$B$4:$B$6,0)))</f>
        <v>41</v>
      </c>
      <c r="R22" s="85">
        <f>IF(MOD(COLUMN(),2)=0,INDEX(paramètres!$C$4:$C$6,MATCH($C22,paramètres!$B$4:$B$6,0)),INDEX(paramètres!$D$4:$D$6,MATCH($C22,paramètres!$B$4:$B$6,0)))</f>
        <v>33</v>
      </c>
      <c r="S22" s="85">
        <f>IF(MOD(COLUMN(),2)=0,INDEX(paramètres!$C$4:$C$6,MATCH($C22,paramètres!$B$4:$B$6,0)),INDEX(paramètres!$D$4:$D$6,MATCH($C22,paramètres!$B$4:$B$6,0)))</f>
        <v>41</v>
      </c>
      <c r="T22" s="85">
        <f>IF(MOD(COLUMN(),2)=0,INDEX(paramètres!$C$4:$C$6,MATCH($C22,paramètres!$B$4:$B$6,0)),INDEX(paramètres!$D$4:$D$6,MATCH($C22,paramètres!$B$4:$B$6,0)))</f>
        <v>33</v>
      </c>
      <c r="U22" s="85">
        <f>IF(MOD(COLUMN(),2)=0,INDEX(paramètres!$C$4:$C$6,MATCH($C22,paramètres!$B$4:$B$6,0)),INDEX(paramètres!$D$4:$D$6,MATCH($C22,paramètres!$B$4:$B$6,0)))</f>
        <v>41</v>
      </c>
      <c r="V22" s="85">
        <f>IF(MOD(COLUMN(),2)=0,INDEX(paramètres!$C$4:$C$6,MATCH($C22,paramètres!$B$4:$B$6,0)),INDEX(paramètres!$D$4:$D$6,MATCH($C22,paramètres!$B$4:$B$6,0)))</f>
        <v>33</v>
      </c>
      <c r="W22" s="85">
        <f>IF(MOD(COLUMN(),2)=0,INDEX(paramètres!$C$4:$C$6,MATCH($C22,paramètres!$B$4:$B$6,0)),INDEX(paramètres!$D$4:$D$6,MATCH($C22,paramètres!$B$4:$B$6,0)))</f>
        <v>41</v>
      </c>
      <c r="X22" s="85">
        <f>IF(MOD(COLUMN(),2)=0,INDEX(paramètres!$C$4:$C$6,MATCH($C22,paramètres!$B$4:$B$6,0)),INDEX(paramètres!$D$4:$D$6,MATCH($C22,paramètres!$B$4:$B$6,0)))</f>
        <v>33</v>
      </c>
      <c r="Y22" s="85">
        <f>IF(MOD(COLUMN(),2)=0,INDEX(paramètres!$C$4:$C$6,MATCH($C22,paramètres!$B$4:$B$6,0)),INDEX(paramètres!$D$4:$D$6,MATCH($C22,paramètres!$B$4:$B$6,0)))</f>
        <v>41</v>
      </c>
      <c r="Z22" s="85">
        <f>IF(MOD(COLUMN(),2)=0,INDEX(paramètres!$C$4:$C$6,MATCH($C22,paramètres!$B$4:$B$6,0)),INDEX(paramètres!$D$4:$D$6,MATCH($C22,paramètres!$B$4:$B$6,0)))</f>
        <v>33</v>
      </c>
      <c r="AA22" s="85">
        <f>IF(MOD(COLUMN(),2)=0,INDEX(paramètres!$C$4:$C$6,MATCH($C22,paramètres!$B$4:$B$6,0)),INDEX(paramètres!$D$4:$D$6,MATCH($C22,paramètres!$B$4:$B$6,0)))</f>
        <v>41</v>
      </c>
      <c r="AB22" s="86"/>
      <c r="AC22" s="85">
        <f t="shared" si="68"/>
        <v>0</v>
      </c>
      <c r="AD22" s="85">
        <f t="shared" si="26"/>
        <v>0</v>
      </c>
      <c r="AE22" s="85">
        <f t="shared" si="69"/>
        <v>0</v>
      </c>
      <c r="AF22" s="85">
        <f t="shared" si="27"/>
        <v>0</v>
      </c>
      <c r="AG22" s="85">
        <f t="shared" si="28"/>
        <v>0</v>
      </c>
      <c r="AH22" s="85">
        <f t="shared" si="29"/>
        <v>0</v>
      </c>
      <c r="AI22" s="85">
        <f t="shared" si="30"/>
        <v>0</v>
      </c>
      <c r="AJ22" s="85">
        <f t="shared" si="31"/>
        <v>0</v>
      </c>
      <c r="AK22" s="85">
        <f t="shared" si="32"/>
        <v>0</v>
      </c>
      <c r="AL22" s="85">
        <f t="shared" si="33"/>
        <v>0</v>
      </c>
      <c r="AM22" s="85">
        <f t="shared" si="34"/>
        <v>-33</v>
      </c>
      <c r="AN22" s="85"/>
      <c r="AO22" s="85" t="str">
        <f t="shared" si="35"/>
        <v/>
      </c>
      <c r="AP22" s="85" t="str">
        <f t="shared" si="36"/>
        <v/>
      </c>
      <c r="AQ22" s="85" t="str">
        <f t="shared" si="37"/>
        <v/>
      </c>
      <c r="AR22" s="85" t="str">
        <f t="shared" si="38"/>
        <v/>
      </c>
      <c r="AS22" s="85" t="str">
        <f t="shared" si="39"/>
        <v/>
      </c>
      <c r="AT22" s="85" t="str">
        <f t="shared" si="40"/>
        <v/>
      </c>
      <c r="AU22" s="85" t="str">
        <f t="shared" si="41"/>
        <v/>
      </c>
      <c r="AV22" s="85" t="str">
        <f t="shared" si="42"/>
        <v/>
      </c>
      <c r="AW22" s="85" t="str">
        <f t="shared" si="43"/>
        <v/>
      </c>
      <c r="AX22" s="85" t="str">
        <f t="shared" si="44"/>
        <v/>
      </c>
      <c r="AY22" s="85" t="str">
        <f t="shared" si="45"/>
        <v/>
      </c>
      <c r="AZ22" s="85">
        <f t="shared" si="46"/>
        <v>0</v>
      </c>
      <c r="BA22" s="35"/>
      <c r="BB22" s="85" t="str" cm="1">
        <f t="array" ref="BB22">IF($C22&lt;&gt;"Production","",IFERROR(
_xlfn.IFS(AND(AC22&gt;0,AC22&lt;($BC$3-$D22)),AC22,
AND(AC22&gt;0,AC22&gt;($BC$3-$D22)),($BC$3-$D22)),""))</f>
        <v/>
      </c>
      <c r="BC22" s="85" t="str" cm="1">
        <f t="array" ref="BC22">IF($C22&lt;&gt;"Production","",IFERROR(
_xlfn.IFS(AND(AD22&gt;0,AD22&lt;($BC$3-$D22)),AD22,
AND(AD22&gt;0,AD22&gt;($BC$3-$D22)),($BC$3-$D22)),""))</f>
        <v/>
      </c>
      <c r="BD22" s="85" t="str" cm="1">
        <f t="array" ref="BD22">IF($C22&lt;&gt;"Production","",IFERROR(
_xlfn.IFS(AND(AE22&gt;0,AE22&lt;($BC$3-$D22)),AE22,
AND(AE22&gt;0,AE22&gt;($BC$3-$D22)),($BC$3-$D22)),""))</f>
        <v/>
      </c>
      <c r="BE22" s="85" t="str" cm="1">
        <f t="array" ref="BE22">IF($C22&lt;&gt;"Production","",IFERROR(
_xlfn.IFS(AND(AF22&gt;0,AF22&lt;($BC$3-$D22)),AF22,
AND(AF22&gt;0,AF22&gt;($BC$3-$D22)),($BC$3-$D22)),""))</f>
        <v/>
      </c>
      <c r="BF22" s="85" t="str" cm="1">
        <f t="array" ref="BF22">IF($C22&lt;&gt;"Production","",IFERROR(
_xlfn.IFS(AND(AG22&gt;0,AG22&lt;($BC$3-$D22)),AG22,
AND(AG22&gt;0,AG22&gt;($BC$3-$D22)),($BC$3-$D22)),""))</f>
        <v/>
      </c>
      <c r="BG22" s="85" t="str" cm="1">
        <f t="array" ref="BG22">IF($C22&lt;&gt;"Production","",IFERROR(
_xlfn.IFS(AND(AH22&gt;0,AH22&lt;($BC$3-$D22)),AH22,
AND(AH22&gt;0,AH22&gt;($BC$3-$D22)),($BC$3-$D22)),""))</f>
        <v/>
      </c>
      <c r="BH22" s="85" t="str" cm="1">
        <f t="array" ref="BH22">IF($C22&lt;&gt;"Production","",IFERROR(
_xlfn.IFS(AND(AI22&gt;0,AI22&lt;($BC$3-$D22)),AI22,
AND(AI22&gt;0,AI22&gt;($BC$3-$D22)),($BC$3-$D22)),""))</f>
        <v/>
      </c>
      <c r="BI22" s="85" t="str" cm="1">
        <f t="array" ref="BI22">IF($C22&lt;&gt;"Production","",IFERROR(
_xlfn.IFS(AND(AJ22&gt;0,AJ22&lt;($BC$3-$D22)),AJ22,
AND(AJ22&gt;0,AJ22&gt;($BC$3-$D22)),($BC$3-$D22)),""))</f>
        <v/>
      </c>
      <c r="BJ22" s="85" t="str" cm="1">
        <f t="array" ref="BJ22">IF($C22&lt;&gt;"Production","",IFERROR(
_xlfn.IFS(AND(AK22&gt;0,AK22&lt;($BC$3-$D22)),AK22,
AND(AK22&gt;0,AK22&gt;($BC$3-$D22)),($BC$3-$D22)),""))</f>
        <v/>
      </c>
      <c r="BK22" s="85" t="str" cm="1">
        <f t="array" ref="BK22">IF($C22&lt;&gt;"Production","",IFERROR(
_xlfn.IFS(AND(AL22&gt;0,AL22&lt;($BC$3-$D22)),AL22,
AND(AL22&gt;0,AL22&gt;($BC$3-$D22)),($BC$3-$D22)),""))</f>
        <v/>
      </c>
      <c r="BL22" s="85" t="str" cm="1">
        <f t="array" ref="BL22">IF($C22&lt;&gt;"Production","",IFERROR(
_xlfn.IFS(AND(AM22&gt;0,AM22&lt;($BC$3-$D22)),AM22,
AND(AM22&gt;0,AM22&gt;($BC$3-$D22)),($BC$3-$D22)),""))</f>
        <v/>
      </c>
      <c r="BM22" s="85">
        <f t="shared" si="47"/>
        <v>0</v>
      </c>
      <c r="BN22" s="81"/>
      <c r="BO22" s="85" t="str" cm="1">
        <f t="array" ref="BO22">IF($C22="Production","",IFERROR(
_xlfn.IFS(AND(AO22&gt;0,AO22&lt;($BC$3-$D22)),AO22,
AND(AO22&gt;0,AO22&gt;($BC$3-$D22)),($BC$3-$D22)),""))</f>
        <v/>
      </c>
      <c r="BP22" s="85" t="str" cm="1">
        <f t="array" ref="BP22">IF($C22="Production","",IFERROR(
_xlfn.IFS(AND(AP22&gt;0,AP22&lt;($BC$3-$D22)),AP22,
AND(AP22&gt;0,AP22&gt;($BC$3-$D22)),($BC$3-$D22)),""))</f>
        <v/>
      </c>
      <c r="BQ22" s="85" t="str" cm="1">
        <f t="array" ref="BQ22">IF($C22="Production","",IFERROR(
_xlfn.IFS(AND(AQ22&gt;0,AQ22&lt;($BC$3-$D22)),AQ22,
AND(AQ22&gt;0,AQ22&gt;($BC$3-$D22)),($BC$3-$D22)),""))</f>
        <v/>
      </c>
      <c r="BR22" s="85" t="str" cm="1">
        <f t="array" ref="BR22">IF($C22="Production","",IFERROR(
_xlfn.IFS(AND(AR22&gt;0,AR22&lt;($BC$3-$D22)),AR22,
AND(AR22&gt;0,AR22&gt;($BC$3-$D22)),($BC$3-$D22)),""))</f>
        <v/>
      </c>
      <c r="BS22" s="85" t="str" cm="1">
        <f t="array" ref="BS22">IF($C22="Production","",IFERROR(
_xlfn.IFS(AND(AS22&gt;0,AS22&lt;($BC$3-$D22)),AS22,
AND(AS22&gt;0,AS22&gt;($BC$3-$D22)),($BC$3-$D22)),""))</f>
        <v/>
      </c>
      <c r="BT22" s="85" t="str" cm="1">
        <f t="array" ref="BT22">IF($C22="Production","",IFERROR(
_xlfn.IFS(AND(AT22&gt;0,AT22&lt;($BC$3-$D22)),AT22,
AND(AT22&gt;0,AT22&gt;($BC$3-$D22)),($BC$3-$D22)),""))</f>
        <v/>
      </c>
      <c r="BU22" s="85" t="str" cm="1">
        <f t="array" ref="BU22">IF($C22="Production","",IFERROR(
_xlfn.IFS(AND(AU22&gt;0,AU22&lt;($BC$3-$D22)),AU22,
AND(AU22&gt;0,AU22&gt;($BC$3-$D22)),($BC$3-$D22)),""))</f>
        <v/>
      </c>
      <c r="BV22" s="85" t="str" cm="1">
        <f t="array" ref="BV22">IF($C22="Production","",IFERROR(
_xlfn.IFS(AND(AV22&gt;0,AV22&lt;($BC$3-$D22)),AV22,
AND(AV22&gt;0,AV22&gt;($BC$3-$D22)),($BC$3-$D22)),""))</f>
        <v/>
      </c>
      <c r="BW22" s="85" t="str" cm="1">
        <f t="array" ref="BW22">IF($C22="Production","",IFERROR(
_xlfn.IFS(AND(AW22&gt;0,AW22&lt;($BC$3-$D22)),AW22,
AND(AW22&gt;0,AW22&gt;($BC$3-$D22)),($BC$3-$D22)),""))</f>
        <v/>
      </c>
      <c r="BX22" s="85" t="str" cm="1">
        <f t="array" ref="BX22">IF($C22="Production","",IFERROR(
_xlfn.IFS(AND(AX22&gt;0,AX22&lt;($BC$3-$D22)),AX22,
AND(AX22&gt;0,AX22&gt;($BC$3-$D22)),($BC$3-$D22)),""))</f>
        <v/>
      </c>
      <c r="BY22" s="85" t="str" cm="1">
        <f t="array" ref="BY22">IF($C22="Production","",IFERROR(
_xlfn.IFS(AND(AY22&gt;0,AY22&lt;($BC$3-$D22)),AY22,
AND(AY22&gt;0,AY22&gt;($BC$3-$D22)),($BC$3-$D22)),""))</f>
        <v/>
      </c>
      <c r="BZ22" s="85">
        <f t="shared" si="48"/>
        <v>0</v>
      </c>
      <c r="CA22" s="81"/>
      <c r="CB22" s="85" t="str">
        <f t="shared" si="49"/>
        <v/>
      </c>
      <c r="CC22" s="85" t="str">
        <f t="shared" si="16"/>
        <v/>
      </c>
      <c r="CD22" s="85" t="str">
        <f t="shared" si="17"/>
        <v/>
      </c>
      <c r="CE22" s="85" t="str">
        <f t="shared" si="18"/>
        <v/>
      </c>
      <c r="CF22" s="85" t="str">
        <f t="shared" si="19"/>
        <v/>
      </c>
      <c r="CG22" s="85" t="str">
        <f t="shared" si="20"/>
        <v/>
      </c>
      <c r="CH22" s="85" t="str">
        <f t="shared" si="21"/>
        <v/>
      </c>
      <c r="CI22" s="85" t="str">
        <f t="shared" si="22"/>
        <v/>
      </c>
      <c r="CJ22" s="85" t="str">
        <f t="shared" si="23"/>
        <v/>
      </c>
      <c r="CK22" s="85" t="str">
        <f t="shared" si="24"/>
        <v/>
      </c>
      <c r="CL22" s="85" t="str">
        <f t="shared" si="25"/>
        <v/>
      </c>
      <c r="CM22" s="85">
        <f t="shared" si="50"/>
        <v>0</v>
      </c>
      <c r="CO22" s="80" t="str">
        <f t="shared" si="51"/>
        <v/>
      </c>
      <c r="CP22" s="80" t="str">
        <f t="shared" si="52"/>
        <v/>
      </c>
      <c r="CQ22" s="80" t="str">
        <f t="shared" si="53"/>
        <v/>
      </c>
      <c r="CR22" s="80" t="str">
        <f t="shared" si="54"/>
        <v/>
      </c>
      <c r="CS22" s="80" t="str">
        <f t="shared" si="55"/>
        <v/>
      </c>
      <c r="CT22" s="80" t="str">
        <f t="shared" si="56"/>
        <v/>
      </c>
      <c r="CU22" s="80" t="str">
        <f t="shared" si="57"/>
        <v/>
      </c>
      <c r="CV22" s="80" t="str">
        <f t="shared" si="58"/>
        <v/>
      </c>
      <c r="CW22" s="80" t="str">
        <f t="shared" si="59"/>
        <v/>
      </c>
      <c r="CX22" s="80" t="str">
        <f t="shared" si="60"/>
        <v/>
      </c>
      <c r="CY22" s="80" t="str">
        <f t="shared" si="61"/>
        <v/>
      </c>
      <c r="CZ22" s="80">
        <f t="shared" si="62"/>
        <v>0</v>
      </c>
      <c r="DB22" s="80">
        <f t="shared" si="63"/>
        <v>0</v>
      </c>
      <c r="DC22" s="80">
        <f t="shared" si="64"/>
        <v>0</v>
      </c>
      <c r="DD22" s="80">
        <f t="shared" si="65"/>
        <v>0</v>
      </c>
      <c r="DE22" s="80">
        <f t="shared" si="66"/>
        <v>-33</v>
      </c>
      <c r="DF22" s="80">
        <f t="shared" si="67"/>
        <v>-33</v>
      </c>
    </row>
    <row r="23" spans="2:110" x14ac:dyDescent="0.15">
      <c r="B23" s="83" t="str">
        <f>'MODU 2025'!B26</f>
        <v>GOYON Marie Christine</v>
      </c>
      <c r="C23" s="83" t="str">
        <f>'MODU 2025'!C26</f>
        <v>Production</v>
      </c>
      <c r="D23" s="83">
        <f>'MODU 2025'!D26</f>
        <v>37</v>
      </c>
      <c r="E23" s="83">
        <f>'MODU 2025'!G26</f>
        <v>38</v>
      </c>
      <c r="F23" s="83">
        <f>'MODU 2025'!H26</f>
        <v>33</v>
      </c>
      <c r="G23" s="83">
        <f>'MODU 2025'!I26</f>
        <v>41</v>
      </c>
      <c r="H23" s="83">
        <f>'MODU 2025'!J26</f>
        <v>33</v>
      </c>
      <c r="I23" s="83">
        <f>'MODU 2025'!K26</f>
        <v>41</v>
      </c>
      <c r="J23" s="83">
        <f>'MODU 2025'!L26</f>
        <v>33</v>
      </c>
      <c r="K23" s="83">
        <f>'MODU 2025'!M26</f>
        <v>41</v>
      </c>
      <c r="L23" s="83">
        <f>'MODU 2025'!N26</f>
        <v>33</v>
      </c>
      <c r="M23" s="83">
        <f>'MODU 2025'!O26</f>
        <v>41</v>
      </c>
      <c r="N23" s="83">
        <f>'MODU 2025'!P26</f>
        <v>33</v>
      </c>
      <c r="O23" s="83">
        <f>'MODU 2025'!Q26</f>
        <v>41</v>
      </c>
      <c r="P23" s="85"/>
      <c r="Q23" s="85">
        <f>IF(MOD(COLUMN(),2)=0,INDEX(paramètres!$C$4:$C$6,MATCH($C23,paramètres!$B$4:$B$6,0)),INDEX(paramètres!$D$4:$D$6,MATCH($C23,paramètres!$B$4:$B$6,0)))</f>
        <v>41</v>
      </c>
      <c r="R23" s="85">
        <f>IF(MOD(COLUMN(),2)=0,INDEX(paramètres!$C$4:$C$6,MATCH($C23,paramètres!$B$4:$B$6,0)),INDEX(paramètres!$D$4:$D$6,MATCH($C23,paramètres!$B$4:$B$6,0)))</f>
        <v>33</v>
      </c>
      <c r="S23" s="85">
        <f>IF(MOD(COLUMN(),2)=0,INDEX(paramètres!$C$4:$C$6,MATCH($C23,paramètres!$B$4:$B$6,0)),INDEX(paramètres!$D$4:$D$6,MATCH($C23,paramètres!$B$4:$B$6,0)))</f>
        <v>41</v>
      </c>
      <c r="T23" s="85">
        <f>IF(MOD(COLUMN(),2)=0,INDEX(paramètres!$C$4:$C$6,MATCH($C23,paramètres!$B$4:$B$6,0)),INDEX(paramètres!$D$4:$D$6,MATCH($C23,paramètres!$B$4:$B$6,0)))</f>
        <v>33</v>
      </c>
      <c r="U23" s="85">
        <f>IF(MOD(COLUMN(),2)=0,INDEX(paramètres!$C$4:$C$6,MATCH($C23,paramètres!$B$4:$B$6,0)),INDEX(paramètres!$D$4:$D$6,MATCH($C23,paramètres!$B$4:$B$6,0)))</f>
        <v>41</v>
      </c>
      <c r="V23" s="85">
        <f>IF(MOD(COLUMN(),2)=0,INDEX(paramètres!$C$4:$C$6,MATCH($C23,paramètres!$B$4:$B$6,0)),INDEX(paramètres!$D$4:$D$6,MATCH($C23,paramètres!$B$4:$B$6,0)))</f>
        <v>33</v>
      </c>
      <c r="W23" s="85">
        <f>IF(MOD(COLUMN(),2)=0,INDEX(paramètres!$C$4:$C$6,MATCH($C23,paramètres!$B$4:$B$6,0)),INDEX(paramètres!$D$4:$D$6,MATCH($C23,paramètres!$B$4:$B$6,0)))</f>
        <v>41</v>
      </c>
      <c r="X23" s="85">
        <f>IF(MOD(COLUMN(),2)=0,INDEX(paramètres!$C$4:$C$6,MATCH($C23,paramètres!$B$4:$B$6,0)),INDEX(paramètres!$D$4:$D$6,MATCH($C23,paramètres!$B$4:$B$6,0)))</f>
        <v>33</v>
      </c>
      <c r="Y23" s="85">
        <f>IF(MOD(COLUMN(),2)=0,INDEX(paramètres!$C$4:$C$6,MATCH($C23,paramètres!$B$4:$B$6,0)),INDEX(paramètres!$D$4:$D$6,MATCH($C23,paramètres!$B$4:$B$6,0)))</f>
        <v>41</v>
      </c>
      <c r="Z23" s="85">
        <f>IF(MOD(COLUMN(),2)=0,INDEX(paramètres!$C$4:$C$6,MATCH($C23,paramètres!$B$4:$B$6,0)),INDEX(paramètres!$D$4:$D$6,MATCH($C23,paramètres!$B$4:$B$6,0)))</f>
        <v>33</v>
      </c>
      <c r="AA23" s="85">
        <f>IF(MOD(COLUMN(),2)=0,INDEX(paramètres!$C$4:$C$6,MATCH($C23,paramètres!$B$4:$B$6,0)),INDEX(paramètres!$D$4:$D$6,MATCH($C23,paramètres!$B$4:$B$6,0)))</f>
        <v>41</v>
      </c>
      <c r="AB23" s="86"/>
      <c r="AC23" s="85">
        <f t="shared" si="68"/>
        <v>-3</v>
      </c>
      <c r="AD23" s="85">
        <f t="shared" si="26"/>
        <v>0</v>
      </c>
      <c r="AE23" s="85">
        <f t="shared" si="69"/>
        <v>0</v>
      </c>
      <c r="AF23" s="85">
        <f t="shared" si="27"/>
        <v>0</v>
      </c>
      <c r="AG23" s="85">
        <f t="shared" si="28"/>
        <v>0</v>
      </c>
      <c r="AH23" s="85">
        <f t="shared" si="29"/>
        <v>0</v>
      </c>
      <c r="AI23" s="85">
        <f t="shared" si="30"/>
        <v>0</v>
      </c>
      <c r="AJ23" s="85">
        <f t="shared" si="31"/>
        <v>0</v>
      </c>
      <c r="AK23" s="85">
        <f t="shared" si="32"/>
        <v>0</v>
      </c>
      <c r="AL23" s="85">
        <f t="shared" si="33"/>
        <v>0</v>
      </c>
      <c r="AM23" s="85">
        <f t="shared" si="34"/>
        <v>-33</v>
      </c>
      <c r="AN23" s="85"/>
      <c r="AO23" s="85" t="str">
        <f t="shared" si="35"/>
        <v/>
      </c>
      <c r="AP23" s="85" t="str">
        <f t="shared" si="36"/>
        <v/>
      </c>
      <c r="AQ23" s="85" t="str">
        <f t="shared" si="37"/>
        <v/>
      </c>
      <c r="AR23" s="85" t="str">
        <f t="shared" si="38"/>
        <v/>
      </c>
      <c r="AS23" s="85" t="str">
        <f t="shared" si="39"/>
        <v/>
      </c>
      <c r="AT23" s="85" t="str">
        <f t="shared" si="40"/>
        <v/>
      </c>
      <c r="AU23" s="85" t="str">
        <f t="shared" si="41"/>
        <v/>
      </c>
      <c r="AV23" s="85" t="str">
        <f t="shared" si="42"/>
        <v/>
      </c>
      <c r="AW23" s="85" t="str">
        <f t="shared" si="43"/>
        <v/>
      </c>
      <c r="AX23" s="85" t="str">
        <f t="shared" si="44"/>
        <v/>
      </c>
      <c r="AY23" s="85" t="str">
        <f t="shared" si="45"/>
        <v/>
      </c>
      <c r="AZ23" s="85">
        <f t="shared" si="46"/>
        <v>0</v>
      </c>
      <c r="BA23" s="35"/>
      <c r="BB23" s="85" t="str" cm="1">
        <f t="array" ref="BB23">IF($C23&lt;&gt;"Production","",IFERROR(
_xlfn.IFS(AND(AC23&gt;0,AC23&lt;($BC$3-$D23)),AC23,
AND(AC23&gt;0,AC23&gt;($BC$3-$D23)),($BC$3-$D23)),""))</f>
        <v/>
      </c>
      <c r="BC23" s="85" t="str" cm="1">
        <f t="array" ref="BC23">IF($C23&lt;&gt;"Production","",IFERROR(
_xlfn.IFS(AND(AD23&gt;0,AD23&lt;($BC$3-$D23)),AD23,
AND(AD23&gt;0,AD23&gt;($BC$3-$D23)),($BC$3-$D23)),""))</f>
        <v/>
      </c>
      <c r="BD23" s="85" t="str" cm="1">
        <f t="array" ref="BD23">IF($C23&lt;&gt;"Production","",IFERROR(
_xlfn.IFS(AND(AE23&gt;0,AE23&lt;($BC$3-$D23)),AE23,
AND(AE23&gt;0,AE23&gt;($BC$3-$D23)),($BC$3-$D23)),""))</f>
        <v/>
      </c>
      <c r="BE23" s="85" t="str" cm="1">
        <f t="array" ref="BE23">IF($C23&lt;&gt;"Production","",IFERROR(
_xlfn.IFS(AND(AF23&gt;0,AF23&lt;($BC$3-$D23)),AF23,
AND(AF23&gt;0,AF23&gt;($BC$3-$D23)),($BC$3-$D23)),""))</f>
        <v/>
      </c>
      <c r="BF23" s="85" t="str" cm="1">
        <f t="array" ref="BF23">IF($C23&lt;&gt;"Production","",IFERROR(
_xlfn.IFS(AND(AG23&gt;0,AG23&lt;($BC$3-$D23)),AG23,
AND(AG23&gt;0,AG23&gt;($BC$3-$D23)),($BC$3-$D23)),""))</f>
        <v/>
      </c>
      <c r="BG23" s="85" t="str" cm="1">
        <f t="array" ref="BG23">IF($C23&lt;&gt;"Production","",IFERROR(
_xlfn.IFS(AND(AH23&gt;0,AH23&lt;($BC$3-$D23)),AH23,
AND(AH23&gt;0,AH23&gt;($BC$3-$D23)),($BC$3-$D23)),""))</f>
        <v/>
      </c>
      <c r="BH23" s="85" t="str" cm="1">
        <f t="array" ref="BH23">IF($C23&lt;&gt;"Production","",IFERROR(
_xlfn.IFS(AND(AI23&gt;0,AI23&lt;($BC$3-$D23)),AI23,
AND(AI23&gt;0,AI23&gt;($BC$3-$D23)),($BC$3-$D23)),""))</f>
        <v/>
      </c>
      <c r="BI23" s="85" t="str" cm="1">
        <f t="array" ref="BI23">IF($C23&lt;&gt;"Production","",IFERROR(
_xlfn.IFS(AND(AJ23&gt;0,AJ23&lt;($BC$3-$D23)),AJ23,
AND(AJ23&gt;0,AJ23&gt;($BC$3-$D23)),($BC$3-$D23)),""))</f>
        <v/>
      </c>
      <c r="BJ23" s="85" t="str" cm="1">
        <f t="array" ref="BJ23">IF($C23&lt;&gt;"Production","",IFERROR(
_xlfn.IFS(AND(AK23&gt;0,AK23&lt;($BC$3-$D23)),AK23,
AND(AK23&gt;0,AK23&gt;($BC$3-$D23)),($BC$3-$D23)),""))</f>
        <v/>
      </c>
      <c r="BK23" s="85" t="str" cm="1">
        <f t="array" ref="BK23">IF($C23&lt;&gt;"Production","",IFERROR(
_xlfn.IFS(AND(AL23&gt;0,AL23&lt;($BC$3-$D23)),AL23,
AND(AL23&gt;0,AL23&gt;($BC$3-$D23)),($BC$3-$D23)),""))</f>
        <v/>
      </c>
      <c r="BL23" s="85" t="str" cm="1">
        <f t="array" ref="BL23">IF($C23&lt;&gt;"Production","",IFERROR(
_xlfn.IFS(AND(AM23&gt;0,AM23&lt;($BC$3-$D23)),AM23,
AND(AM23&gt;0,AM23&gt;($BC$3-$D23)),($BC$3-$D23)),""))</f>
        <v/>
      </c>
      <c r="BM23" s="85">
        <f t="shared" si="47"/>
        <v>0</v>
      </c>
      <c r="BN23" s="81"/>
      <c r="BO23" s="85" t="str" cm="1">
        <f t="array" ref="BO23">IF($C23="Production","",IFERROR(
_xlfn.IFS(AND(AO23&gt;0,AO23&lt;($BC$3-$D23)),AO23,
AND(AO23&gt;0,AO23&gt;($BC$3-$D23)),($BC$3-$D23)),""))</f>
        <v/>
      </c>
      <c r="BP23" s="85" t="str" cm="1">
        <f t="array" ref="BP23">IF($C23="Production","",IFERROR(
_xlfn.IFS(AND(AP23&gt;0,AP23&lt;($BC$3-$D23)),AP23,
AND(AP23&gt;0,AP23&gt;($BC$3-$D23)),($BC$3-$D23)),""))</f>
        <v/>
      </c>
      <c r="BQ23" s="85" t="str" cm="1">
        <f t="array" ref="BQ23">IF($C23="Production","",IFERROR(
_xlfn.IFS(AND(AQ23&gt;0,AQ23&lt;($BC$3-$D23)),AQ23,
AND(AQ23&gt;0,AQ23&gt;($BC$3-$D23)),($BC$3-$D23)),""))</f>
        <v/>
      </c>
      <c r="BR23" s="85" t="str" cm="1">
        <f t="array" ref="BR23">IF($C23="Production","",IFERROR(
_xlfn.IFS(AND(AR23&gt;0,AR23&lt;($BC$3-$D23)),AR23,
AND(AR23&gt;0,AR23&gt;($BC$3-$D23)),($BC$3-$D23)),""))</f>
        <v/>
      </c>
      <c r="BS23" s="85" t="str" cm="1">
        <f t="array" ref="BS23">IF($C23="Production","",IFERROR(
_xlfn.IFS(AND(AS23&gt;0,AS23&lt;($BC$3-$D23)),AS23,
AND(AS23&gt;0,AS23&gt;($BC$3-$D23)),($BC$3-$D23)),""))</f>
        <v/>
      </c>
      <c r="BT23" s="85" t="str" cm="1">
        <f t="array" ref="BT23">IF($C23="Production","",IFERROR(
_xlfn.IFS(AND(AT23&gt;0,AT23&lt;($BC$3-$D23)),AT23,
AND(AT23&gt;0,AT23&gt;($BC$3-$D23)),($BC$3-$D23)),""))</f>
        <v/>
      </c>
      <c r="BU23" s="85" t="str" cm="1">
        <f t="array" ref="BU23">IF($C23="Production","",IFERROR(
_xlfn.IFS(AND(AU23&gt;0,AU23&lt;($BC$3-$D23)),AU23,
AND(AU23&gt;0,AU23&gt;($BC$3-$D23)),($BC$3-$D23)),""))</f>
        <v/>
      </c>
      <c r="BV23" s="85" t="str" cm="1">
        <f t="array" ref="BV23">IF($C23="Production","",IFERROR(
_xlfn.IFS(AND(AV23&gt;0,AV23&lt;($BC$3-$D23)),AV23,
AND(AV23&gt;0,AV23&gt;($BC$3-$D23)),($BC$3-$D23)),""))</f>
        <v/>
      </c>
      <c r="BW23" s="85" t="str" cm="1">
        <f t="array" ref="BW23">IF($C23="Production","",IFERROR(
_xlfn.IFS(AND(AW23&gt;0,AW23&lt;($BC$3-$D23)),AW23,
AND(AW23&gt;0,AW23&gt;($BC$3-$D23)),($BC$3-$D23)),""))</f>
        <v/>
      </c>
      <c r="BX23" s="85" t="str" cm="1">
        <f t="array" ref="BX23">IF($C23="Production","",IFERROR(
_xlfn.IFS(AND(AX23&gt;0,AX23&lt;($BC$3-$D23)),AX23,
AND(AX23&gt;0,AX23&gt;($BC$3-$D23)),($BC$3-$D23)),""))</f>
        <v/>
      </c>
      <c r="BY23" s="85" t="str" cm="1">
        <f t="array" ref="BY23">IF($C23="Production","",IFERROR(
_xlfn.IFS(AND(AY23&gt;0,AY23&lt;($BC$3-$D23)),AY23,
AND(AY23&gt;0,AY23&gt;($BC$3-$D23)),($BC$3-$D23)),""))</f>
        <v/>
      </c>
      <c r="BZ23" s="85">
        <f t="shared" si="48"/>
        <v>0</v>
      </c>
      <c r="CA23" s="81"/>
      <c r="CB23" s="85" t="str">
        <f t="shared" si="49"/>
        <v/>
      </c>
      <c r="CC23" s="85" t="str">
        <f t="shared" si="16"/>
        <v/>
      </c>
      <c r="CD23" s="85" t="str">
        <f t="shared" si="17"/>
        <v/>
      </c>
      <c r="CE23" s="85" t="str">
        <f t="shared" si="18"/>
        <v/>
      </c>
      <c r="CF23" s="85" t="str">
        <f t="shared" si="19"/>
        <v/>
      </c>
      <c r="CG23" s="85" t="str">
        <f t="shared" si="20"/>
        <v/>
      </c>
      <c r="CH23" s="85" t="str">
        <f t="shared" si="21"/>
        <v/>
      </c>
      <c r="CI23" s="85" t="str">
        <f t="shared" si="22"/>
        <v/>
      </c>
      <c r="CJ23" s="85" t="str">
        <f t="shared" si="23"/>
        <v/>
      </c>
      <c r="CK23" s="85" t="str">
        <f t="shared" si="24"/>
        <v/>
      </c>
      <c r="CL23" s="85" t="str">
        <f t="shared" si="25"/>
        <v/>
      </c>
      <c r="CM23" s="85">
        <f t="shared" si="50"/>
        <v>0</v>
      </c>
      <c r="CO23" s="80" t="str">
        <f t="shared" si="51"/>
        <v/>
      </c>
      <c r="CP23" s="80" t="str">
        <f t="shared" si="52"/>
        <v/>
      </c>
      <c r="CQ23" s="80" t="str">
        <f t="shared" si="53"/>
        <v/>
      </c>
      <c r="CR23" s="80" t="str">
        <f t="shared" si="54"/>
        <v/>
      </c>
      <c r="CS23" s="80" t="str">
        <f t="shared" si="55"/>
        <v/>
      </c>
      <c r="CT23" s="80" t="str">
        <f t="shared" si="56"/>
        <v/>
      </c>
      <c r="CU23" s="80" t="str">
        <f t="shared" si="57"/>
        <v/>
      </c>
      <c r="CV23" s="80" t="str">
        <f t="shared" si="58"/>
        <v/>
      </c>
      <c r="CW23" s="80" t="str">
        <f t="shared" si="59"/>
        <v/>
      </c>
      <c r="CX23" s="80" t="str">
        <f t="shared" si="60"/>
        <v/>
      </c>
      <c r="CY23" s="80" t="str">
        <f t="shared" si="61"/>
        <v/>
      </c>
      <c r="CZ23" s="80">
        <f t="shared" si="62"/>
        <v>0</v>
      </c>
      <c r="DB23" s="80">
        <f t="shared" si="63"/>
        <v>0</v>
      </c>
      <c r="DC23" s="80">
        <f t="shared" si="64"/>
        <v>0</v>
      </c>
      <c r="DD23" s="80">
        <f t="shared" si="65"/>
        <v>0</v>
      </c>
      <c r="DE23" s="80">
        <f t="shared" si="66"/>
        <v>-36</v>
      </c>
      <c r="DF23" s="80">
        <f t="shared" si="67"/>
        <v>-36</v>
      </c>
    </row>
    <row r="24" spans="2:110" x14ac:dyDescent="0.15">
      <c r="B24" s="83" t="str">
        <f>'MODU 2025'!B27</f>
        <v>LECAPITAINE Angélique</v>
      </c>
      <c r="C24" s="83" t="str">
        <f>'MODU 2025'!C27</f>
        <v>Production</v>
      </c>
      <c r="D24" s="83">
        <f>'MODU 2025'!D27</f>
        <v>37</v>
      </c>
      <c r="E24" s="83">
        <f>'MODU 2025'!G27</f>
        <v>41</v>
      </c>
      <c r="F24" s="83">
        <f>'MODU 2025'!H27</f>
        <v>33</v>
      </c>
      <c r="G24" s="83">
        <f>'MODU 2025'!I27</f>
        <v>41</v>
      </c>
      <c r="H24" s="83">
        <f>'MODU 2025'!J27</f>
        <v>33</v>
      </c>
      <c r="I24" s="83">
        <f>'MODU 2025'!K27</f>
        <v>41</v>
      </c>
      <c r="J24" s="83">
        <f>'MODU 2025'!L27</f>
        <v>33</v>
      </c>
      <c r="K24" s="83">
        <f>'MODU 2025'!M27</f>
        <v>41</v>
      </c>
      <c r="L24" s="83">
        <f>'MODU 2025'!N27</f>
        <v>33</v>
      </c>
      <c r="M24" s="83">
        <f>'MODU 2025'!O27</f>
        <v>41</v>
      </c>
      <c r="N24" s="83">
        <f>'MODU 2025'!P27</f>
        <v>33</v>
      </c>
      <c r="O24" s="83">
        <f>'MODU 2025'!Q27</f>
        <v>41</v>
      </c>
      <c r="P24" s="85"/>
      <c r="Q24" s="85">
        <f>IF(MOD(COLUMN(),2)=0,INDEX(paramètres!$C$4:$C$6,MATCH($C24,paramètres!$B$4:$B$6,0)),INDEX(paramètres!$D$4:$D$6,MATCH($C24,paramètres!$B$4:$B$6,0)))</f>
        <v>41</v>
      </c>
      <c r="R24" s="85">
        <f>IF(MOD(COLUMN(),2)=0,INDEX(paramètres!$C$4:$C$6,MATCH($C24,paramètres!$B$4:$B$6,0)),INDEX(paramètres!$D$4:$D$6,MATCH($C24,paramètres!$B$4:$B$6,0)))</f>
        <v>33</v>
      </c>
      <c r="S24" s="85">
        <f>IF(MOD(COLUMN(),2)=0,INDEX(paramètres!$C$4:$C$6,MATCH($C24,paramètres!$B$4:$B$6,0)),INDEX(paramètres!$D$4:$D$6,MATCH($C24,paramètres!$B$4:$B$6,0)))</f>
        <v>41</v>
      </c>
      <c r="T24" s="85">
        <f>IF(MOD(COLUMN(),2)=0,INDEX(paramètres!$C$4:$C$6,MATCH($C24,paramètres!$B$4:$B$6,0)),INDEX(paramètres!$D$4:$D$6,MATCH($C24,paramètres!$B$4:$B$6,0)))</f>
        <v>33</v>
      </c>
      <c r="U24" s="85">
        <f>IF(MOD(COLUMN(),2)=0,INDEX(paramètres!$C$4:$C$6,MATCH($C24,paramètres!$B$4:$B$6,0)),INDEX(paramètres!$D$4:$D$6,MATCH($C24,paramètres!$B$4:$B$6,0)))</f>
        <v>41</v>
      </c>
      <c r="V24" s="85">
        <f>IF(MOD(COLUMN(),2)=0,INDEX(paramètres!$C$4:$C$6,MATCH($C24,paramètres!$B$4:$B$6,0)),INDEX(paramètres!$D$4:$D$6,MATCH($C24,paramètres!$B$4:$B$6,0)))</f>
        <v>33</v>
      </c>
      <c r="W24" s="85">
        <f>IF(MOD(COLUMN(),2)=0,INDEX(paramètres!$C$4:$C$6,MATCH($C24,paramètres!$B$4:$B$6,0)),INDEX(paramètres!$D$4:$D$6,MATCH($C24,paramètres!$B$4:$B$6,0)))</f>
        <v>41</v>
      </c>
      <c r="X24" s="85">
        <f>IF(MOD(COLUMN(),2)=0,INDEX(paramètres!$C$4:$C$6,MATCH($C24,paramètres!$B$4:$B$6,0)),INDEX(paramètres!$D$4:$D$6,MATCH($C24,paramètres!$B$4:$B$6,0)))</f>
        <v>33</v>
      </c>
      <c r="Y24" s="85">
        <f>IF(MOD(COLUMN(),2)=0,INDEX(paramètres!$C$4:$C$6,MATCH($C24,paramètres!$B$4:$B$6,0)),INDEX(paramètres!$D$4:$D$6,MATCH($C24,paramètres!$B$4:$B$6,0)))</f>
        <v>41</v>
      </c>
      <c r="Z24" s="85">
        <f>IF(MOD(COLUMN(),2)=0,INDEX(paramètres!$C$4:$C$6,MATCH($C24,paramètres!$B$4:$B$6,0)),INDEX(paramètres!$D$4:$D$6,MATCH($C24,paramètres!$B$4:$B$6,0)))</f>
        <v>33</v>
      </c>
      <c r="AA24" s="85">
        <f>IF(MOD(COLUMN(),2)=0,INDEX(paramètres!$C$4:$C$6,MATCH($C24,paramètres!$B$4:$B$6,0)),INDEX(paramètres!$D$4:$D$6,MATCH($C24,paramètres!$B$4:$B$6,0)))</f>
        <v>41</v>
      </c>
      <c r="AB24" s="86"/>
      <c r="AC24" s="85">
        <f t="shared" si="68"/>
        <v>0</v>
      </c>
      <c r="AD24" s="85">
        <f t="shared" si="26"/>
        <v>0</v>
      </c>
      <c r="AE24" s="85">
        <f t="shared" si="69"/>
        <v>0</v>
      </c>
      <c r="AF24" s="85">
        <f t="shared" si="27"/>
        <v>0</v>
      </c>
      <c r="AG24" s="85">
        <f t="shared" si="28"/>
        <v>0</v>
      </c>
      <c r="AH24" s="85">
        <f t="shared" si="29"/>
        <v>0</v>
      </c>
      <c r="AI24" s="85">
        <f t="shared" si="30"/>
        <v>0</v>
      </c>
      <c r="AJ24" s="85">
        <f t="shared" si="31"/>
        <v>0</v>
      </c>
      <c r="AK24" s="85">
        <f t="shared" si="32"/>
        <v>0</v>
      </c>
      <c r="AL24" s="85">
        <f t="shared" si="33"/>
        <v>0</v>
      </c>
      <c r="AM24" s="85">
        <f t="shared" si="34"/>
        <v>-33</v>
      </c>
      <c r="AN24" s="85"/>
      <c r="AO24" s="85" t="str">
        <f t="shared" si="35"/>
        <v/>
      </c>
      <c r="AP24" s="85" t="str">
        <f t="shared" si="36"/>
        <v/>
      </c>
      <c r="AQ24" s="85" t="str">
        <f t="shared" si="37"/>
        <v/>
      </c>
      <c r="AR24" s="85" t="str">
        <f t="shared" si="38"/>
        <v/>
      </c>
      <c r="AS24" s="85" t="str">
        <f t="shared" si="39"/>
        <v/>
      </c>
      <c r="AT24" s="85" t="str">
        <f t="shared" si="40"/>
        <v/>
      </c>
      <c r="AU24" s="85" t="str">
        <f t="shared" si="41"/>
        <v/>
      </c>
      <c r="AV24" s="85" t="str">
        <f t="shared" si="42"/>
        <v/>
      </c>
      <c r="AW24" s="85" t="str">
        <f t="shared" si="43"/>
        <v/>
      </c>
      <c r="AX24" s="85" t="str">
        <f t="shared" si="44"/>
        <v/>
      </c>
      <c r="AY24" s="85" t="str">
        <f t="shared" si="45"/>
        <v/>
      </c>
      <c r="AZ24" s="85">
        <f t="shared" si="46"/>
        <v>0</v>
      </c>
      <c r="BA24" s="35"/>
      <c r="BB24" s="85" t="str" cm="1">
        <f t="array" ref="BB24">IF($C24&lt;&gt;"Production","",IFERROR(
_xlfn.IFS(AND(AC24&gt;0,AC24&lt;($BC$3-$D24)),AC24,
AND(AC24&gt;0,AC24&gt;($BC$3-$D24)),($BC$3-$D24)),""))</f>
        <v/>
      </c>
      <c r="BC24" s="85" t="str" cm="1">
        <f t="array" ref="BC24">IF($C24&lt;&gt;"Production","",IFERROR(
_xlfn.IFS(AND(AD24&gt;0,AD24&lt;($BC$3-$D24)),AD24,
AND(AD24&gt;0,AD24&gt;($BC$3-$D24)),($BC$3-$D24)),""))</f>
        <v/>
      </c>
      <c r="BD24" s="85" t="str" cm="1">
        <f t="array" ref="BD24">IF($C24&lt;&gt;"Production","",IFERROR(
_xlfn.IFS(AND(AE24&gt;0,AE24&lt;($BC$3-$D24)),AE24,
AND(AE24&gt;0,AE24&gt;($BC$3-$D24)),($BC$3-$D24)),""))</f>
        <v/>
      </c>
      <c r="BE24" s="85" t="str" cm="1">
        <f t="array" ref="BE24">IF($C24&lt;&gt;"Production","",IFERROR(
_xlfn.IFS(AND(AF24&gt;0,AF24&lt;($BC$3-$D24)),AF24,
AND(AF24&gt;0,AF24&gt;($BC$3-$D24)),($BC$3-$D24)),""))</f>
        <v/>
      </c>
      <c r="BF24" s="85" t="str" cm="1">
        <f t="array" ref="BF24">IF($C24&lt;&gt;"Production","",IFERROR(
_xlfn.IFS(AND(AG24&gt;0,AG24&lt;($BC$3-$D24)),AG24,
AND(AG24&gt;0,AG24&gt;($BC$3-$D24)),($BC$3-$D24)),""))</f>
        <v/>
      </c>
      <c r="BG24" s="85" t="str" cm="1">
        <f t="array" ref="BG24">IF($C24&lt;&gt;"Production","",IFERROR(
_xlfn.IFS(AND(AH24&gt;0,AH24&lt;($BC$3-$D24)),AH24,
AND(AH24&gt;0,AH24&gt;($BC$3-$D24)),($BC$3-$D24)),""))</f>
        <v/>
      </c>
      <c r="BH24" s="85" t="str" cm="1">
        <f t="array" ref="BH24">IF($C24&lt;&gt;"Production","",IFERROR(
_xlfn.IFS(AND(AI24&gt;0,AI24&lt;($BC$3-$D24)),AI24,
AND(AI24&gt;0,AI24&gt;($BC$3-$D24)),($BC$3-$D24)),""))</f>
        <v/>
      </c>
      <c r="BI24" s="85" t="str" cm="1">
        <f t="array" ref="BI24">IF($C24&lt;&gt;"Production","",IFERROR(
_xlfn.IFS(AND(AJ24&gt;0,AJ24&lt;($BC$3-$D24)),AJ24,
AND(AJ24&gt;0,AJ24&gt;($BC$3-$D24)),($BC$3-$D24)),""))</f>
        <v/>
      </c>
      <c r="BJ24" s="85" t="str" cm="1">
        <f t="array" ref="BJ24">IF($C24&lt;&gt;"Production","",IFERROR(
_xlfn.IFS(AND(AK24&gt;0,AK24&lt;($BC$3-$D24)),AK24,
AND(AK24&gt;0,AK24&gt;($BC$3-$D24)),($BC$3-$D24)),""))</f>
        <v/>
      </c>
      <c r="BK24" s="85" t="str" cm="1">
        <f t="array" ref="BK24">IF($C24&lt;&gt;"Production","",IFERROR(
_xlfn.IFS(AND(AL24&gt;0,AL24&lt;($BC$3-$D24)),AL24,
AND(AL24&gt;0,AL24&gt;($BC$3-$D24)),($BC$3-$D24)),""))</f>
        <v/>
      </c>
      <c r="BL24" s="85" t="str" cm="1">
        <f t="array" ref="BL24">IF($C24&lt;&gt;"Production","",IFERROR(
_xlfn.IFS(AND(AM24&gt;0,AM24&lt;($BC$3-$D24)),AM24,
AND(AM24&gt;0,AM24&gt;($BC$3-$D24)),($BC$3-$D24)),""))</f>
        <v/>
      </c>
      <c r="BM24" s="85">
        <f t="shared" si="47"/>
        <v>0</v>
      </c>
      <c r="BN24" s="81"/>
      <c r="BO24" s="85" t="str" cm="1">
        <f t="array" ref="BO24">IF($C24="Production","",IFERROR(
_xlfn.IFS(AND(AO24&gt;0,AO24&lt;($BC$3-$D24)),AO24,
AND(AO24&gt;0,AO24&gt;($BC$3-$D24)),($BC$3-$D24)),""))</f>
        <v/>
      </c>
      <c r="BP24" s="85" t="str" cm="1">
        <f t="array" ref="BP24">IF($C24="Production","",IFERROR(
_xlfn.IFS(AND(AP24&gt;0,AP24&lt;($BC$3-$D24)),AP24,
AND(AP24&gt;0,AP24&gt;($BC$3-$D24)),($BC$3-$D24)),""))</f>
        <v/>
      </c>
      <c r="BQ24" s="85" t="str" cm="1">
        <f t="array" ref="BQ24">IF($C24="Production","",IFERROR(
_xlfn.IFS(AND(AQ24&gt;0,AQ24&lt;($BC$3-$D24)),AQ24,
AND(AQ24&gt;0,AQ24&gt;($BC$3-$D24)),($BC$3-$D24)),""))</f>
        <v/>
      </c>
      <c r="BR24" s="85" t="str" cm="1">
        <f t="array" ref="BR24">IF($C24="Production","",IFERROR(
_xlfn.IFS(AND(AR24&gt;0,AR24&lt;($BC$3-$D24)),AR24,
AND(AR24&gt;0,AR24&gt;($BC$3-$D24)),($BC$3-$D24)),""))</f>
        <v/>
      </c>
      <c r="BS24" s="85" t="str" cm="1">
        <f t="array" ref="BS24">IF($C24="Production","",IFERROR(
_xlfn.IFS(AND(AS24&gt;0,AS24&lt;($BC$3-$D24)),AS24,
AND(AS24&gt;0,AS24&gt;($BC$3-$D24)),($BC$3-$D24)),""))</f>
        <v/>
      </c>
      <c r="BT24" s="85" t="str" cm="1">
        <f t="array" ref="BT24">IF($C24="Production","",IFERROR(
_xlfn.IFS(AND(AT24&gt;0,AT24&lt;($BC$3-$D24)),AT24,
AND(AT24&gt;0,AT24&gt;($BC$3-$D24)),($BC$3-$D24)),""))</f>
        <v/>
      </c>
      <c r="BU24" s="85" t="str" cm="1">
        <f t="array" ref="BU24">IF($C24="Production","",IFERROR(
_xlfn.IFS(AND(AU24&gt;0,AU24&lt;($BC$3-$D24)),AU24,
AND(AU24&gt;0,AU24&gt;($BC$3-$D24)),($BC$3-$D24)),""))</f>
        <v/>
      </c>
      <c r="BV24" s="85" t="str" cm="1">
        <f t="array" ref="BV24">IF($C24="Production","",IFERROR(
_xlfn.IFS(AND(AV24&gt;0,AV24&lt;($BC$3-$D24)),AV24,
AND(AV24&gt;0,AV24&gt;($BC$3-$D24)),($BC$3-$D24)),""))</f>
        <v/>
      </c>
      <c r="BW24" s="85" t="str" cm="1">
        <f t="array" ref="BW24">IF($C24="Production","",IFERROR(
_xlfn.IFS(AND(AW24&gt;0,AW24&lt;($BC$3-$D24)),AW24,
AND(AW24&gt;0,AW24&gt;($BC$3-$D24)),($BC$3-$D24)),""))</f>
        <v/>
      </c>
      <c r="BX24" s="85" t="str" cm="1">
        <f t="array" ref="BX24">IF($C24="Production","",IFERROR(
_xlfn.IFS(AND(AX24&gt;0,AX24&lt;($BC$3-$D24)),AX24,
AND(AX24&gt;0,AX24&gt;($BC$3-$D24)),($BC$3-$D24)),""))</f>
        <v/>
      </c>
      <c r="BY24" s="85" t="str" cm="1">
        <f t="array" ref="BY24">IF($C24="Production","",IFERROR(
_xlfn.IFS(AND(AY24&gt;0,AY24&lt;($BC$3-$D24)),AY24,
AND(AY24&gt;0,AY24&gt;($BC$3-$D24)),($BC$3-$D24)),""))</f>
        <v/>
      </c>
      <c r="BZ24" s="85">
        <f t="shared" si="48"/>
        <v>0</v>
      </c>
      <c r="CA24" s="81"/>
      <c r="CB24" s="85" t="str">
        <f t="shared" si="49"/>
        <v/>
      </c>
      <c r="CC24" s="85" t="str">
        <f t="shared" si="16"/>
        <v/>
      </c>
      <c r="CD24" s="85" t="str">
        <f t="shared" si="17"/>
        <v/>
      </c>
      <c r="CE24" s="85" t="str">
        <f t="shared" si="18"/>
        <v/>
      </c>
      <c r="CF24" s="85" t="str">
        <f t="shared" si="19"/>
        <v/>
      </c>
      <c r="CG24" s="85" t="str">
        <f t="shared" si="20"/>
        <v/>
      </c>
      <c r="CH24" s="85" t="str">
        <f t="shared" si="21"/>
        <v/>
      </c>
      <c r="CI24" s="85" t="str">
        <f t="shared" si="22"/>
        <v/>
      </c>
      <c r="CJ24" s="85" t="str">
        <f t="shared" si="23"/>
        <v/>
      </c>
      <c r="CK24" s="85" t="str">
        <f t="shared" si="24"/>
        <v/>
      </c>
      <c r="CL24" s="85" t="str">
        <f t="shared" si="25"/>
        <v/>
      </c>
      <c r="CM24" s="85">
        <f t="shared" si="50"/>
        <v>0</v>
      </c>
      <c r="CO24" s="80" t="str">
        <f t="shared" si="51"/>
        <v/>
      </c>
      <c r="CP24" s="80" t="str">
        <f t="shared" si="52"/>
        <v/>
      </c>
      <c r="CQ24" s="80" t="str">
        <f t="shared" si="53"/>
        <v/>
      </c>
      <c r="CR24" s="80" t="str">
        <f t="shared" si="54"/>
        <v/>
      </c>
      <c r="CS24" s="80" t="str">
        <f t="shared" si="55"/>
        <v/>
      </c>
      <c r="CT24" s="80" t="str">
        <f t="shared" si="56"/>
        <v/>
      </c>
      <c r="CU24" s="80" t="str">
        <f t="shared" si="57"/>
        <v/>
      </c>
      <c r="CV24" s="80" t="str">
        <f t="shared" si="58"/>
        <v/>
      </c>
      <c r="CW24" s="80" t="str">
        <f t="shared" si="59"/>
        <v/>
      </c>
      <c r="CX24" s="80" t="str">
        <f t="shared" si="60"/>
        <v/>
      </c>
      <c r="CY24" s="80" t="str">
        <f t="shared" si="61"/>
        <v/>
      </c>
      <c r="CZ24" s="80">
        <f t="shared" si="62"/>
        <v>0</v>
      </c>
      <c r="DB24" s="80">
        <f t="shared" si="63"/>
        <v>0</v>
      </c>
      <c r="DC24" s="80">
        <f t="shared" si="64"/>
        <v>0</v>
      </c>
      <c r="DD24" s="80">
        <f t="shared" si="65"/>
        <v>0</v>
      </c>
      <c r="DE24" s="80">
        <f t="shared" si="66"/>
        <v>-33</v>
      </c>
      <c r="DF24" s="80">
        <f t="shared" si="67"/>
        <v>-33</v>
      </c>
    </row>
    <row r="25" spans="2:110" x14ac:dyDescent="0.15">
      <c r="B25" s="83" t="str">
        <f>'MODU 2025'!B28</f>
        <v>LEMOINE Anthony</v>
      </c>
      <c r="C25" s="83" t="str">
        <f>'MODU 2025'!C28</f>
        <v>Production</v>
      </c>
      <c r="D25" s="83">
        <f>'MODU 2025'!D28</f>
        <v>37</v>
      </c>
      <c r="E25" s="83">
        <f>'MODU 2025'!G28</f>
        <v>33</v>
      </c>
      <c r="F25" s="83">
        <f>'MODU 2025'!H28</f>
        <v>39.5</v>
      </c>
      <c r="G25" s="83">
        <f>'MODU 2025'!I28</f>
        <v>33</v>
      </c>
      <c r="H25" s="83">
        <f>'MODU 2025'!J28</f>
        <v>41</v>
      </c>
      <c r="I25" s="83">
        <f>'MODU 2025'!K28</f>
        <v>33</v>
      </c>
      <c r="J25" s="83">
        <f>'MODU 2025'!L28</f>
        <v>41</v>
      </c>
      <c r="K25" s="83">
        <f>'MODU 2025'!M28</f>
        <v>33</v>
      </c>
      <c r="L25" s="83">
        <f>'MODU 2025'!N28</f>
        <v>41</v>
      </c>
      <c r="M25" s="83">
        <f>'MODU 2025'!O28</f>
        <v>33</v>
      </c>
      <c r="N25" s="83">
        <f>'MODU 2025'!P28</f>
        <v>41</v>
      </c>
      <c r="O25" s="83">
        <f>'MODU 2025'!Q28</f>
        <v>33</v>
      </c>
      <c r="P25" s="85"/>
      <c r="Q25" s="85">
        <f>IF(MOD(COLUMN(),2)=0,INDEX(paramètres!$C$4:$C$6,MATCH($C25,paramètres!$B$4:$B$6,0)),INDEX(paramètres!$D$4:$D$6,MATCH($C25,paramètres!$B$4:$B$6,0)))</f>
        <v>41</v>
      </c>
      <c r="R25" s="85">
        <f>IF(MOD(COLUMN(),2)=0,INDEX(paramètres!$C$4:$C$6,MATCH($C25,paramètres!$B$4:$B$6,0)),INDEX(paramètres!$D$4:$D$6,MATCH($C25,paramètres!$B$4:$B$6,0)))</f>
        <v>33</v>
      </c>
      <c r="S25" s="85">
        <f>IF(MOD(COLUMN(),2)=0,INDEX(paramètres!$C$4:$C$6,MATCH($C25,paramètres!$B$4:$B$6,0)),INDEX(paramètres!$D$4:$D$6,MATCH($C25,paramètres!$B$4:$B$6,0)))</f>
        <v>41</v>
      </c>
      <c r="T25" s="85">
        <f>IF(MOD(COLUMN(),2)=0,INDEX(paramètres!$C$4:$C$6,MATCH($C25,paramètres!$B$4:$B$6,0)),INDEX(paramètres!$D$4:$D$6,MATCH($C25,paramètres!$B$4:$B$6,0)))</f>
        <v>33</v>
      </c>
      <c r="U25" s="85">
        <f>IF(MOD(COLUMN(),2)=0,INDEX(paramètres!$C$4:$C$6,MATCH($C25,paramètres!$B$4:$B$6,0)),INDEX(paramètres!$D$4:$D$6,MATCH($C25,paramètres!$B$4:$B$6,0)))</f>
        <v>41</v>
      </c>
      <c r="V25" s="85">
        <f>IF(MOD(COLUMN(),2)=0,INDEX(paramètres!$C$4:$C$6,MATCH($C25,paramètres!$B$4:$B$6,0)),INDEX(paramètres!$D$4:$D$6,MATCH($C25,paramètres!$B$4:$B$6,0)))</f>
        <v>33</v>
      </c>
      <c r="W25" s="85">
        <f>IF(MOD(COLUMN(),2)=0,INDEX(paramètres!$C$4:$C$6,MATCH($C25,paramètres!$B$4:$B$6,0)),INDEX(paramètres!$D$4:$D$6,MATCH($C25,paramètres!$B$4:$B$6,0)))</f>
        <v>41</v>
      </c>
      <c r="X25" s="85">
        <f>IF(MOD(COLUMN(),2)=0,INDEX(paramètres!$C$4:$C$6,MATCH($C25,paramètres!$B$4:$B$6,0)),INDEX(paramètres!$D$4:$D$6,MATCH($C25,paramètres!$B$4:$B$6,0)))</f>
        <v>33</v>
      </c>
      <c r="Y25" s="85">
        <f>IF(MOD(COLUMN(),2)=0,INDEX(paramètres!$C$4:$C$6,MATCH($C25,paramètres!$B$4:$B$6,0)),INDEX(paramètres!$D$4:$D$6,MATCH($C25,paramètres!$B$4:$B$6,0)))</f>
        <v>41</v>
      </c>
      <c r="Z25" s="85">
        <f>IF(MOD(COLUMN(),2)=0,INDEX(paramètres!$C$4:$C$6,MATCH($C25,paramètres!$B$4:$B$6,0)),INDEX(paramètres!$D$4:$D$6,MATCH($C25,paramètres!$B$4:$B$6,0)))</f>
        <v>33</v>
      </c>
      <c r="AA25" s="85">
        <f>IF(MOD(COLUMN(),2)=0,INDEX(paramètres!$C$4:$C$6,MATCH($C25,paramètres!$B$4:$B$6,0)),INDEX(paramètres!$D$4:$D$6,MATCH($C25,paramètres!$B$4:$B$6,0)))</f>
        <v>41</v>
      </c>
      <c r="AB25" s="86"/>
      <c r="AC25" s="85">
        <f t="shared" si="68"/>
        <v>-1.5</v>
      </c>
      <c r="AD25" s="85">
        <f t="shared" si="26"/>
        <v>0</v>
      </c>
      <c r="AE25" s="85">
        <f t="shared" si="69"/>
        <v>0</v>
      </c>
      <c r="AF25" s="85">
        <f t="shared" si="27"/>
        <v>0</v>
      </c>
      <c r="AG25" s="85">
        <f t="shared" si="28"/>
        <v>0</v>
      </c>
      <c r="AH25" s="85">
        <f t="shared" si="29"/>
        <v>0</v>
      </c>
      <c r="AI25" s="85">
        <f t="shared" si="30"/>
        <v>0</v>
      </c>
      <c r="AJ25" s="85">
        <f t="shared" si="31"/>
        <v>0</v>
      </c>
      <c r="AK25" s="85">
        <f t="shared" si="32"/>
        <v>0</v>
      </c>
      <c r="AL25" s="85">
        <f t="shared" si="33"/>
        <v>0</v>
      </c>
      <c r="AM25" s="85">
        <f t="shared" si="34"/>
        <v>-41</v>
      </c>
      <c r="AN25" s="85"/>
      <c r="AO25" s="85" t="str">
        <f t="shared" si="35"/>
        <v/>
      </c>
      <c r="AP25" s="85" t="str">
        <f t="shared" si="36"/>
        <v/>
      </c>
      <c r="AQ25" s="85" t="str">
        <f t="shared" si="37"/>
        <v/>
      </c>
      <c r="AR25" s="85" t="str">
        <f t="shared" si="38"/>
        <v/>
      </c>
      <c r="AS25" s="85" t="str">
        <f t="shared" si="39"/>
        <v/>
      </c>
      <c r="AT25" s="85" t="str">
        <f t="shared" si="40"/>
        <v/>
      </c>
      <c r="AU25" s="85" t="str">
        <f t="shared" si="41"/>
        <v/>
      </c>
      <c r="AV25" s="85" t="str">
        <f t="shared" si="42"/>
        <v/>
      </c>
      <c r="AW25" s="85" t="str">
        <f t="shared" si="43"/>
        <v/>
      </c>
      <c r="AX25" s="85" t="str">
        <f t="shared" si="44"/>
        <v/>
      </c>
      <c r="AY25" s="85" t="str">
        <f t="shared" si="45"/>
        <v/>
      </c>
      <c r="AZ25" s="85">
        <f t="shared" si="46"/>
        <v>0</v>
      </c>
      <c r="BA25" s="35"/>
      <c r="BB25" s="85" t="str" cm="1">
        <f t="array" ref="BB25">IF($C25&lt;&gt;"Production","",IFERROR(
_xlfn.IFS(AND(AC25&gt;0,AC25&lt;($BC$3-$D25)),AC25,
AND(AC25&gt;0,AC25&gt;($BC$3-$D25)),($BC$3-$D25)),""))</f>
        <v/>
      </c>
      <c r="BC25" s="85" t="str" cm="1">
        <f t="array" ref="BC25">IF($C25&lt;&gt;"Production","",IFERROR(
_xlfn.IFS(AND(AD25&gt;0,AD25&lt;($BC$3-$D25)),AD25,
AND(AD25&gt;0,AD25&gt;($BC$3-$D25)),($BC$3-$D25)),""))</f>
        <v/>
      </c>
      <c r="BD25" s="85" t="str" cm="1">
        <f t="array" ref="BD25">IF($C25&lt;&gt;"Production","",IFERROR(
_xlfn.IFS(AND(AE25&gt;0,AE25&lt;($BC$3-$D25)),AE25,
AND(AE25&gt;0,AE25&gt;($BC$3-$D25)),($BC$3-$D25)),""))</f>
        <v/>
      </c>
      <c r="BE25" s="85" t="str" cm="1">
        <f t="array" ref="BE25">IF($C25&lt;&gt;"Production","",IFERROR(
_xlfn.IFS(AND(AF25&gt;0,AF25&lt;($BC$3-$D25)),AF25,
AND(AF25&gt;0,AF25&gt;($BC$3-$D25)),($BC$3-$D25)),""))</f>
        <v/>
      </c>
      <c r="BF25" s="85" t="str" cm="1">
        <f t="array" ref="BF25">IF($C25&lt;&gt;"Production","",IFERROR(
_xlfn.IFS(AND(AG25&gt;0,AG25&lt;($BC$3-$D25)),AG25,
AND(AG25&gt;0,AG25&gt;($BC$3-$D25)),($BC$3-$D25)),""))</f>
        <v/>
      </c>
      <c r="BG25" s="85" t="str" cm="1">
        <f t="array" ref="BG25">IF($C25&lt;&gt;"Production","",IFERROR(
_xlfn.IFS(AND(AH25&gt;0,AH25&lt;($BC$3-$D25)),AH25,
AND(AH25&gt;0,AH25&gt;($BC$3-$D25)),($BC$3-$D25)),""))</f>
        <v/>
      </c>
      <c r="BH25" s="85" t="str" cm="1">
        <f t="array" ref="BH25">IF($C25&lt;&gt;"Production","",IFERROR(
_xlfn.IFS(AND(AI25&gt;0,AI25&lt;($BC$3-$D25)),AI25,
AND(AI25&gt;0,AI25&gt;($BC$3-$D25)),($BC$3-$D25)),""))</f>
        <v/>
      </c>
      <c r="BI25" s="85" t="str" cm="1">
        <f t="array" ref="BI25">IF($C25&lt;&gt;"Production","",IFERROR(
_xlfn.IFS(AND(AJ25&gt;0,AJ25&lt;($BC$3-$D25)),AJ25,
AND(AJ25&gt;0,AJ25&gt;($BC$3-$D25)),($BC$3-$D25)),""))</f>
        <v/>
      </c>
      <c r="BJ25" s="85" t="str" cm="1">
        <f t="array" ref="BJ25">IF($C25&lt;&gt;"Production","",IFERROR(
_xlfn.IFS(AND(AK25&gt;0,AK25&lt;($BC$3-$D25)),AK25,
AND(AK25&gt;0,AK25&gt;($BC$3-$D25)),($BC$3-$D25)),""))</f>
        <v/>
      </c>
      <c r="BK25" s="85" t="str" cm="1">
        <f t="array" ref="BK25">IF($C25&lt;&gt;"Production","",IFERROR(
_xlfn.IFS(AND(AL25&gt;0,AL25&lt;($BC$3-$D25)),AL25,
AND(AL25&gt;0,AL25&gt;($BC$3-$D25)),($BC$3-$D25)),""))</f>
        <v/>
      </c>
      <c r="BL25" s="85" t="str" cm="1">
        <f t="array" ref="BL25">IF($C25&lt;&gt;"Production","",IFERROR(
_xlfn.IFS(AND(AM25&gt;0,AM25&lt;($BC$3-$D25)),AM25,
AND(AM25&gt;0,AM25&gt;($BC$3-$D25)),($BC$3-$D25)),""))</f>
        <v/>
      </c>
      <c r="BM25" s="85">
        <f t="shared" si="47"/>
        <v>0</v>
      </c>
      <c r="BN25" s="81"/>
      <c r="BO25" s="85" t="str" cm="1">
        <f t="array" ref="BO25">IF($C25="Production","",IFERROR(
_xlfn.IFS(AND(AO25&gt;0,AO25&lt;($BC$3-$D25)),AO25,
AND(AO25&gt;0,AO25&gt;($BC$3-$D25)),($BC$3-$D25)),""))</f>
        <v/>
      </c>
      <c r="BP25" s="85" t="str" cm="1">
        <f t="array" ref="BP25">IF($C25="Production","",IFERROR(
_xlfn.IFS(AND(AP25&gt;0,AP25&lt;($BC$3-$D25)),AP25,
AND(AP25&gt;0,AP25&gt;($BC$3-$D25)),($BC$3-$D25)),""))</f>
        <v/>
      </c>
      <c r="BQ25" s="85" t="str" cm="1">
        <f t="array" ref="BQ25">IF($C25="Production","",IFERROR(
_xlfn.IFS(AND(AQ25&gt;0,AQ25&lt;($BC$3-$D25)),AQ25,
AND(AQ25&gt;0,AQ25&gt;($BC$3-$D25)),($BC$3-$D25)),""))</f>
        <v/>
      </c>
      <c r="BR25" s="85" t="str" cm="1">
        <f t="array" ref="BR25">IF($C25="Production","",IFERROR(
_xlfn.IFS(AND(AR25&gt;0,AR25&lt;($BC$3-$D25)),AR25,
AND(AR25&gt;0,AR25&gt;($BC$3-$D25)),($BC$3-$D25)),""))</f>
        <v/>
      </c>
      <c r="BS25" s="85" t="str" cm="1">
        <f t="array" ref="BS25">IF($C25="Production","",IFERROR(
_xlfn.IFS(AND(AS25&gt;0,AS25&lt;($BC$3-$D25)),AS25,
AND(AS25&gt;0,AS25&gt;($BC$3-$D25)),($BC$3-$D25)),""))</f>
        <v/>
      </c>
      <c r="BT25" s="85" t="str" cm="1">
        <f t="array" ref="BT25">IF($C25="Production","",IFERROR(
_xlfn.IFS(AND(AT25&gt;0,AT25&lt;($BC$3-$D25)),AT25,
AND(AT25&gt;0,AT25&gt;($BC$3-$D25)),($BC$3-$D25)),""))</f>
        <v/>
      </c>
      <c r="BU25" s="85" t="str" cm="1">
        <f t="array" ref="BU25">IF($C25="Production","",IFERROR(
_xlfn.IFS(AND(AU25&gt;0,AU25&lt;($BC$3-$D25)),AU25,
AND(AU25&gt;0,AU25&gt;($BC$3-$D25)),($BC$3-$D25)),""))</f>
        <v/>
      </c>
      <c r="BV25" s="85" t="str" cm="1">
        <f t="array" ref="BV25">IF($C25="Production","",IFERROR(
_xlfn.IFS(AND(AV25&gt;0,AV25&lt;($BC$3-$D25)),AV25,
AND(AV25&gt;0,AV25&gt;($BC$3-$D25)),($BC$3-$D25)),""))</f>
        <v/>
      </c>
      <c r="BW25" s="85" t="str" cm="1">
        <f t="array" ref="BW25">IF($C25="Production","",IFERROR(
_xlfn.IFS(AND(AW25&gt;0,AW25&lt;($BC$3-$D25)),AW25,
AND(AW25&gt;0,AW25&gt;($BC$3-$D25)),($BC$3-$D25)),""))</f>
        <v/>
      </c>
      <c r="BX25" s="85" t="str" cm="1">
        <f t="array" ref="BX25">IF($C25="Production","",IFERROR(
_xlfn.IFS(AND(AX25&gt;0,AX25&lt;($BC$3-$D25)),AX25,
AND(AX25&gt;0,AX25&gt;($BC$3-$D25)),($BC$3-$D25)),""))</f>
        <v/>
      </c>
      <c r="BY25" s="85" t="str" cm="1">
        <f t="array" ref="BY25">IF($C25="Production","",IFERROR(
_xlfn.IFS(AND(AY25&gt;0,AY25&lt;($BC$3-$D25)),AY25,
AND(AY25&gt;0,AY25&gt;($BC$3-$D25)),($BC$3-$D25)),""))</f>
        <v/>
      </c>
      <c r="BZ25" s="85">
        <f t="shared" si="48"/>
        <v>0</v>
      </c>
      <c r="CA25" s="81"/>
      <c r="CB25" s="85" t="str">
        <f t="shared" si="49"/>
        <v/>
      </c>
      <c r="CC25" s="85" t="str">
        <f t="shared" si="16"/>
        <v/>
      </c>
      <c r="CD25" s="85" t="str">
        <f t="shared" si="17"/>
        <v/>
      </c>
      <c r="CE25" s="85" t="str">
        <f t="shared" si="18"/>
        <v/>
      </c>
      <c r="CF25" s="85" t="str">
        <f t="shared" si="19"/>
        <v/>
      </c>
      <c r="CG25" s="85" t="str">
        <f t="shared" si="20"/>
        <v/>
      </c>
      <c r="CH25" s="85" t="str">
        <f t="shared" si="21"/>
        <v/>
      </c>
      <c r="CI25" s="85" t="str">
        <f t="shared" si="22"/>
        <v/>
      </c>
      <c r="CJ25" s="85" t="str">
        <f t="shared" si="23"/>
        <v/>
      </c>
      <c r="CK25" s="85" t="str">
        <f t="shared" si="24"/>
        <v/>
      </c>
      <c r="CL25" s="85" t="str">
        <f t="shared" si="25"/>
        <v/>
      </c>
      <c r="CM25" s="85">
        <f t="shared" si="50"/>
        <v>0</v>
      </c>
      <c r="CO25" s="80" t="str">
        <f t="shared" si="51"/>
        <v/>
      </c>
      <c r="CP25" s="80" t="str">
        <f t="shared" si="52"/>
        <v/>
      </c>
      <c r="CQ25" s="80" t="str">
        <f t="shared" si="53"/>
        <v/>
      </c>
      <c r="CR25" s="80" t="str">
        <f t="shared" si="54"/>
        <v/>
      </c>
      <c r="CS25" s="80" t="str">
        <f t="shared" si="55"/>
        <v/>
      </c>
      <c r="CT25" s="80" t="str">
        <f t="shared" si="56"/>
        <v/>
      </c>
      <c r="CU25" s="80" t="str">
        <f t="shared" si="57"/>
        <v/>
      </c>
      <c r="CV25" s="80" t="str">
        <f t="shared" si="58"/>
        <v/>
      </c>
      <c r="CW25" s="80" t="str">
        <f t="shared" si="59"/>
        <v/>
      </c>
      <c r="CX25" s="80" t="str">
        <f t="shared" si="60"/>
        <v/>
      </c>
      <c r="CY25" s="80" t="str">
        <f t="shared" si="61"/>
        <v/>
      </c>
      <c r="CZ25" s="80">
        <f t="shared" si="62"/>
        <v>0</v>
      </c>
      <c r="DB25" s="80">
        <f t="shared" si="63"/>
        <v>0</v>
      </c>
      <c r="DC25" s="80">
        <f t="shared" si="64"/>
        <v>0</v>
      </c>
      <c r="DD25" s="80">
        <f t="shared" si="65"/>
        <v>0</v>
      </c>
      <c r="DE25" s="80">
        <f t="shared" si="66"/>
        <v>-42.5</v>
      </c>
      <c r="DF25" s="80">
        <f t="shared" si="67"/>
        <v>-42.5</v>
      </c>
    </row>
    <row r="26" spans="2:110" x14ac:dyDescent="0.15">
      <c r="B26" s="83" t="str">
        <f>'MODU 2025'!B29</f>
        <v>LION Sylvie</v>
      </c>
      <c r="C26" s="83" t="str">
        <f>'MODU 2025'!C29</f>
        <v>Production</v>
      </c>
      <c r="D26" s="83">
        <f>'MODU 2025'!D29</f>
        <v>37</v>
      </c>
      <c r="E26" s="83">
        <f>'MODU 2025'!G29</f>
        <v>33</v>
      </c>
      <c r="F26" s="83">
        <f>'MODU 2025'!H29</f>
        <v>41</v>
      </c>
      <c r="G26" s="83">
        <f>'MODU 2025'!I29</f>
        <v>33</v>
      </c>
      <c r="H26" s="83">
        <f>'MODU 2025'!J29</f>
        <v>41</v>
      </c>
      <c r="I26" s="83">
        <f>'MODU 2025'!K29</f>
        <v>33</v>
      </c>
      <c r="J26" s="83">
        <f>'MODU 2025'!L29</f>
        <v>41</v>
      </c>
      <c r="K26" s="83">
        <f>'MODU 2025'!M29</f>
        <v>33</v>
      </c>
      <c r="L26" s="83">
        <f>'MODU 2025'!N29</f>
        <v>41</v>
      </c>
      <c r="M26" s="83">
        <f>'MODU 2025'!O29</f>
        <v>33</v>
      </c>
      <c r="N26" s="83">
        <f>'MODU 2025'!P29</f>
        <v>41</v>
      </c>
      <c r="O26" s="83">
        <f>'MODU 2025'!Q29</f>
        <v>33</v>
      </c>
      <c r="P26" s="85"/>
      <c r="Q26" s="85">
        <f>IF(MOD(COLUMN(),2)=0,INDEX(paramètres!$C$4:$C$6,MATCH($C26,paramètres!$B$4:$B$6,0)),INDEX(paramètres!$D$4:$D$6,MATCH($C26,paramètres!$B$4:$B$6,0)))</f>
        <v>41</v>
      </c>
      <c r="R26" s="85">
        <f>IF(MOD(COLUMN(),2)=0,INDEX(paramètres!$C$4:$C$6,MATCH($C26,paramètres!$B$4:$B$6,0)),INDEX(paramètres!$D$4:$D$6,MATCH($C26,paramètres!$B$4:$B$6,0)))</f>
        <v>33</v>
      </c>
      <c r="S26" s="85">
        <f>IF(MOD(COLUMN(),2)=0,INDEX(paramètres!$C$4:$C$6,MATCH($C26,paramètres!$B$4:$B$6,0)),INDEX(paramètres!$D$4:$D$6,MATCH($C26,paramètres!$B$4:$B$6,0)))</f>
        <v>41</v>
      </c>
      <c r="T26" s="85">
        <f>IF(MOD(COLUMN(),2)=0,INDEX(paramètres!$C$4:$C$6,MATCH($C26,paramètres!$B$4:$B$6,0)),INDEX(paramètres!$D$4:$D$6,MATCH($C26,paramètres!$B$4:$B$6,0)))</f>
        <v>33</v>
      </c>
      <c r="U26" s="85">
        <f>IF(MOD(COLUMN(),2)=0,INDEX(paramètres!$C$4:$C$6,MATCH($C26,paramètres!$B$4:$B$6,0)),INDEX(paramètres!$D$4:$D$6,MATCH($C26,paramètres!$B$4:$B$6,0)))</f>
        <v>41</v>
      </c>
      <c r="V26" s="85">
        <f>IF(MOD(COLUMN(),2)=0,INDEX(paramètres!$C$4:$C$6,MATCH($C26,paramètres!$B$4:$B$6,0)),INDEX(paramètres!$D$4:$D$6,MATCH($C26,paramètres!$B$4:$B$6,0)))</f>
        <v>33</v>
      </c>
      <c r="W26" s="85">
        <f>IF(MOD(COLUMN(),2)=0,INDEX(paramètres!$C$4:$C$6,MATCH($C26,paramètres!$B$4:$B$6,0)),INDEX(paramètres!$D$4:$D$6,MATCH($C26,paramètres!$B$4:$B$6,0)))</f>
        <v>41</v>
      </c>
      <c r="X26" s="85">
        <f>IF(MOD(COLUMN(),2)=0,INDEX(paramètres!$C$4:$C$6,MATCH($C26,paramètres!$B$4:$B$6,0)),INDEX(paramètres!$D$4:$D$6,MATCH($C26,paramètres!$B$4:$B$6,0)))</f>
        <v>33</v>
      </c>
      <c r="Y26" s="85">
        <f>IF(MOD(COLUMN(),2)=0,INDEX(paramètres!$C$4:$C$6,MATCH($C26,paramètres!$B$4:$B$6,0)),INDEX(paramètres!$D$4:$D$6,MATCH($C26,paramètres!$B$4:$B$6,0)))</f>
        <v>41</v>
      </c>
      <c r="Z26" s="85">
        <f>IF(MOD(COLUMN(),2)=0,INDEX(paramètres!$C$4:$C$6,MATCH($C26,paramètres!$B$4:$B$6,0)),INDEX(paramètres!$D$4:$D$6,MATCH($C26,paramètres!$B$4:$B$6,0)))</f>
        <v>33</v>
      </c>
      <c r="AA26" s="85">
        <f>IF(MOD(COLUMN(),2)=0,INDEX(paramètres!$C$4:$C$6,MATCH($C26,paramètres!$B$4:$B$6,0)),INDEX(paramètres!$D$4:$D$6,MATCH($C26,paramètres!$B$4:$B$6,0)))</f>
        <v>41</v>
      </c>
      <c r="AB26" s="86"/>
      <c r="AC26" s="85">
        <f t="shared" si="68"/>
        <v>0</v>
      </c>
      <c r="AD26" s="85">
        <f t="shared" si="26"/>
        <v>0</v>
      </c>
      <c r="AE26" s="85">
        <f t="shared" si="69"/>
        <v>0</v>
      </c>
      <c r="AF26" s="85">
        <f t="shared" si="27"/>
        <v>0</v>
      </c>
      <c r="AG26" s="85">
        <f t="shared" si="28"/>
        <v>0</v>
      </c>
      <c r="AH26" s="85">
        <f t="shared" si="29"/>
        <v>0</v>
      </c>
      <c r="AI26" s="85">
        <f t="shared" si="30"/>
        <v>0</v>
      </c>
      <c r="AJ26" s="85">
        <f t="shared" si="31"/>
        <v>0</v>
      </c>
      <c r="AK26" s="85">
        <f t="shared" si="32"/>
        <v>0</v>
      </c>
      <c r="AL26" s="85">
        <f t="shared" si="33"/>
        <v>0</v>
      </c>
      <c r="AM26" s="85">
        <f t="shared" si="34"/>
        <v>-41</v>
      </c>
      <c r="AN26" s="85"/>
      <c r="AO26" s="85" t="str">
        <f t="shared" si="35"/>
        <v/>
      </c>
      <c r="AP26" s="85" t="str">
        <f t="shared" si="36"/>
        <v/>
      </c>
      <c r="AQ26" s="85" t="str">
        <f t="shared" si="37"/>
        <v/>
      </c>
      <c r="AR26" s="85" t="str">
        <f t="shared" si="38"/>
        <v/>
      </c>
      <c r="AS26" s="85" t="str">
        <f t="shared" si="39"/>
        <v/>
      </c>
      <c r="AT26" s="85" t="str">
        <f t="shared" si="40"/>
        <v/>
      </c>
      <c r="AU26" s="85" t="str">
        <f t="shared" si="41"/>
        <v/>
      </c>
      <c r="AV26" s="85" t="str">
        <f t="shared" si="42"/>
        <v/>
      </c>
      <c r="AW26" s="85" t="str">
        <f t="shared" si="43"/>
        <v/>
      </c>
      <c r="AX26" s="85" t="str">
        <f t="shared" si="44"/>
        <v/>
      </c>
      <c r="AY26" s="85" t="str">
        <f t="shared" si="45"/>
        <v/>
      </c>
      <c r="AZ26" s="85">
        <f t="shared" si="46"/>
        <v>0</v>
      </c>
      <c r="BA26" s="35"/>
      <c r="BB26" s="85" t="str" cm="1">
        <f t="array" ref="BB26">IF($C26&lt;&gt;"Production","",IFERROR(
_xlfn.IFS(AND(AC26&gt;0,AC26&lt;($BC$3-$D26)),AC26,
AND(AC26&gt;0,AC26&gt;($BC$3-$D26)),($BC$3-$D26)),""))</f>
        <v/>
      </c>
      <c r="BC26" s="85" t="str" cm="1">
        <f t="array" ref="BC26">IF($C26&lt;&gt;"Production","",IFERROR(
_xlfn.IFS(AND(AD26&gt;0,AD26&lt;($BC$3-$D26)),AD26,
AND(AD26&gt;0,AD26&gt;($BC$3-$D26)),($BC$3-$D26)),""))</f>
        <v/>
      </c>
      <c r="BD26" s="85" t="str" cm="1">
        <f t="array" ref="BD26">IF($C26&lt;&gt;"Production","",IFERROR(
_xlfn.IFS(AND(AE26&gt;0,AE26&lt;($BC$3-$D26)),AE26,
AND(AE26&gt;0,AE26&gt;($BC$3-$D26)),($BC$3-$D26)),""))</f>
        <v/>
      </c>
      <c r="BE26" s="85" t="str" cm="1">
        <f t="array" ref="BE26">IF($C26&lt;&gt;"Production","",IFERROR(
_xlfn.IFS(AND(AF26&gt;0,AF26&lt;($BC$3-$D26)),AF26,
AND(AF26&gt;0,AF26&gt;($BC$3-$D26)),($BC$3-$D26)),""))</f>
        <v/>
      </c>
      <c r="BF26" s="85" t="str" cm="1">
        <f t="array" ref="BF26">IF($C26&lt;&gt;"Production","",IFERROR(
_xlfn.IFS(AND(AG26&gt;0,AG26&lt;($BC$3-$D26)),AG26,
AND(AG26&gt;0,AG26&gt;($BC$3-$D26)),($BC$3-$D26)),""))</f>
        <v/>
      </c>
      <c r="BG26" s="85" t="str" cm="1">
        <f t="array" ref="BG26">IF($C26&lt;&gt;"Production","",IFERROR(
_xlfn.IFS(AND(AH26&gt;0,AH26&lt;($BC$3-$D26)),AH26,
AND(AH26&gt;0,AH26&gt;($BC$3-$D26)),($BC$3-$D26)),""))</f>
        <v/>
      </c>
      <c r="BH26" s="85" t="str" cm="1">
        <f t="array" ref="BH26">IF($C26&lt;&gt;"Production","",IFERROR(
_xlfn.IFS(AND(AI26&gt;0,AI26&lt;($BC$3-$D26)),AI26,
AND(AI26&gt;0,AI26&gt;($BC$3-$D26)),($BC$3-$D26)),""))</f>
        <v/>
      </c>
      <c r="BI26" s="85" t="str" cm="1">
        <f t="array" ref="BI26">IF($C26&lt;&gt;"Production","",IFERROR(
_xlfn.IFS(AND(AJ26&gt;0,AJ26&lt;($BC$3-$D26)),AJ26,
AND(AJ26&gt;0,AJ26&gt;($BC$3-$D26)),($BC$3-$D26)),""))</f>
        <v/>
      </c>
      <c r="BJ26" s="85" t="str" cm="1">
        <f t="array" ref="BJ26">IF($C26&lt;&gt;"Production","",IFERROR(
_xlfn.IFS(AND(AK26&gt;0,AK26&lt;($BC$3-$D26)),AK26,
AND(AK26&gt;0,AK26&gt;($BC$3-$D26)),($BC$3-$D26)),""))</f>
        <v/>
      </c>
      <c r="BK26" s="85" t="str" cm="1">
        <f t="array" ref="BK26">IF($C26&lt;&gt;"Production","",IFERROR(
_xlfn.IFS(AND(AL26&gt;0,AL26&lt;($BC$3-$D26)),AL26,
AND(AL26&gt;0,AL26&gt;($BC$3-$D26)),($BC$3-$D26)),""))</f>
        <v/>
      </c>
      <c r="BL26" s="85" t="str" cm="1">
        <f t="array" ref="BL26">IF($C26&lt;&gt;"Production","",IFERROR(
_xlfn.IFS(AND(AM26&gt;0,AM26&lt;($BC$3-$D26)),AM26,
AND(AM26&gt;0,AM26&gt;($BC$3-$D26)),($BC$3-$D26)),""))</f>
        <v/>
      </c>
      <c r="BM26" s="85">
        <f t="shared" si="47"/>
        <v>0</v>
      </c>
      <c r="BN26" s="81"/>
      <c r="BO26" s="85" t="str" cm="1">
        <f t="array" ref="BO26">IF($C26="Production","",IFERROR(
_xlfn.IFS(AND(AO26&gt;0,AO26&lt;($BC$3-$D26)),AO26,
AND(AO26&gt;0,AO26&gt;($BC$3-$D26)),($BC$3-$D26)),""))</f>
        <v/>
      </c>
      <c r="BP26" s="85" t="str" cm="1">
        <f t="array" ref="BP26">IF($C26="Production","",IFERROR(
_xlfn.IFS(AND(AP26&gt;0,AP26&lt;($BC$3-$D26)),AP26,
AND(AP26&gt;0,AP26&gt;($BC$3-$D26)),($BC$3-$D26)),""))</f>
        <v/>
      </c>
      <c r="BQ26" s="85" t="str" cm="1">
        <f t="array" ref="BQ26">IF($C26="Production","",IFERROR(
_xlfn.IFS(AND(AQ26&gt;0,AQ26&lt;($BC$3-$D26)),AQ26,
AND(AQ26&gt;0,AQ26&gt;($BC$3-$D26)),($BC$3-$D26)),""))</f>
        <v/>
      </c>
      <c r="BR26" s="85" t="str" cm="1">
        <f t="array" ref="BR26">IF($C26="Production","",IFERROR(
_xlfn.IFS(AND(AR26&gt;0,AR26&lt;($BC$3-$D26)),AR26,
AND(AR26&gt;0,AR26&gt;($BC$3-$D26)),($BC$3-$D26)),""))</f>
        <v/>
      </c>
      <c r="BS26" s="85" t="str" cm="1">
        <f t="array" ref="BS26">IF($C26="Production","",IFERROR(
_xlfn.IFS(AND(AS26&gt;0,AS26&lt;($BC$3-$D26)),AS26,
AND(AS26&gt;0,AS26&gt;($BC$3-$D26)),($BC$3-$D26)),""))</f>
        <v/>
      </c>
      <c r="BT26" s="85" t="str" cm="1">
        <f t="array" ref="BT26">IF($C26="Production","",IFERROR(
_xlfn.IFS(AND(AT26&gt;0,AT26&lt;($BC$3-$D26)),AT26,
AND(AT26&gt;0,AT26&gt;($BC$3-$D26)),($BC$3-$D26)),""))</f>
        <v/>
      </c>
      <c r="BU26" s="85" t="str" cm="1">
        <f t="array" ref="BU26">IF($C26="Production","",IFERROR(
_xlfn.IFS(AND(AU26&gt;0,AU26&lt;($BC$3-$D26)),AU26,
AND(AU26&gt;0,AU26&gt;($BC$3-$D26)),($BC$3-$D26)),""))</f>
        <v/>
      </c>
      <c r="BV26" s="85" t="str" cm="1">
        <f t="array" ref="BV26">IF($C26="Production","",IFERROR(
_xlfn.IFS(AND(AV26&gt;0,AV26&lt;($BC$3-$D26)),AV26,
AND(AV26&gt;0,AV26&gt;($BC$3-$D26)),($BC$3-$D26)),""))</f>
        <v/>
      </c>
      <c r="BW26" s="85" t="str" cm="1">
        <f t="array" ref="BW26">IF($C26="Production","",IFERROR(
_xlfn.IFS(AND(AW26&gt;0,AW26&lt;($BC$3-$D26)),AW26,
AND(AW26&gt;0,AW26&gt;($BC$3-$D26)),($BC$3-$D26)),""))</f>
        <v/>
      </c>
      <c r="BX26" s="85" t="str" cm="1">
        <f t="array" ref="BX26">IF($C26="Production","",IFERROR(
_xlfn.IFS(AND(AX26&gt;0,AX26&lt;($BC$3-$D26)),AX26,
AND(AX26&gt;0,AX26&gt;($BC$3-$D26)),($BC$3-$D26)),""))</f>
        <v/>
      </c>
      <c r="BY26" s="85" t="str" cm="1">
        <f t="array" ref="BY26">IF($C26="Production","",IFERROR(
_xlfn.IFS(AND(AY26&gt;0,AY26&lt;($BC$3-$D26)),AY26,
AND(AY26&gt;0,AY26&gt;($BC$3-$D26)),($BC$3-$D26)),""))</f>
        <v/>
      </c>
      <c r="BZ26" s="85">
        <f t="shared" si="48"/>
        <v>0</v>
      </c>
      <c r="CA26" s="81"/>
      <c r="CB26" s="85" t="str">
        <f t="shared" si="49"/>
        <v/>
      </c>
      <c r="CC26" s="85" t="str">
        <f t="shared" si="16"/>
        <v/>
      </c>
      <c r="CD26" s="85" t="str">
        <f t="shared" si="17"/>
        <v/>
      </c>
      <c r="CE26" s="85" t="str">
        <f t="shared" si="18"/>
        <v/>
      </c>
      <c r="CF26" s="85" t="str">
        <f t="shared" si="19"/>
        <v/>
      </c>
      <c r="CG26" s="85" t="str">
        <f t="shared" si="20"/>
        <v/>
      </c>
      <c r="CH26" s="85" t="str">
        <f t="shared" si="21"/>
        <v/>
      </c>
      <c r="CI26" s="85" t="str">
        <f t="shared" si="22"/>
        <v/>
      </c>
      <c r="CJ26" s="85" t="str">
        <f t="shared" si="23"/>
        <v/>
      </c>
      <c r="CK26" s="85" t="str">
        <f t="shared" si="24"/>
        <v/>
      </c>
      <c r="CL26" s="85" t="str">
        <f t="shared" si="25"/>
        <v/>
      </c>
      <c r="CM26" s="85">
        <f t="shared" si="50"/>
        <v>0</v>
      </c>
      <c r="CO26" s="80" t="str">
        <f t="shared" si="51"/>
        <v/>
      </c>
      <c r="CP26" s="80" t="str">
        <f t="shared" si="52"/>
        <v/>
      </c>
      <c r="CQ26" s="80" t="str">
        <f t="shared" si="53"/>
        <v/>
      </c>
      <c r="CR26" s="80" t="str">
        <f t="shared" si="54"/>
        <v/>
      </c>
      <c r="CS26" s="80" t="str">
        <f t="shared" si="55"/>
        <v/>
      </c>
      <c r="CT26" s="80" t="str">
        <f t="shared" si="56"/>
        <v/>
      </c>
      <c r="CU26" s="80" t="str">
        <f t="shared" si="57"/>
        <v/>
      </c>
      <c r="CV26" s="80" t="str">
        <f t="shared" si="58"/>
        <v/>
      </c>
      <c r="CW26" s="80" t="str">
        <f t="shared" si="59"/>
        <v/>
      </c>
      <c r="CX26" s="80" t="str">
        <f t="shared" si="60"/>
        <v/>
      </c>
      <c r="CY26" s="80" t="str">
        <f t="shared" si="61"/>
        <v/>
      </c>
      <c r="CZ26" s="80">
        <f t="shared" si="62"/>
        <v>0</v>
      </c>
      <c r="DB26" s="80">
        <f t="shared" si="63"/>
        <v>0</v>
      </c>
      <c r="DC26" s="80">
        <f t="shared" si="64"/>
        <v>0</v>
      </c>
      <c r="DD26" s="80">
        <f t="shared" si="65"/>
        <v>0</v>
      </c>
      <c r="DE26" s="80">
        <f t="shared" si="66"/>
        <v>-41</v>
      </c>
      <c r="DF26" s="80">
        <f t="shared" si="67"/>
        <v>-41</v>
      </c>
    </row>
    <row r="27" spans="2:110" x14ac:dyDescent="0.15">
      <c r="B27" s="83" t="str">
        <f>'MODU 2025'!B30</f>
        <v>MARZOUGUI Sabri</v>
      </c>
      <c r="C27" s="83" t="str">
        <f>'MODU 2025'!C30</f>
        <v>Production</v>
      </c>
      <c r="D27" s="83">
        <f>'MODU 2025'!D30</f>
        <v>37</v>
      </c>
      <c r="E27" s="83">
        <f>'MODU 2025'!G30</f>
        <v>33</v>
      </c>
      <c r="F27" s="83">
        <f>'MODU 2025'!H30</f>
        <v>41</v>
      </c>
      <c r="G27" s="83">
        <f>'MODU 2025'!I30</f>
        <v>41</v>
      </c>
      <c r="H27" s="83">
        <f>'MODU 2025'!J30</f>
        <v>33</v>
      </c>
      <c r="I27" s="83">
        <f>'MODU 2025'!K30</f>
        <v>41</v>
      </c>
      <c r="J27" s="83">
        <f>'MODU 2025'!L30</f>
        <v>33</v>
      </c>
      <c r="K27" s="83">
        <f>'MODU 2025'!M30</f>
        <v>41</v>
      </c>
      <c r="L27" s="83">
        <f>'MODU 2025'!N30</f>
        <v>33</v>
      </c>
      <c r="M27" s="83">
        <f>'MODU 2025'!O30</f>
        <v>41</v>
      </c>
      <c r="N27" s="83">
        <f>'MODU 2025'!P30</f>
        <v>33</v>
      </c>
      <c r="O27" s="83">
        <f>'MODU 2025'!Q30</f>
        <v>41</v>
      </c>
      <c r="P27" s="85"/>
      <c r="Q27" s="85">
        <f>IF(MOD(COLUMN(),2)=0,INDEX(paramètres!$C$4:$C$6,MATCH($C27,paramètres!$B$4:$B$6,0)),INDEX(paramètres!$D$4:$D$6,MATCH($C27,paramètres!$B$4:$B$6,0)))</f>
        <v>41</v>
      </c>
      <c r="R27" s="85">
        <f>IF(MOD(COLUMN(),2)=0,INDEX(paramètres!$C$4:$C$6,MATCH($C27,paramètres!$B$4:$B$6,0)),INDEX(paramètres!$D$4:$D$6,MATCH($C27,paramètres!$B$4:$B$6,0)))</f>
        <v>33</v>
      </c>
      <c r="S27" s="85">
        <f>IF(MOD(COLUMN(),2)=0,INDEX(paramètres!$C$4:$C$6,MATCH($C27,paramètres!$B$4:$B$6,0)),INDEX(paramètres!$D$4:$D$6,MATCH($C27,paramètres!$B$4:$B$6,0)))</f>
        <v>41</v>
      </c>
      <c r="T27" s="85">
        <f>IF(MOD(COLUMN(),2)=0,INDEX(paramètres!$C$4:$C$6,MATCH($C27,paramètres!$B$4:$B$6,0)),INDEX(paramètres!$D$4:$D$6,MATCH($C27,paramètres!$B$4:$B$6,0)))</f>
        <v>33</v>
      </c>
      <c r="U27" s="85">
        <f>IF(MOD(COLUMN(),2)=0,INDEX(paramètres!$C$4:$C$6,MATCH($C27,paramètres!$B$4:$B$6,0)),INDEX(paramètres!$D$4:$D$6,MATCH($C27,paramètres!$B$4:$B$6,0)))</f>
        <v>41</v>
      </c>
      <c r="V27" s="85">
        <f>IF(MOD(COLUMN(),2)=0,INDEX(paramètres!$C$4:$C$6,MATCH($C27,paramètres!$B$4:$B$6,0)),INDEX(paramètres!$D$4:$D$6,MATCH($C27,paramètres!$B$4:$B$6,0)))</f>
        <v>33</v>
      </c>
      <c r="W27" s="85">
        <f>IF(MOD(COLUMN(),2)=0,INDEX(paramètres!$C$4:$C$6,MATCH($C27,paramètres!$B$4:$B$6,0)),INDEX(paramètres!$D$4:$D$6,MATCH($C27,paramètres!$B$4:$B$6,0)))</f>
        <v>41</v>
      </c>
      <c r="X27" s="85">
        <f>IF(MOD(COLUMN(),2)=0,INDEX(paramètres!$C$4:$C$6,MATCH($C27,paramètres!$B$4:$B$6,0)),INDEX(paramètres!$D$4:$D$6,MATCH($C27,paramètres!$B$4:$B$6,0)))</f>
        <v>33</v>
      </c>
      <c r="Y27" s="85">
        <f>IF(MOD(COLUMN(),2)=0,INDEX(paramètres!$C$4:$C$6,MATCH($C27,paramètres!$B$4:$B$6,0)),INDEX(paramètres!$D$4:$D$6,MATCH($C27,paramètres!$B$4:$B$6,0)))</f>
        <v>41</v>
      </c>
      <c r="Z27" s="85">
        <f>IF(MOD(COLUMN(),2)=0,INDEX(paramètres!$C$4:$C$6,MATCH($C27,paramètres!$B$4:$B$6,0)),INDEX(paramètres!$D$4:$D$6,MATCH($C27,paramètres!$B$4:$B$6,0)))</f>
        <v>33</v>
      </c>
      <c r="AA27" s="85">
        <f>IF(MOD(COLUMN(),2)=0,INDEX(paramètres!$C$4:$C$6,MATCH($C27,paramètres!$B$4:$B$6,0)),INDEX(paramètres!$D$4:$D$6,MATCH($C27,paramètres!$B$4:$B$6,0)))</f>
        <v>41</v>
      </c>
      <c r="AB27" s="86"/>
      <c r="AC27" s="85">
        <f t="shared" si="68"/>
        <v>0</v>
      </c>
      <c r="AD27" s="85">
        <f t="shared" si="26"/>
        <v>0</v>
      </c>
      <c r="AE27" s="85">
        <f t="shared" si="69"/>
        <v>0</v>
      </c>
      <c r="AF27" s="85">
        <f t="shared" si="27"/>
        <v>0</v>
      </c>
      <c r="AG27" s="85">
        <f t="shared" si="28"/>
        <v>0</v>
      </c>
      <c r="AH27" s="85">
        <f t="shared" si="29"/>
        <v>0</v>
      </c>
      <c r="AI27" s="85">
        <f t="shared" si="30"/>
        <v>0</v>
      </c>
      <c r="AJ27" s="85">
        <f t="shared" si="31"/>
        <v>0</v>
      </c>
      <c r="AK27" s="85">
        <f t="shared" si="32"/>
        <v>0</v>
      </c>
      <c r="AL27" s="85">
        <f t="shared" si="33"/>
        <v>0</v>
      </c>
      <c r="AM27" s="85">
        <f t="shared" si="34"/>
        <v>-33</v>
      </c>
      <c r="AN27" s="85"/>
      <c r="AO27" s="85" t="str">
        <f t="shared" si="35"/>
        <v/>
      </c>
      <c r="AP27" s="85" t="str">
        <f t="shared" si="36"/>
        <v/>
      </c>
      <c r="AQ27" s="85" t="str">
        <f t="shared" si="37"/>
        <v/>
      </c>
      <c r="AR27" s="85" t="str">
        <f t="shared" si="38"/>
        <v/>
      </c>
      <c r="AS27" s="85" t="str">
        <f t="shared" si="39"/>
        <v/>
      </c>
      <c r="AT27" s="85" t="str">
        <f t="shared" si="40"/>
        <v/>
      </c>
      <c r="AU27" s="85" t="str">
        <f t="shared" si="41"/>
        <v/>
      </c>
      <c r="AV27" s="85" t="str">
        <f t="shared" si="42"/>
        <v/>
      </c>
      <c r="AW27" s="85" t="str">
        <f t="shared" si="43"/>
        <v/>
      </c>
      <c r="AX27" s="85" t="str">
        <f t="shared" si="44"/>
        <v/>
      </c>
      <c r="AY27" s="85" t="str">
        <f t="shared" si="45"/>
        <v/>
      </c>
      <c r="AZ27" s="85">
        <f t="shared" si="46"/>
        <v>0</v>
      </c>
      <c r="BA27" s="35"/>
      <c r="BB27" s="85" t="str" cm="1">
        <f t="array" ref="BB27">IF($C27&lt;&gt;"Production","",IFERROR(
_xlfn.IFS(AND(AC27&gt;0,AC27&lt;($BC$3-$D27)),AC27,
AND(AC27&gt;0,AC27&gt;($BC$3-$D27)),($BC$3-$D27)),""))</f>
        <v/>
      </c>
      <c r="BC27" s="85" t="str" cm="1">
        <f t="array" ref="BC27">IF($C27&lt;&gt;"Production","",IFERROR(
_xlfn.IFS(AND(AD27&gt;0,AD27&lt;($BC$3-$D27)),AD27,
AND(AD27&gt;0,AD27&gt;($BC$3-$D27)),($BC$3-$D27)),""))</f>
        <v/>
      </c>
      <c r="BD27" s="85" t="str" cm="1">
        <f t="array" ref="BD27">IF($C27&lt;&gt;"Production","",IFERROR(
_xlfn.IFS(AND(AE27&gt;0,AE27&lt;($BC$3-$D27)),AE27,
AND(AE27&gt;0,AE27&gt;($BC$3-$D27)),($BC$3-$D27)),""))</f>
        <v/>
      </c>
      <c r="BE27" s="85" t="str" cm="1">
        <f t="array" ref="BE27">IF($C27&lt;&gt;"Production","",IFERROR(
_xlfn.IFS(AND(AF27&gt;0,AF27&lt;($BC$3-$D27)),AF27,
AND(AF27&gt;0,AF27&gt;($BC$3-$D27)),($BC$3-$D27)),""))</f>
        <v/>
      </c>
      <c r="BF27" s="85" t="str" cm="1">
        <f t="array" ref="BF27">IF($C27&lt;&gt;"Production","",IFERROR(
_xlfn.IFS(AND(AG27&gt;0,AG27&lt;($BC$3-$D27)),AG27,
AND(AG27&gt;0,AG27&gt;($BC$3-$D27)),($BC$3-$D27)),""))</f>
        <v/>
      </c>
      <c r="BG27" s="85" t="str" cm="1">
        <f t="array" ref="BG27">IF($C27&lt;&gt;"Production","",IFERROR(
_xlfn.IFS(AND(AH27&gt;0,AH27&lt;($BC$3-$D27)),AH27,
AND(AH27&gt;0,AH27&gt;($BC$3-$D27)),($BC$3-$D27)),""))</f>
        <v/>
      </c>
      <c r="BH27" s="85" t="str" cm="1">
        <f t="array" ref="BH27">IF($C27&lt;&gt;"Production","",IFERROR(
_xlfn.IFS(AND(AI27&gt;0,AI27&lt;($BC$3-$D27)),AI27,
AND(AI27&gt;0,AI27&gt;($BC$3-$D27)),($BC$3-$D27)),""))</f>
        <v/>
      </c>
      <c r="BI27" s="85" t="str" cm="1">
        <f t="array" ref="BI27">IF($C27&lt;&gt;"Production","",IFERROR(
_xlfn.IFS(AND(AJ27&gt;0,AJ27&lt;($BC$3-$D27)),AJ27,
AND(AJ27&gt;0,AJ27&gt;($BC$3-$D27)),($BC$3-$D27)),""))</f>
        <v/>
      </c>
      <c r="BJ27" s="85" t="str" cm="1">
        <f t="array" ref="BJ27">IF($C27&lt;&gt;"Production","",IFERROR(
_xlfn.IFS(AND(AK27&gt;0,AK27&lt;($BC$3-$D27)),AK27,
AND(AK27&gt;0,AK27&gt;($BC$3-$D27)),($BC$3-$D27)),""))</f>
        <v/>
      </c>
      <c r="BK27" s="85" t="str" cm="1">
        <f t="array" ref="BK27">IF($C27&lt;&gt;"Production","",IFERROR(
_xlfn.IFS(AND(AL27&gt;0,AL27&lt;($BC$3-$D27)),AL27,
AND(AL27&gt;0,AL27&gt;($BC$3-$D27)),($BC$3-$D27)),""))</f>
        <v/>
      </c>
      <c r="BL27" s="85" t="str" cm="1">
        <f t="array" ref="BL27">IF($C27&lt;&gt;"Production","",IFERROR(
_xlfn.IFS(AND(AM27&gt;0,AM27&lt;($BC$3-$D27)),AM27,
AND(AM27&gt;0,AM27&gt;($BC$3-$D27)),($BC$3-$D27)),""))</f>
        <v/>
      </c>
      <c r="BM27" s="85">
        <f t="shared" si="47"/>
        <v>0</v>
      </c>
      <c r="BN27" s="81"/>
      <c r="BO27" s="85" t="str" cm="1">
        <f t="array" ref="BO27">IF($C27="Production","",IFERROR(
_xlfn.IFS(AND(AO27&gt;0,AO27&lt;($BC$3-$D27)),AO27,
AND(AO27&gt;0,AO27&gt;($BC$3-$D27)),($BC$3-$D27)),""))</f>
        <v/>
      </c>
      <c r="BP27" s="85" t="str" cm="1">
        <f t="array" ref="BP27">IF($C27="Production","",IFERROR(
_xlfn.IFS(AND(AP27&gt;0,AP27&lt;($BC$3-$D27)),AP27,
AND(AP27&gt;0,AP27&gt;($BC$3-$D27)),($BC$3-$D27)),""))</f>
        <v/>
      </c>
      <c r="BQ27" s="85" t="str" cm="1">
        <f t="array" ref="BQ27">IF($C27="Production","",IFERROR(
_xlfn.IFS(AND(AQ27&gt;0,AQ27&lt;($BC$3-$D27)),AQ27,
AND(AQ27&gt;0,AQ27&gt;($BC$3-$D27)),($BC$3-$D27)),""))</f>
        <v/>
      </c>
      <c r="BR27" s="85" t="str" cm="1">
        <f t="array" ref="BR27">IF($C27="Production","",IFERROR(
_xlfn.IFS(AND(AR27&gt;0,AR27&lt;($BC$3-$D27)),AR27,
AND(AR27&gt;0,AR27&gt;($BC$3-$D27)),($BC$3-$D27)),""))</f>
        <v/>
      </c>
      <c r="BS27" s="85" t="str" cm="1">
        <f t="array" ref="BS27">IF($C27="Production","",IFERROR(
_xlfn.IFS(AND(AS27&gt;0,AS27&lt;($BC$3-$D27)),AS27,
AND(AS27&gt;0,AS27&gt;($BC$3-$D27)),($BC$3-$D27)),""))</f>
        <v/>
      </c>
      <c r="BT27" s="85" t="str" cm="1">
        <f t="array" ref="BT27">IF($C27="Production","",IFERROR(
_xlfn.IFS(AND(AT27&gt;0,AT27&lt;($BC$3-$D27)),AT27,
AND(AT27&gt;0,AT27&gt;($BC$3-$D27)),($BC$3-$D27)),""))</f>
        <v/>
      </c>
      <c r="BU27" s="85" t="str" cm="1">
        <f t="array" ref="BU27">IF($C27="Production","",IFERROR(
_xlfn.IFS(AND(AU27&gt;0,AU27&lt;($BC$3-$D27)),AU27,
AND(AU27&gt;0,AU27&gt;($BC$3-$D27)),($BC$3-$D27)),""))</f>
        <v/>
      </c>
      <c r="BV27" s="85" t="str" cm="1">
        <f t="array" ref="BV27">IF($C27="Production","",IFERROR(
_xlfn.IFS(AND(AV27&gt;0,AV27&lt;($BC$3-$D27)),AV27,
AND(AV27&gt;0,AV27&gt;($BC$3-$D27)),($BC$3-$D27)),""))</f>
        <v/>
      </c>
      <c r="BW27" s="85" t="str" cm="1">
        <f t="array" ref="BW27">IF($C27="Production","",IFERROR(
_xlfn.IFS(AND(AW27&gt;0,AW27&lt;($BC$3-$D27)),AW27,
AND(AW27&gt;0,AW27&gt;($BC$3-$D27)),($BC$3-$D27)),""))</f>
        <v/>
      </c>
      <c r="BX27" s="85" t="str" cm="1">
        <f t="array" ref="BX27">IF($C27="Production","",IFERROR(
_xlfn.IFS(AND(AX27&gt;0,AX27&lt;($BC$3-$D27)),AX27,
AND(AX27&gt;0,AX27&gt;($BC$3-$D27)),($BC$3-$D27)),""))</f>
        <v/>
      </c>
      <c r="BY27" s="85" t="str" cm="1">
        <f t="array" ref="BY27">IF($C27="Production","",IFERROR(
_xlfn.IFS(AND(AY27&gt;0,AY27&lt;($BC$3-$D27)),AY27,
AND(AY27&gt;0,AY27&gt;($BC$3-$D27)),($BC$3-$D27)),""))</f>
        <v/>
      </c>
      <c r="BZ27" s="85">
        <f t="shared" si="48"/>
        <v>0</v>
      </c>
      <c r="CA27" s="81"/>
      <c r="CB27" s="85" t="str">
        <f t="shared" si="49"/>
        <v/>
      </c>
      <c r="CC27" s="85" t="str">
        <f t="shared" si="16"/>
        <v/>
      </c>
      <c r="CD27" s="85" t="str">
        <f t="shared" si="17"/>
        <v/>
      </c>
      <c r="CE27" s="85" t="str">
        <f t="shared" si="18"/>
        <v/>
      </c>
      <c r="CF27" s="85" t="str">
        <f t="shared" si="19"/>
        <v/>
      </c>
      <c r="CG27" s="85" t="str">
        <f t="shared" si="20"/>
        <v/>
      </c>
      <c r="CH27" s="85" t="str">
        <f t="shared" si="21"/>
        <v/>
      </c>
      <c r="CI27" s="85" t="str">
        <f t="shared" si="22"/>
        <v/>
      </c>
      <c r="CJ27" s="85" t="str">
        <f t="shared" si="23"/>
        <v/>
      </c>
      <c r="CK27" s="85" t="str">
        <f t="shared" si="24"/>
        <v/>
      </c>
      <c r="CL27" s="85" t="str">
        <f t="shared" si="25"/>
        <v/>
      </c>
      <c r="CM27" s="85">
        <f t="shared" si="50"/>
        <v>0</v>
      </c>
      <c r="CO27" s="80" t="str">
        <f t="shared" si="51"/>
        <v/>
      </c>
      <c r="CP27" s="80" t="str">
        <f t="shared" si="52"/>
        <v/>
      </c>
      <c r="CQ27" s="80" t="str">
        <f t="shared" si="53"/>
        <v/>
      </c>
      <c r="CR27" s="80" t="str">
        <f t="shared" si="54"/>
        <v/>
      </c>
      <c r="CS27" s="80" t="str">
        <f t="shared" si="55"/>
        <v/>
      </c>
      <c r="CT27" s="80" t="str">
        <f t="shared" si="56"/>
        <v/>
      </c>
      <c r="CU27" s="80" t="str">
        <f t="shared" si="57"/>
        <v/>
      </c>
      <c r="CV27" s="80" t="str">
        <f t="shared" si="58"/>
        <v/>
      </c>
      <c r="CW27" s="80" t="str">
        <f t="shared" si="59"/>
        <v/>
      </c>
      <c r="CX27" s="80" t="str">
        <f t="shared" si="60"/>
        <v/>
      </c>
      <c r="CY27" s="80" t="str">
        <f t="shared" si="61"/>
        <v/>
      </c>
      <c r="CZ27" s="80">
        <f t="shared" si="62"/>
        <v>0</v>
      </c>
      <c r="DB27" s="80">
        <f t="shared" si="63"/>
        <v>0</v>
      </c>
      <c r="DC27" s="80">
        <f t="shared" si="64"/>
        <v>0</v>
      </c>
      <c r="DD27" s="80">
        <f t="shared" si="65"/>
        <v>0</v>
      </c>
      <c r="DE27" s="80">
        <f t="shared" si="66"/>
        <v>-33</v>
      </c>
      <c r="DF27" s="80">
        <f t="shared" si="67"/>
        <v>-33</v>
      </c>
    </row>
    <row r="28" spans="2:110" x14ac:dyDescent="0.15">
      <c r="B28" s="83" t="str">
        <f>'MODU 2025'!B31</f>
        <v>MERLE Benjamin</v>
      </c>
      <c r="C28" s="83" t="str">
        <f>'MODU 2025'!C31</f>
        <v>Production</v>
      </c>
      <c r="D28" s="83">
        <f>'MODU 2025'!D31</f>
        <v>37</v>
      </c>
      <c r="E28" s="83">
        <f>'MODU 2025'!G31</f>
        <v>41</v>
      </c>
      <c r="F28" s="83">
        <f>'MODU 2025'!H31</f>
        <v>33</v>
      </c>
      <c r="G28" s="83">
        <f>'MODU 2025'!I31</f>
        <v>41</v>
      </c>
      <c r="H28" s="83">
        <f>'MODU 2025'!J31</f>
        <v>33</v>
      </c>
      <c r="I28" s="83">
        <f>'MODU 2025'!K31</f>
        <v>41</v>
      </c>
      <c r="J28" s="83">
        <f>'MODU 2025'!L31</f>
        <v>33</v>
      </c>
      <c r="K28" s="83">
        <f>'MODU 2025'!M31</f>
        <v>41</v>
      </c>
      <c r="L28" s="83">
        <f>'MODU 2025'!N31</f>
        <v>33</v>
      </c>
      <c r="M28" s="83">
        <f>'MODU 2025'!O31</f>
        <v>41</v>
      </c>
      <c r="N28" s="83">
        <f>'MODU 2025'!P31</f>
        <v>33</v>
      </c>
      <c r="O28" s="83">
        <f>'MODU 2025'!Q31</f>
        <v>41</v>
      </c>
      <c r="P28" s="85"/>
      <c r="Q28" s="85">
        <f>IF(MOD(COLUMN(),2)=0,INDEX(paramètres!$C$4:$C$6,MATCH($C28,paramètres!$B$4:$B$6,0)),INDEX(paramètres!$D$4:$D$6,MATCH($C28,paramètres!$B$4:$B$6,0)))</f>
        <v>41</v>
      </c>
      <c r="R28" s="85">
        <f>IF(MOD(COLUMN(),2)=0,INDEX(paramètres!$C$4:$C$6,MATCH($C28,paramètres!$B$4:$B$6,0)),INDEX(paramètres!$D$4:$D$6,MATCH($C28,paramètres!$B$4:$B$6,0)))</f>
        <v>33</v>
      </c>
      <c r="S28" s="85">
        <f>IF(MOD(COLUMN(),2)=0,INDEX(paramètres!$C$4:$C$6,MATCH($C28,paramètres!$B$4:$B$6,0)),INDEX(paramètres!$D$4:$D$6,MATCH($C28,paramètres!$B$4:$B$6,0)))</f>
        <v>41</v>
      </c>
      <c r="T28" s="85">
        <f>IF(MOD(COLUMN(),2)=0,INDEX(paramètres!$C$4:$C$6,MATCH($C28,paramètres!$B$4:$B$6,0)),INDEX(paramètres!$D$4:$D$6,MATCH($C28,paramètres!$B$4:$B$6,0)))</f>
        <v>33</v>
      </c>
      <c r="U28" s="85">
        <f>IF(MOD(COLUMN(),2)=0,INDEX(paramètres!$C$4:$C$6,MATCH($C28,paramètres!$B$4:$B$6,0)),INDEX(paramètres!$D$4:$D$6,MATCH($C28,paramètres!$B$4:$B$6,0)))</f>
        <v>41</v>
      </c>
      <c r="V28" s="85">
        <f>IF(MOD(COLUMN(),2)=0,INDEX(paramètres!$C$4:$C$6,MATCH($C28,paramètres!$B$4:$B$6,0)),INDEX(paramètres!$D$4:$D$6,MATCH($C28,paramètres!$B$4:$B$6,0)))</f>
        <v>33</v>
      </c>
      <c r="W28" s="85">
        <f>IF(MOD(COLUMN(),2)=0,INDEX(paramètres!$C$4:$C$6,MATCH($C28,paramètres!$B$4:$B$6,0)),INDEX(paramètres!$D$4:$D$6,MATCH($C28,paramètres!$B$4:$B$6,0)))</f>
        <v>41</v>
      </c>
      <c r="X28" s="85">
        <f>IF(MOD(COLUMN(),2)=0,INDEX(paramètres!$C$4:$C$6,MATCH($C28,paramètres!$B$4:$B$6,0)),INDEX(paramètres!$D$4:$D$6,MATCH($C28,paramètres!$B$4:$B$6,0)))</f>
        <v>33</v>
      </c>
      <c r="Y28" s="85">
        <f>IF(MOD(COLUMN(),2)=0,INDEX(paramètres!$C$4:$C$6,MATCH($C28,paramètres!$B$4:$B$6,0)),INDEX(paramètres!$D$4:$D$6,MATCH($C28,paramètres!$B$4:$B$6,0)))</f>
        <v>41</v>
      </c>
      <c r="Z28" s="85">
        <f>IF(MOD(COLUMN(),2)=0,INDEX(paramètres!$C$4:$C$6,MATCH($C28,paramètres!$B$4:$B$6,0)),INDEX(paramètres!$D$4:$D$6,MATCH($C28,paramètres!$B$4:$B$6,0)))</f>
        <v>33</v>
      </c>
      <c r="AA28" s="85">
        <f>IF(MOD(COLUMN(),2)=0,INDEX(paramètres!$C$4:$C$6,MATCH($C28,paramètres!$B$4:$B$6,0)),INDEX(paramètres!$D$4:$D$6,MATCH($C28,paramètres!$B$4:$B$6,0)))</f>
        <v>41</v>
      </c>
      <c r="AB28" s="86"/>
      <c r="AC28" s="85">
        <f t="shared" si="68"/>
        <v>0</v>
      </c>
      <c r="AD28" s="85">
        <f t="shared" si="26"/>
        <v>0</v>
      </c>
      <c r="AE28" s="85">
        <f t="shared" si="69"/>
        <v>0</v>
      </c>
      <c r="AF28" s="85">
        <f t="shared" si="27"/>
        <v>0</v>
      </c>
      <c r="AG28" s="85">
        <f t="shared" si="28"/>
        <v>0</v>
      </c>
      <c r="AH28" s="85">
        <f t="shared" si="29"/>
        <v>0</v>
      </c>
      <c r="AI28" s="85">
        <f t="shared" si="30"/>
        <v>0</v>
      </c>
      <c r="AJ28" s="85">
        <f t="shared" si="31"/>
        <v>0</v>
      </c>
      <c r="AK28" s="85">
        <f t="shared" si="32"/>
        <v>0</v>
      </c>
      <c r="AL28" s="85">
        <f t="shared" si="33"/>
        <v>0</v>
      </c>
      <c r="AM28" s="85">
        <f t="shared" si="34"/>
        <v>-33</v>
      </c>
      <c r="AN28" s="85"/>
      <c r="AO28" s="85" t="str">
        <f t="shared" si="35"/>
        <v/>
      </c>
      <c r="AP28" s="85" t="str">
        <f t="shared" si="36"/>
        <v/>
      </c>
      <c r="AQ28" s="85" t="str">
        <f t="shared" si="37"/>
        <v/>
      </c>
      <c r="AR28" s="85" t="str">
        <f t="shared" si="38"/>
        <v/>
      </c>
      <c r="AS28" s="85" t="str">
        <f t="shared" si="39"/>
        <v/>
      </c>
      <c r="AT28" s="85" t="str">
        <f t="shared" si="40"/>
        <v/>
      </c>
      <c r="AU28" s="85" t="str">
        <f t="shared" si="41"/>
        <v/>
      </c>
      <c r="AV28" s="85" t="str">
        <f t="shared" si="42"/>
        <v/>
      </c>
      <c r="AW28" s="85" t="str">
        <f t="shared" si="43"/>
        <v/>
      </c>
      <c r="AX28" s="85" t="str">
        <f t="shared" si="44"/>
        <v/>
      </c>
      <c r="AY28" s="85" t="str">
        <f t="shared" si="45"/>
        <v/>
      </c>
      <c r="AZ28" s="85">
        <f t="shared" si="46"/>
        <v>0</v>
      </c>
      <c r="BA28" s="35"/>
      <c r="BB28" s="85" t="str" cm="1">
        <f t="array" ref="BB28">IF($C28&lt;&gt;"Production","",IFERROR(
_xlfn.IFS(AND(AC28&gt;0,AC28&lt;($BC$3-$D28)),AC28,
AND(AC28&gt;0,AC28&gt;($BC$3-$D28)),($BC$3-$D28)),""))</f>
        <v/>
      </c>
      <c r="BC28" s="85" t="str" cm="1">
        <f t="array" ref="BC28">IF($C28&lt;&gt;"Production","",IFERROR(
_xlfn.IFS(AND(AD28&gt;0,AD28&lt;($BC$3-$D28)),AD28,
AND(AD28&gt;0,AD28&gt;($BC$3-$D28)),($BC$3-$D28)),""))</f>
        <v/>
      </c>
      <c r="BD28" s="85" t="str" cm="1">
        <f t="array" ref="BD28">IF($C28&lt;&gt;"Production","",IFERROR(
_xlfn.IFS(AND(AE28&gt;0,AE28&lt;($BC$3-$D28)),AE28,
AND(AE28&gt;0,AE28&gt;($BC$3-$D28)),($BC$3-$D28)),""))</f>
        <v/>
      </c>
      <c r="BE28" s="85" t="str" cm="1">
        <f t="array" ref="BE28">IF($C28&lt;&gt;"Production","",IFERROR(
_xlfn.IFS(AND(AF28&gt;0,AF28&lt;($BC$3-$D28)),AF28,
AND(AF28&gt;0,AF28&gt;($BC$3-$D28)),($BC$3-$D28)),""))</f>
        <v/>
      </c>
      <c r="BF28" s="85" t="str" cm="1">
        <f t="array" ref="BF28">IF($C28&lt;&gt;"Production","",IFERROR(
_xlfn.IFS(AND(AG28&gt;0,AG28&lt;($BC$3-$D28)),AG28,
AND(AG28&gt;0,AG28&gt;($BC$3-$D28)),($BC$3-$D28)),""))</f>
        <v/>
      </c>
      <c r="BG28" s="85" t="str" cm="1">
        <f t="array" ref="BG28">IF($C28&lt;&gt;"Production","",IFERROR(
_xlfn.IFS(AND(AH28&gt;0,AH28&lt;($BC$3-$D28)),AH28,
AND(AH28&gt;0,AH28&gt;($BC$3-$D28)),($BC$3-$D28)),""))</f>
        <v/>
      </c>
      <c r="BH28" s="85" t="str" cm="1">
        <f t="array" ref="BH28">IF($C28&lt;&gt;"Production","",IFERROR(
_xlfn.IFS(AND(AI28&gt;0,AI28&lt;($BC$3-$D28)),AI28,
AND(AI28&gt;0,AI28&gt;($BC$3-$D28)),($BC$3-$D28)),""))</f>
        <v/>
      </c>
      <c r="BI28" s="85" t="str" cm="1">
        <f t="array" ref="BI28">IF($C28&lt;&gt;"Production","",IFERROR(
_xlfn.IFS(AND(AJ28&gt;0,AJ28&lt;($BC$3-$D28)),AJ28,
AND(AJ28&gt;0,AJ28&gt;($BC$3-$D28)),($BC$3-$D28)),""))</f>
        <v/>
      </c>
      <c r="BJ28" s="85" t="str" cm="1">
        <f t="array" ref="BJ28">IF($C28&lt;&gt;"Production","",IFERROR(
_xlfn.IFS(AND(AK28&gt;0,AK28&lt;($BC$3-$D28)),AK28,
AND(AK28&gt;0,AK28&gt;($BC$3-$D28)),($BC$3-$D28)),""))</f>
        <v/>
      </c>
      <c r="BK28" s="85" t="str" cm="1">
        <f t="array" ref="BK28">IF($C28&lt;&gt;"Production","",IFERROR(
_xlfn.IFS(AND(AL28&gt;0,AL28&lt;($BC$3-$D28)),AL28,
AND(AL28&gt;0,AL28&gt;($BC$3-$D28)),($BC$3-$D28)),""))</f>
        <v/>
      </c>
      <c r="BL28" s="85" t="str" cm="1">
        <f t="array" ref="BL28">IF($C28&lt;&gt;"Production","",IFERROR(
_xlfn.IFS(AND(AM28&gt;0,AM28&lt;($BC$3-$D28)),AM28,
AND(AM28&gt;0,AM28&gt;($BC$3-$D28)),($BC$3-$D28)),""))</f>
        <v/>
      </c>
      <c r="BM28" s="85">
        <f t="shared" si="47"/>
        <v>0</v>
      </c>
      <c r="BN28" s="81"/>
      <c r="BO28" s="85" t="str" cm="1">
        <f t="array" ref="BO28">IF($C28="Production","",IFERROR(
_xlfn.IFS(AND(AO28&gt;0,AO28&lt;($BC$3-$D28)),AO28,
AND(AO28&gt;0,AO28&gt;($BC$3-$D28)),($BC$3-$D28)),""))</f>
        <v/>
      </c>
      <c r="BP28" s="85" t="str" cm="1">
        <f t="array" ref="BP28">IF($C28="Production","",IFERROR(
_xlfn.IFS(AND(AP28&gt;0,AP28&lt;($BC$3-$D28)),AP28,
AND(AP28&gt;0,AP28&gt;($BC$3-$D28)),($BC$3-$D28)),""))</f>
        <v/>
      </c>
      <c r="BQ28" s="85" t="str" cm="1">
        <f t="array" ref="BQ28">IF($C28="Production","",IFERROR(
_xlfn.IFS(AND(AQ28&gt;0,AQ28&lt;($BC$3-$D28)),AQ28,
AND(AQ28&gt;0,AQ28&gt;($BC$3-$D28)),($BC$3-$D28)),""))</f>
        <v/>
      </c>
      <c r="BR28" s="85" t="str" cm="1">
        <f t="array" ref="BR28">IF($C28="Production","",IFERROR(
_xlfn.IFS(AND(AR28&gt;0,AR28&lt;($BC$3-$D28)),AR28,
AND(AR28&gt;0,AR28&gt;($BC$3-$D28)),($BC$3-$D28)),""))</f>
        <v/>
      </c>
      <c r="BS28" s="85" t="str" cm="1">
        <f t="array" ref="BS28">IF($C28="Production","",IFERROR(
_xlfn.IFS(AND(AS28&gt;0,AS28&lt;($BC$3-$D28)),AS28,
AND(AS28&gt;0,AS28&gt;($BC$3-$D28)),($BC$3-$D28)),""))</f>
        <v/>
      </c>
      <c r="BT28" s="85" t="str" cm="1">
        <f t="array" ref="BT28">IF($C28="Production","",IFERROR(
_xlfn.IFS(AND(AT28&gt;0,AT28&lt;($BC$3-$D28)),AT28,
AND(AT28&gt;0,AT28&gt;($BC$3-$D28)),($BC$3-$D28)),""))</f>
        <v/>
      </c>
      <c r="BU28" s="85" t="str" cm="1">
        <f t="array" ref="BU28">IF($C28="Production","",IFERROR(
_xlfn.IFS(AND(AU28&gt;0,AU28&lt;($BC$3-$D28)),AU28,
AND(AU28&gt;0,AU28&gt;($BC$3-$D28)),($BC$3-$D28)),""))</f>
        <v/>
      </c>
      <c r="BV28" s="85" t="str" cm="1">
        <f t="array" ref="BV28">IF($C28="Production","",IFERROR(
_xlfn.IFS(AND(AV28&gt;0,AV28&lt;($BC$3-$D28)),AV28,
AND(AV28&gt;0,AV28&gt;($BC$3-$D28)),($BC$3-$D28)),""))</f>
        <v/>
      </c>
      <c r="BW28" s="85" t="str" cm="1">
        <f t="array" ref="BW28">IF($C28="Production","",IFERROR(
_xlfn.IFS(AND(AW28&gt;0,AW28&lt;($BC$3-$D28)),AW28,
AND(AW28&gt;0,AW28&gt;($BC$3-$D28)),($BC$3-$D28)),""))</f>
        <v/>
      </c>
      <c r="BX28" s="85" t="str" cm="1">
        <f t="array" ref="BX28">IF($C28="Production","",IFERROR(
_xlfn.IFS(AND(AX28&gt;0,AX28&lt;($BC$3-$D28)),AX28,
AND(AX28&gt;0,AX28&gt;($BC$3-$D28)),($BC$3-$D28)),""))</f>
        <v/>
      </c>
      <c r="BY28" s="85" t="str" cm="1">
        <f t="array" ref="BY28">IF($C28="Production","",IFERROR(
_xlfn.IFS(AND(AY28&gt;0,AY28&lt;($BC$3-$D28)),AY28,
AND(AY28&gt;0,AY28&gt;($BC$3-$D28)),($BC$3-$D28)),""))</f>
        <v/>
      </c>
      <c r="BZ28" s="85">
        <f t="shared" si="48"/>
        <v>0</v>
      </c>
      <c r="CA28" s="81"/>
      <c r="CB28" s="85" t="str">
        <f t="shared" si="49"/>
        <v/>
      </c>
      <c r="CC28" s="85" t="str">
        <f t="shared" si="16"/>
        <v/>
      </c>
      <c r="CD28" s="85" t="str">
        <f t="shared" si="17"/>
        <v/>
      </c>
      <c r="CE28" s="85" t="str">
        <f t="shared" si="18"/>
        <v/>
      </c>
      <c r="CF28" s="85" t="str">
        <f t="shared" si="19"/>
        <v/>
      </c>
      <c r="CG28" s="85" t="str">
        <f t="shared" si="20"/>
        <v/>
      </c>
      <c r="CH28" s="85" t="str">
        <f t="shared" si="21"/>
        <v/>
      </c>
      <c r="CI28" s="85" t="str">
        <f t="shared" si="22"/>
        <v/>
      </c>
      <c r="CJ28" s="85" t="str">
        <f t="shared" si="23"/>
        <v/>
      </c>
      <c r="CK28" s="85" t="str">
        <f t="shared" si="24"/>
        <v/>
      </c>
      <c r="CL28" s="85" t="str">
        <f t="shared" si="25"/>
        <v/>
      </c>
      <c r="CM28" s="85">
        <f t="shared" si="50"/>
        <v>0</v>
      </c>
      <c r="CO28" s="80" t="str">
        <f t="shared" si="51"/>
        <v/>
      </c>
      <c r="CP28" s="80" t="str">
        <f t="shared" si="52"/>
        <v/>
      </c>
      <c r="CQ28" s="80" t="str">
        <f t="shared" si="53"/>
        <v/>
      </c>
      <c r="CR28" s="80" t="str">
        <f t="shared" si="54"/>
        <v/>
      </c>
      <c r="CS28" s="80" t="str">
        <f t="shared" si="55"/>
        <v/>
      </c>
      <c r="CT28" s="80" t="str">
        <f t="shared" si="56"/>
        <v/>
      </c>
      <c r="CU28" s="80" t="str">
        <f t="shared" si="57"/>
        <v/>
      </c>
      <c r="CV28" s="80" t="str">
        <f t="shared" si="58"/>
        <v/>
      </c>
      <c r="CW28" s="80" t="str">
        <f t="shared" si="59"/>
        <v/>
      </c>
      <c r="CX28" s="80" t="str">
        <f t="shared" si="60"/>
        <v/>
      </c>
      <c r="CY28" s="80" t="str">
        <f t="shared" si="61"/>
        <v/>
      </c>
      <c r="CZ28" s="80">
        <f t="shared" si="62"/>
        <v>0</v>
      </c>
      <c r="DB28" s="80">
        <f t="shared" si="63"/>
        <v>0</v>
      </c>
      <c r="DC28" s="80">
        <f t="shared" si="64"/>
        <v>0</v>
      </c>
      <c r="DD28" s="80">
        <f t="shared" si="65"/>
        <v>0</v>
      </c>
      <c r="DE28" s="80">
        <f t="shared" si="66"/>
        <v>-33</v>
      </c>
      <c r="DF28" s="80">
        <f t="shared" si="67"/>
        <v>-33</v>
      </c>
    </row>
    <row r="29" spans="2:110" x14ac:dyDescent="0.15">
      <c r="B29" s="83" t="str">
        <f>'MODU 2025'!B32</f>
        <v>MONIN Margaux</v>
      </c>
      <c r="C29" s="83" t="str">
        <f>'MODU 2025'!C32</f>
        <v>Production</v>
      </c>
      <c r="D29" s="83">
        <f>'MODU 2025'!D32</f>
        <v>37</v>
      </c>
      <c r="E29" s="83">
        <f>'MODU 2025'!G32</f>
        <v>41</v>
      </c>
      <c r="F29" s="83">
        <f>'MODU 2025'!H32</f>
        <v>33</v>
      </c>
      <c r="G29" s="83">
        <f>'MODU 2025'!I32</f>
        <v>41</v>
      </c>
      <c r="H29" s="83">
        <f>'MODU 2025'!J32</f>
        <v>33</v>
      </c>
      <c r="I29" s="83">
        <f>'MODU 2025'!K32</f>
        <v>41</v>
      </c>
      <c r="J29" s="83">
        <f>'MODU 2025'!L32</f>
        <v>33</v>
      </c>
      <c r="K29" s="83">
        <f>'MODU 2025'!M32</f>
        <v>41</v>
      </c>
      <c r="L29" s="83">
        <f>'MODU 2025'!N32</f>
        <v>33</v>
      </c>
      <c r="M29" s="83">
        <f>'MODU 2025'!O32</f>
        <v>41</v>
      </c>
      <c r="N29" s="83">
        <f>'MODU 2025'!P32</f>
        <v>33</v>
      </c>
      <c r="O29" s="83">
        <f>'MODU 2025'!Q32</f>
        <v>41</v>
      </c>
      <c r="P29" s="85"/>
      <c r="Q29" s="85">
        <f>IF(MOD(COLUMN(),2)=0,INDEX(paramètres!$C$4:$C$6,MATCH($C29,paramètres!$B$4:$B$6,0)),INDEX(paramètres!$D$4:$D$6,MATCH($C29,paramètres!$B$4:$B$6,0)))</f>
        <v>41</v>
      </c>
      <c r="R29" s="85">
        <f>IF(MOD(COLUMN(),2)=0,INDEX(paramètres!$C$4:$C$6,MATCH($C29,paramètres!$B$4:$B$6,0)),INDEX(paramètres!$D$4:$D$6,MATCH($C29,paramètres!$B$4:$B$6,0)))</f>
        <v>33</v>
      </c>
      <c r="S29" s="85">
        <f>IF(MOD(COLUMN(),2)=0,INDEX(paramètres!$C$4:$C$6,MATCH($C29,paramètres!$B$4:$B$6,0)),INDEX(paramètres!$D$4:$D$6,MATCH($C29,paramètres!$B$4:$B$6,0)))</f>
        <v>41</v>
      </c>
      <c r="T29" s="85">
        <f>IF(MOD(COLUMN(),2)=0,INDEX(paramètres!$C$4:$C$6,MATCH($C29,paramètres!$B$4:$B$6,0)),INDEX(paramètres!$D$4:$D$6,MATCH($C29,paramètres!$B$4:$B$6,0)))</f>
        <v>33</v>
      </c>
      <c r="U29" s="85">
        <f>IF(MOD(COLUMN(),2)=0,INDEX(paramètres!$C$4:$C$6,MATCH($C29,paramètres!$B$4:$B$6,0)),INDEX(paramètres!$D$4:$D$6,MATCH($C29,paramètres!$B$4:$B$6,0)))</f>
        <v>41</v>
      </c>
      <c r="V29" s="85">
        <f>IF(MOD(COLUMN(),2)=0,INDEX(paramètres!$C$4:$C$6,MATCH($C29,paramètres!$B$4:$B$6,0)),INDEX(paramètres!$D$4:$D$6,MATCH($C29,paramètres!$B$4:$B$6,0)))</f>
        <v>33</v>
      </c>
      <c r="W29" s="85">
        <f>IF(MOD(COLUMN(),2)=0,INDEX(paramètres!$C$4:$C$6,MATCH($C29,paramètres!$B$4:$B$6,0)),INDEX(paramètres!$D$4:$D$6,MATCH($C29,paramètres!$B$4:$B$6,0)))</f>
        <v>41</v>
      </c>
      <c r="X29" s="85">
        <f>IF(MOD(COLUMN(),2)=0,INDEX(paramètres!$C$4:$C$6,MATCH($C29,paramètres!$B$4:$B$6,0)),INDEX(paramètres!$D$4:$D$6,MATCH($C29,paramètres!$B$4:$B$6,0)))</f>
        <v>33</v>
      </c>
      <c r="Y29" s="85">
        <f>IF(MOD(COLUMN(),2)=0,INDEX(paramètres!$C$4:$C$6,MATCH($C29,paramètres!$B$4:$B$6,0)),INDEX(paramètres!$D$4:$D$6,MATCH($C29,paramètres!$B$4:$B$6,0)))</f>
        <v>41</v>
      </c>
      <c r="Z29" s="85">
        <f>IF(MOD(COLUMN(),2)=0,INDEX(paramètres!$C$4:$C$6,MATCH($C29,paramètres!$B$4:$B$6,0)),INDEX(paramètres!$D$4:$D$6,MATCH($C29,paramètres!$B$4:$B$6,0)))</f>
        <v>33</v>
      </c>
      <c r="AA29" s="85">
        <f>IF(MOD(COLUMN(),2)=0,INDEX(paramètres!$C$4:$C$6,MATCH($C29,paramètres!$B$4:$B$6,0)),INDEX(paramètres!$D$4:$D$6,MATCH($C29,paramètres!$B$4:$B$6,0)))</f>
        <v>41</v>
      </c>
      <c r="AB29" s="86"/>
      <c r="AC29" s="85">
        <f t="shared" si="68"/>
        <v>0</v>
      </c>
      <c r="AD29" s="85">
        <f t="shared" si="26"/>
        <v>0</v>
      </c>
      <c r="AE29" s="85">
        <f t="shared" si="69"/>
        <v>0</v>
      </c>
      <c r="AF29" s="85">
        <f t="shared" si="27"/>
        <v>0</v>
      </c>
      <c r="AG29" s="85">
        <f t="shared" si="28"/>
        <v>0</v>
      </c>
      <c r="AH29" s="85">
        <f t="shared" si="29"/>
        <v>0</v>
      </c>
      <c r="AI29" s="85">
        <f t="shared" si="30"/>
        <v>0</v>
      </c>
      <c r="AJ29" s="85">
        <f t="shared" si="31"/>
        <v>0</v>
      </c>
      <c r="AK29" s="85">
        <f t="shared" si="32"/>
        <v>0</v>
      </c>
      <c r="AL29" s="85">
        <f t="shared" si="33"/>
        <v>0</v>
      </c>
      <c r="AM29" s="85">
        <f t="shared" si="34"/>
        <v>-33</v>
      </c>
      <c r="AN29" s="85"/>
      <c r="AO29" s="85" t="str">
        <f t="shared" si="35"/>
        <v/>
      </c>
      <c r="AP29" s="85" t="str">
        <f t="shared" si="36"/>
        <v/>
      </c>
      <c r="AQ29" s="85" t="str">
        <f t="shared" si="37"/>
        <v/>
      </c>
      <c r="AR29" s="85" t="str">
        <f t="shared" si="38"/>
        <v/>
      </c>
      <c r="AS29" s="85" t="str">
        <f t="shared" si="39"/>
        <v/>
      </c>
      <c r="AT29" s="85" t="str">
        <f t="shared" si="40"/>
        <v/>
      </c>
      <c r="AU29" s="85" t="str">
        <f t="shared" si="41"/>
        <v/>
      </c>
      <c r="AV29" s="85" t="str">
        <f t="shared" si="42"/>
        <v/>
      </c>
      <c r="AW29" s="85" t="str">
        <f t="shared" si="43"/>
        <v/>
      </c>
      <c r="AX29" s="85" t="str">
        <f t="shared" si="44"/>
        <v/>
      </c>
      <c r="AY29" s="85" t="str">
        <f t="shared" si="45"/>
        <v/>
      </c>
      <c r="AZ29" s="85">
        <f t="shared" si="46"/>
        <v>0</v>
      </c>
      <c r="BA29" s="35"/>
      <c r="BB29" s="85" t="str" cm="1">
        <f t="array" ref="BB29">IF($C29&lt;&gt;"Production","",IFERROR(
_xlfn.IFS(AND(AC29&gt;0,AC29&lt;($BC$3-$D29)),AC29,
AND(AC29&gt;0,AC29&gt;($BC$3-$D29)),($BC$3-$D29)),""))</f>
        <v/>
      </c>
      <c r="BC29" s="85" t="str" cm="1">
        <f t="array" ref="BC29">IF($C29&lt;&gt;"Production","",IFERROR(
_xlfn.IFS(AND(AD29&gt;0,AD29&lt;($BC$3-$D29)),AD29,
AND(AD29&gt;0,AD29&gt;($BC$3-$D29)),($BC$3-$D29)),""))</f>
        <v/>
      </c>
      <c r="BD29" s="85" t="str" cm="1">
        <f t="array" ref="BD29">IF($C29&lt;&gt;"Production","",IFERROR(
_xlfn.IFS(AND(AE29&gt;0,AE29&lt;($BC$3-$D29)),AE29,
AND(AE29&gt;0,AE29&gt;($BC$3-$D29)),($BC$3-$D29)),""))</f>
        <v/>
      </c>
      <c r="BE29" s="85" t="str" cm="1">
        <f t="array" ref="BE29">IF($C29&lt;&gt;"Production","",IFERROR(
_xlfn.IFS(AND(AF29&gt;0,AF29&lt;($BC$3-$D29)),AF29,
AND(AF29&gt;0,AF29&gt;($BC$3-$D29)),($BC$3-$D29)),""))</f>
        <v/>
      </c>
      <c r="BF29" s="85" t="str" cm="1">
        <f t="array" ref="BF29">IF($C29&lt;&gt;"Production","",IFERROR(
_xlfn.IFS(AND(AG29&gt;0,AG29&lt;($BC$3-$D29)),AG29,
AND(AG29&gt;0,AG29&gt;($BC$3-$D29)),($BC$3-$D29)),""))</f>
        <v/>
      </c>
      <c r="BG29" s="85" t="str" cm="1">
        <f t="array" ref="BG29">IF($C29&lt;&gt;"Production","",IFERROR(
_xlfn.IFS(AND(AH29&gt;0,AH29&lt;($BC$3-$D29)),AH29,
AND(AH29&gt;0,AH29&gt;($BC$3-$D29)),($BC$3-$D29)),""))</f>
        <v/>
      </c>
      <c r="BH29" s="85" t="str" cm="1">
        <f t="array" ref="BH29">IF($C29&lt;&gt;"Production","",IFERROR(
_xlfn.IFS(AND(AI29&gt;0,AI29&lt;($BC$3-$D29)),AI29,
AND(AI29&gt;0,AI29&gt;($BC$3-$D29)),($BC$3-$D29)),""))</f>
        <v/>
      </c>
      <c r="BI29" s="85" t="str" cm="1">
        <f t="array" ref="BI29">IF($C29&lt;&gt;"Production","",IFERROR(
_xlfn.IFS(AND(AJ29&gt;0,AJ29&lt;($BC$3-$D29)),AJ29,
AND(AJ29&gt;0,AJ29&gt;($BC$3-$D29)),($BC$3-$D29)),""))</f>
        <v/>
      </c>
      <c r="BJ29" s="85" t="str" cm="1">
        <f t="array" ref="BJ29">IF($C29&lt;&gt;"Production","",IFERROR(
_xlfn.IFS(AND(AK29&gt;0,AK29&lt;($BC$3-$D29)),AK29,
AND(AK29&gt;0,AK29&gt;($BC$3-$D29)),($BC$3-$D29)),""))</f>
        <v/>
      </c>
      <c r="BK29" s="85" t="str" cm="1">
        <f t="array" ref="BK29">IF($C29&lt;&gt;"Production","",IFERROR(
_xlfn.IFS(AND(AL29&gt;0,AL29&lt;($BC$3-$D29)),AL29,
AND(AL29&gt;0,AL29&gt;($BC$3-$D29)),($BC$3-$D29)),""))</f>
        <v/>
      </c>
      <c r="BL29" s="85" t="str" cm="1">
        <f t="array" ref="BL29">IF($C29&lt;&gt;"Production","",IFERROR(
_xlfn.IFS(AND(AM29&gt;0,AM29&lt;($BC$3-$D29)),AM29,
AND(AM29&gt;0,AM29&gt;($BC$3-$D29)),($BC$3-$D29)),""))</f>
        <v/>
      </c>
      <c r="BM29" s="85">
        <f t="shared" si="47"/>
        <v>0</v>
      </c>
      <c r="BN29" s="81"/>
      <c r="BO29" s="85" t="str" cm="1">
        <f t="array" ref="BO29">IF($C29="Production","",IFERROR(
_xlfn.IFS(AND(AO29&gt;0,AO29&lt;($BC$3-$D29)),AO29,
AND(AO29&gt;0,AO29&gt;($BC$3-$D29)),($BC$3-$D29)),""))</f>
        <v/>
      </c>
      <c r="BP29" s="85" t="str" cm="1">
        <f t="array" ref="BP29">IF($C29="Production","",IFERROR(
_xlfn.IFS(AND(AP29&gt;0,AP29&lt;($BC$3-$D29)),AP29,
AND(AP29&gt;0,AP29&gt;($BC$3-$D29)),($BC$3-$D29)),""))</f>
        <v/>
      </c>
      <c r="BQ29" s="85" t="str" cm="1">
        <f t="array" ref="BQ29">IF($C29="Production","",IFERROR(
_xlfn.IFS(AND(AQ29&gt;0,AQ29&lt;($BC$3-$D29)),AQ29,
AND(AQ29&gt;0,AQ29&gt;($BC$3-$D29)),($BC$3-$D29)),""))</f>
        <v/>
      </c>
      <c r="BR29" s="85" t="str" cm="1">
        <f t="array" ref="BR29">IF($C29="Production","",IFERROR(
_xlfn.IFS(AND(AR29&gt;0,AR29&lt;($BC$3-$D29)),AR29,
AND(AR29&gt;0,AR29&gt;($BC$3-$D29)),($BC$3-$D29)),""))</f>
        <v/>
      </c>
      <c r="BS29" s="85" t="str" cm="1">
        <f t="array" ref="BS29">IF($C29="Production","",IFERROR(
_xlfn.IFS(AND(AS29&gt;0,AS29&lt;($BC$3-$D29)),AS29,
AND(AS29&gt;0,AS29&gt;($BC$3-$D29)),($BC$3-$D29)),""))</f>
        <v/>
      </c>
      <c r="BT29" s="85" t="str" cm="1">
        <f t="array" ref="BT29">IF($C29="Production","",IFERROR(
_xlfn.IFS(AND(AT29&gt;0,AT29&lt;($BC$3-$D29)),AT29,
AND(AT29&gt;0,AT29&gt;($BC$3-$D29)),($BC$3-$D29)),""))</f>
        <v/>
      </c>
      <c r="BU29" s="85" t="str" cm="1">
        <f t="array" ref="BU29">IF($C29="Production","",IFERROR(
_xlfn.IFS(AND(AU29&gt;0,AU29&lt;($BC$3-$D29)),AU29,
AND(AU29&gt;0,AU29&gt;($BC$3-$D29)),($BC$3-$D29)),""))</f>
        <v/>
      </c>
      <c r="BV29" s="85" t="str" cm="1">
        <f t="array" ref="BV29">IF($C29="Production","",IFERROR(
_xlfn.IFS(AND(AV29&gt;0,AV29&lt;($BC$3-$D29)),AV29,
AND(AV29&gt;0,AV29&gt;($BC$3-$D29)),($BC$3-$D29)),""))</f>
        <v/>
      </c>
      <c r="BW29" s="85" t="str" cm="1">
        <f t="array" ref="BW29">IF($C29="Production","",IFERROR(
_xlfn.IFS(AND(AW29&gt;0,AW29&lt;($BC$3-$D29)),AW29,
AND(AW29&gt;0,AW29&gt;($BC$3-$D29)),($BC$3-$D29)),""))</f>
        <v/>
      </c>
      <c r="BX29" s="85" t="str" cm="1">
        <f t="array" ref="BX29">IF($C29="Production","",IFERROR(
_xlfn.IFS(AND(AX29&gt;0,AX29&lt;($BC$3-$D29)),AX29,
AND(AX29&gt;0,AX29&gt;($BC$3-$D29)),($BC$3-$D29)),""))</f>
        <v/>
      </c>
      <c r="BY29" s="85" t="str" cm="1">
        <f t="array" ref="BY29">IF($C29="Production","",IFERROR(
_xlfn.IFS(AND(AY29&gt;0,AY29&lt;($BC$3-$D29)),AY29,
AND(AY29&gt;0,AY29&gt;($BC$3-$D29)),($BC$3-$D29)),""))</f>
        <v/>
      </c>
      <c r="BZ29" s="85">
        <f t="shared" si="48"/>
        <v>0</v>
      </c>
      <c r="CA29" s="81"/>
      <c r="CB29" s="85" t="str">
        <f t="shared" si="49"/>
        <v/>
      </c>
      <c r="CC29" s="85" t="str">
        <f t="shared" si="16"/>
        <v/>
      </c>
      <c r="CD29" s="85" t="str">
        <f t="shared" si="17"/>
        <v/>
      </c>
      <c r="CE29" s="85" t="str">
        <f t="shared" si="18"/>
        <v/>
      </c>
      <c r="CF29" s="85" t="str">
        <f t="shared" si="19"/>
        <v/>
      </c>
      <c r="CG29" s="85" t="str">
        <f t="shared" si="20"/>
        <v/>
      </c>
      <c r="CH29" s="85" t="str">
        <f t="shared" si="21"/>
        <v/>
      </c>
      <c r="CI29" s="85" t="str">
        <f t="shared" si="22"/>
        <v/>
      </c>
      <c r="CJ29" s="85" t="str">
        <f t="shared" si="23"/>
        <v/>
      </c>
      <c r="CK29" s="85" t="str">
        <f t="shared" si="24"/>
        <v/>
      </c>
      <c r="CL29" s="85" t="str">
        <f t="shared" si="25"/>
        <v/>
      </c>
      <c r="CM29" s="85">
        <f t="shared" si="50"/>
        <v>0</v>
      </c>
      <c r="CO29" s="80" t="str">
        <f t="shared" si="51"/>
        <v/>
      </c>
      <c r="CP29" s="80" t="str">
        <f t="shared" si="52"/>
        <v/>
      </c>
      <c r="CQ29" s="80" t="str">
        <f t="shared" si="53"/>
        <v/>
      </c>
      <c r="CR29" s="80" t="str">
        <f t="shared" si="54"/>
        <v/>
      </c>
      <c r="CS29" s="80" t="str">
        <f t="shared" si="55"/>
        <v/>
      </c>
      <c r="CT29" s="80" t="str">
        <f t="shared" si="56"/>
        <v/>
      </c>
      <c r="CU29" s="80" t="str">
        <f t="shared" si="57"/>
        <v/>
      </c>
      <c r="CV29" s="80" t="str">
        <f t="shared" si="58"/>
        <v/>
      </c>
      <c r="CW29" s="80" t="str">
        <f t="shared" si="59"/>
        <v/>
      </c>
      <c r="CX29" s="80" t="str">
        <f t="shared" si="60"/>
        <v/>
      </c>
      <c r="CY29" s="80" t="str">
        <f t="shared" si="61"/>
        <v/>
      </c>
      <c r="CZ29" s="80">
        <f t="shared" si="62"/>
        <v>0</v>
      </c>
      <c r="DB29" s="80">
        <f t="shared" si="63"/>
        <v>0</v>
      </c>
      <c r="DC29" s="80">
        <f t="shared" si="64"/>
        <v>0</v>
      </c>
      <c r="DD29" s="80">
        <f t="shared" si="65"/>
        <v>0</v>
      </c>
      <c r="DE29" s="80">
        <f t="shared" si="66"/>
        <v>-33</v>
      </c>
      <c r="DF29" s="80">
        <f t="shared" si="67"/>
        <v>-33</v>
      </c>
    </row>
    <row r="30" spans="2:110" x14ac:dyDescent="0.15">
      <c r="B30" s="83" t="str">
        <f>'MODU 2025'!B33</f>
        <v>OUDAN Manon</v>
      </c>
      <c r="C30" s="83" t="str">
        <f>'MODU 2025'!C33</f>
        <v>Production</v>
      </c>
      <c r="D30" s="83">
        <f>'MODU 2025'!D33</f>
        <v>37</v>
      </c>
      <c r="E30" s="83">
        <f>'MODU 2025'!G33</f>
        <v>41</v>
      </c>
      <c r="F30" s="83">
        <f>'MODU 2025'!H33</f>
        <v>33</v>
      </c>
      <c r="G30" s="83">
        <f>'MODU 2025'!I33</f>
        <v>41</v>
      </c>
      <c r="H30" s="83">
        <f>'MODU 2025'!J33</f>
        <v>33</v>
      </c>
      <c r="I30" s="83">
        <f>'MODU 2025'!K33</f>
        <v>41</v>
      </c>
      <c r="J30" s="83">
        <f>'MODU 2025'!L33</f>
        <v>33</v>
      </c>
      <c r="K30" s="83">
        <f>'MODU 2025'!M33</f>
        <v>41</v>
      </c>
      <c r="L30" s="83">
        <f>'MODU 2025'!N33</f>
        <v>33</v>
      </c>
      <c r="M30" s="83">
        <f>'MODU 2025'!O33</f>
        <v>41</v>
      </c>
      <c r="N30" s="83">
        <f>'MODU 2025'!P33</f>
        <v>33</v>
      </c>
      <c r="O30" s="83">
        <f>'MODU 2025'!Q33</f>
        <v>41</v>
      </c>
      <c r="P30" s="85"/>
      <c r="Q30" s="85">
        <f>IF(MOD(COLUMN(),2)=0,INDEX(paramètres!$C$4:$C$6,MATCH($C30,paramètres!$B$4:$B$6,0)),INDEX(paramètres!$D$4:$D$6,MATCH($C30,paramètres!$B$4:$B$6,0)))</f>
        <v>41</v>
      </c>
      <c r="R30" s="85">
        <f>IF(MOD(COLUMN(),2)=0,INDEX(paramètres!$C$4:$C$6,MATCH($C30,paramètres!$B$4:$B$6,0)),INDEX(paramètres!$D$4:$D$6,MATCH($C30,paramètres!$B$4:$B$6,0)))</f>
        <v>33</v>
      </c>
      <c r="S30" s="85">
        <f>IF(MOD(COLUMN(),2)=0,INDEX(paramètres!$C$4:$C$6,MATCH($C30,paramètres!$B$4:$B$6,0)),INDEX(paramètres!$D$4:$D$6,MATCH($C30,paramètres!$B$4:$B$6,0)))</f>
        <v>41</v>
      </c>
      <c r="T30" s="85">
        <f>IF(MOD(COLUMN(),2)=0,INDEX(paramètres!$C$4:$C$6,MATCH($C30,paramètres!$B$4:$B$6,0)),INDEX(paramètres!$D$4:$D$6,MATCH($C30,paramètres!$B$4:$B$6,0)))</f>
        <v>33</v>
      </c>
      <c r="U30" s="85">
        <f>IF(MOD(COLUMN(),2)=0,INDEX(paramètres!$C$4:$C$6,MATCH($C30,paramètres!$B$4:$B$6,0)),INDEX(paramètres!$D$4:$D$6,MATCH($C30,paramètres!$B$4:$B$6,0)))</f>
        <v>41</v>
      </c>
      <c r="V30" s="85">
        <f>IF(MOD(COLUMN(),2)=0,INDEX(paramètres!$C$4:$C$6,MATCH($C30,paramètres!$B$4:$B$6,0)),INDEX(paramètres!$D$4:$D$6,MATCH($C30,paramètres!$B$4:$B$6,0)))</f>
        <v>33</v>
      </c>
      <c r="W30" s="85">
        <f>IF(MOD(COLUMN(),2)=0,INDEX(paramètres!$C$4:$C$6,MATCH($C30,paramètres!$B$4:$B$6,0)),INDEX(paramètres!$D$4:$D$6,MATCH($C30,paramètres!$B$4:$B$6,0)))</f>
        <v>41</v>
      </c>
      <c r="X30" s="85">
        <f>IF(MOD(COLUMN(),2)=0,INDEX(paramètres!$C$4:$C$6,MATCH($C30,paramètres!$B$4:$B$6,0)),INDEX(paramètres!$D$4:$D$6,MATCH($C30,paramètres!$B$4:$B$6,0)))</f>
        <v>33</v>
      </c>
      <c r="Y30" s="85">
        <f>IF(MOD(COLUMN(),2)=0,INDEX(paramètres!$C$4:$C$6,MATCH($C30,paramètres!$B$4:$B$6,0)),INDEX(paramètres!$D$4:$D$6,MATCH($C30,paramètres!$B$4:$B$6,0)))</f>
        <v>41</v>
      </c>
      <c r="Z30" s="85">
        <f>IF(MOD(COLUMN(),2)=0,INDEX(paramètres!$C$4:$C$6,MATCH($C30,paramètres!$B$4:$B$6,0)),INDEX(paramètres!$D$4:$D$6,MATCH($C30,paramètres!$B$4:$B$6,0)))</f>
        <v>33</v>
      </c>
      <c r="AA30" s="85">
        <f>IF(MOD(COLUMN(),2)=0,INDEX(paramètres!$C$4:$C$6,MATCH($C30,paramètres!$B$4:$B$6,0)),INDEX(paramètres!$D$4:$D$6,MATCH($C30,paramètres!$B$4:$B$6,0)))</f>
        <v>41</v>
      </c>
      <c r="AB30" s="86"/>
      <c r="AC30" s="85">
        <f t="shared" si="68"/>
        <v>0</v>
      </c>
      <c r="AD30" s="85">
        <f t="shared" si="26"/>
        <v>0</v>
      </c>
      <c r="AE30" s="85">
        <f t="shared" si="69"/>
        <v>0</v>
      </c>
      <c r="AF30" s="85">
        <f t="shared" si="27"/>
        <v>0</v>
      </c>
      <c r="AG30" s="85">
        <f t="shared" si="28"/>
        <v>0</v>
      </c>
      <c r="AH30" s="85">
        <f t="shared" si="29"/>
        <v>0</v>
      </c>
      <c r="AI30" s="85">
        <f t="shared" si="30"/>
        <v>0</v>
      </c>
      <c r="AJ30" s="85">
        <f t="shared" si="31"/>
        <v>0</v>
      </c>
      <c r="AK30" s="85">
        <f t="shared" si="32"/>
        <v>0</v>
      </c>
      <c r="AL30" s="85">
        <f t="shared" si="33"/>
        <v>0</v>
      </c>
      <c r="AM30" s="85">
        <f t="shared" si="34"/>
        <v>-33</v>
      </c>
      <c r="AN30" s="85"/>
      <c r="AO30" s="85" t="str">
        <f t="shared" si="35"/>
        <v/>
      </c>
      <c r="AP30" s="85" t="str">
        <f t="shared" si="36"/>
        <v/>
      </c>
      <c r="AQ30" s="85" t="str">
        <f t="shared" si="37"/>
        <v/>
      </c>
      <c r="AR30" s="85" t="str">
        <f t="shared" si="38"/>
        <v/>
      </c>
      <c r="AS30" s="85" t="str">
        <f t="shared" si="39"/>
        <v/>
      </c>
      <c r="AT30" s="85" t="str">
        <f t="shared" si="40"/>
        <v/>
      </c>
      <c r="AU30" s="85" t="str">
        <f t="shared" si="41"/>
        <v/>
      </c>
      <c r="AV30" s="85" t="str">
        <f t="shared" si="42"/>
        <v/>
      </c>
      <c r="AW30" s="85" t="str">
        <f t="shared" si="43"/>
        <v/>
      </c>
      <c r="AX30" s="85" t="str">
        <f t="shared" si="44"/>
        <v/>
      </c>
      <c r="AY30" s="85" t="str">
        <f t="shared" si="45"/>
        <v/>
      </c>
      <c r="AZ30" s="85">
        <f t="shared" si="46"/>
        <v>0</v>
      </c>
      <c r="BA30" s="35"/>
      <c r="BB30" s="85" t="str" cm="1">
        <f t="array" ref="BB30">IF($C30&lt;&gt;"Production","",IFERROR(
_xlfn.IFS(AND(AC30&gt;0,AC30&lt;($BC$3-$D30)),AC30,
AND(AC30&gt;0,AC30&gt;($BC$3-$D30)),($BC$3-$D30)),""))</f>
        <v/>
      </c>
      <c r="BC30" s="85" t="str" cm="1">
        <f t="array" ref="BC30">IF($C30&lt;&gt;"Production","",IFERROR(
_xlfn.IFS(AND(AD30&gt;0,AD30&lt;($BC$3-$D30)),AD30,
AND(AD30&gt;0,AD30&gt;($BC$3-$D30)),($BC$3-$D30)),""))</f>
        <v/>
      </c>
      <c r="BD30" s="85" t="str" cm="1">
        <f t="array" ref="BD30">IF($C30&lt;&gt;"Production","",IFERROR(
_xlfn.IFS(AND(AE30&gt;0,AE30&lt;($BC$3-$D30)),AE30,
AND(AE30&gt;0,AE30&gt;($BC$3-$D30)),($BC$3-$D30)),""))</f>
        <v/>
      </c>
      <c r="BE30" s="85" t="str" cm="1">
        <f t="array" ref="BE30">IF($C30&lt;&gt;"Production","",IFERROR(
_xlfn.IFS(AND(AF30&gt;0,AF30&lt;($BC$3-$D30)),AF30,
AND(AF30&gt;0,AF30&gt;($BC$3-$D30)),($BC$3-$D30)),""))</f>
        <v/>
      </c>
      <c r="BF30" s="85" t="str" cm="1">
        <f t="array" ref="BF30">IF($C30&lt;&gt;"Production","",IFERROR(
_xlfn.IFS(AND(AG30&gt;0,AG30&lt;($BC$3-$D30)),AG30,
AND(AG30&gt;0,AG30&gt;($BC$3-$D30)),($BC$3-$D30)),""))</f>
        <v/>
      </c>
      <c r="BG30" s="85" t="str" cm="1">
        <f t="array" ref="BG30">IF($C30&lt;&gt;"Production","",IFERROR(
_xlfn.IFS(AND(AH30&gt;0,AH30&lt;($BC$3-$D30)),AH30,
AND(AH30&gt;0,AH30&gt;($BC$3-$D30)),($BC$3-$D30)),""))</f>
        <v/>
      </c>
      <c r="BH30" s="85" t="str" cm="1">
        <f t="array" ref="BH30">IF($C30&lt;&gt;"Production","",IFERROR(
_xlfn.IFS(AND(AI30&gt;0,AI30&lt;($BC$3-$D30)),AI30,
AND(AI30&gt;0,AI30&gt;($BC$3-$D30)),($BC$3-$D30)),""))</f>
        <v/>
      </c>
      <c r="BI30" s="85" t="str" cm="1">
        <f t="array" ref="BI30">IF($C30&lt;&gt;"Production","",IFERROR(
_xlfn.IFS(AND(AJ30&gt;0,AJ30&lt;($BC$3-$D30)),AJ30,
AND(AJ30&gt;0,AJ30&gt;($BC$3-$D30)),($BC$3-$D30)),""))</f>
        <v/>
      </c>
      <c r="BJ30" s="85" t="str" cm="1">
        <f t="array" ref="BJ30">IF($C30&lt;&gt;"Production","",IFERROR(
_xlfn.IFS(AND(AK30&gt;0,AK30&lt;($BC$3-$D30)),AK30,
AND(AK30&gt;0,AK30&gt;($BC$3-$D30)),($BC$3-$D30)),""))</f>
        <v/>
      </c>
      <c r="BK30" s="85" t="str" cm="1">
        <f t="array" ref="BK30">IF($C30&lt;&gt;"Production","",IFERROR(
_xlfn.IFS(AND(AL30&gt;0,AL30&lt;($BC$3-$D30)),AL30,
AND(AL30&gt;0,AL30&gt;($BC$3-$D30)),($BC$3-$D30)),""))</f>
        <v/>
      </c>
      <c r="BL30" s="85" t="str" cm="1">
        <f t="array" ref="BL30">IF($C30&lt;&gt;"Production","",IFERROR(
_xlfn.IFS(AND(AM30&gt;0,AM30&lt;($BC$3-$D30)),AM30,
AND(AM30&gt;0,AM30&gt;($BC$3-$D30)),($BC$3-$D30)),""))</f>
        <v/>
      </c>
      <c r="BM30" s="85">
        <f t="shared" si="47"/>
        <v>0</v>
      </c>
      <c r="BN30" s="81"/>
      <c r="BO30" s="85" t="str" cm="1">
        <f t="array" ref="BO30">IF($C30="Production","",IFERROR(
_xlfn.IFS(AND(AO30&gt;0,AO30&lt;($BC$3-$D30)),AO30,
AND(AO30&gt;0,AO30&gt;($BC$3-$D30)),($BC$3-$D30)),""))</f>
        <v/>
      </c>
      <c r="BP30" s="85" t="str" cm="1">
        <f t="array" ref="BP30">IF($C30="Production","",IFERROR(
_xlfn.IFS(AND(AP30&gt;0,AP30&lt;($BC$3-$D30)),AP30,
AND(AP30&gt;0,AP30&gt;($BC$3-$D30)),($BC$3-$D30)),""))</f>
        <v/>
      </c>
      <c r="BQ30" s="85" t="str" cm="1">
        <f t="array" ref="BQ30">IF($C30="Production","",IFERROR(
_xlfn.IFS(AND(AQ30&gt;0,AQ30&lt;($BC$3-$D30)),AQ30,
AND(AQ30&gt;0,AQ30&gt;($BC$3-$D30)),($BC$3-$D30)),""))</f>
        <v/>
      </c>
      <c r="BR30" s="85" t="str" cm="1">
        <f t="array" ref="BR30">IF($C30="Production","",IFERROR(
_xlfn.IFS(AND(AR30&gt;0,AR30&lt;($BC$3-$D30)),AR30,
AND(AR30&gt;0,AR30&gt;($BC$3-$D30)),($BC$3-$D30)),""))</f>
        <v/>
      </c>
      <c r="BS30" s="85" t="str" cm="1">
        <f t="array" ref="BS30">IF($C30="Production","",IFERROR(
_xlfn.IFS(AND(AS30&gt;0,AS30&lt;($BC$3-$D30)),AS30,
AND(AS30&gt;0,AS30&gt;($BC$3-$D30)),($BC$3-$D30)),""))</f>
        <v/>
      </c>
      <c r="BT30" s="85" t="str" cm="1">
        <f t="array" ref="BT30">IF($C30="Production","",IFERROR(
_xlfn.IFS(AND(AT30&gt;0,AT30&lt;($BC$3-$D30)),AT30,
AND(AT30&gt;0,AT30&gt;($BC$3-$D30)),($BC$3-$D30)),""))</f>
        <v/>
      </c>
      <c r="BU30" s="85" t="str" cm="1">
        <f t="array" ref="BU30">IF($C30="Production","",IFERROR(
_xlfn.IFS(AND(AU30&gt;0,AU30&lt;($BC$3-$D30)),AU30,
AND(AU30&gt;0,AU30&gt;($BC$3-$D30)),($BC$3-$D30)),""))</f>
        <v/>
      </c>
      <c r="BV30" s="85" t="str" cm="1">
        <f t="array" ref="BV30">IF($C30="Production","",IFERROR(
_xlfn.IFS(AND(AV30&gt;0,AV30&lt;($BC$3-$D30)),AV30,
AND(AV30&gt;0,AV30&gt;($BC$3-$D30)),($BC$3-$D30)),""))</f>
        <v/>
      </c>
      <c r="BW30" s="85" t="str" cm="1">
        <f t="array" ref="BW30">IF($C30="Production","",IFERROR(
_xlfn.IFS(AND(AW30&gt;0,AW30&lt;($BC$3-$D30)),AW30,
AND(AW30&gt;0,AW30&gt;($BC$3-$D30)),($BC$3-$D30)),""))</f>
        <v/>
      </c>
      <c r="BX30" s="85" t="str" cm="1">
        <f t="array" ref="BX30">IF($C30="Production","",IFERROR(
_xlfn.IFS(AND(AX30&gt;0,AX30&lt;($BC$3-$D30)),AX30,
AND(AX30&gt;0,AX30&gt;($BC$3-$D30)),($BC$3-$D30)),""))</f>
        <v/>
      </c>
      <c r="BY30" s="85" t="str" cm="1">
        <f t="array" ref="BY30">IF($C30="Production","",IFERROR(
_xlfn.IFS(AND(AY30&gt;0,AY30&lt;($BC$3-$D30)),AY30,
AND(AY30&gt;0,AY30&gt;($BC$3-$D30)),($BC$3-$D30)),""))</f>
        <v/>
      </c>
      <c r="BZ30" s="85">
        <f t="shared" si="48"/>
        <v>0</v>
      </c>
      <c r="CA30" s="81"/>
      <c r="CB30" s="85" t="str">
        <f t="shared" si="49"/>
        <v/>
      </c>
      <c r="CC30" s="85" t="str">
        <f t="shared" si="16"/>
        <v/>
      </c>
      <c r="CD30" s="85" t="str">
        <f t="shared" si="17"/>
        <v/>
      </c>
      <c r="CE30" s="85" t="str">
        <f t="shared" si="18"/>
        <v/>
      </c>
      <c r="CF30" s="85" t="str">
        <f t="shared" si="19"/>
        <v/>
      </c>
      <c r="CG30" s="85" t="str">
        <f t="shared" si="20"/>
        <v/>
      </c>
      <c r="CH30" s="85" t="str">
        <f t="shared" si="21"/>
        <v/>
      </c>
      <c r="CI30" s="85" t="str">
        <f t="shared" si="22"/>
        <v/>
      </c>
      <c r="CJ30" s="85" t="str">
        <f t="shared" si="23"/>
        <v/>
      </c>
      <c r="CK30" s="85" t="str">
        <f t="shared" si="24"/>
        <v/>
      </c>
      <c r="CL30" s="85" t="str">
        <f t="shared" si="25"/>
        <v/>
      </c>
      <c r="CM30" s="85">
        <f t="shared" si="50"/>
        <v>0</v>
      </c>
      <c r="CO30" s="80" t="str">
        <f t="shared" si="51"/>
        <v/>
      </c>
      <c r="CP30" s="80" t="str">
        <f t="shared" si="52"/>
        <v/>
      </c>
      <c r="CQ30" s="80" t="str">
        <f t="shared" si="53"/>
        <v/>
      </c>
      <c r="CR30" s="80" t="str">
        <f t="shared" si="54"/>
        <v/>
      </c>
      <c r="CS30" s="80" t="str">
        <f t="shared" si="55"/>
        <v/>
      </c>
      <c r="CT30" s="80" t="str">
        <f t="shared" si="56"/>
        <v/>
      </c>
      <c r="CU30" s="80" t="str">
        <f t="shared" si="57"/>
        <v/>
      </c>
      <c r="CV30" s="80" t="str">
        <f t="shared" si="58"/>
        <v/>
      </c>
      <c r="CW30" s="80" t="str">
        <f t="shared" si="59"/>
        <v/>
      </c>
      <c r="CX30" s="80" t="str">
        <f t="shared" si="60"/>
        <v/>
      </c>
      <c r="CY30" s="80" t="str">
        <f t="shared" si="61"/>
        <v/>
      </c>
      <c r="CZ30" s="80">
        <f t="shared" si="62"/>
        <v>0</v>
      </c>
      <c r="DB30" s="80">
        <f t="shared" si="63"/>
        <v>0</v>
      </c>
      <c r="DC30" s="80">
        <f t="shared" si="64"/>
        <v>0</v>
      </c>
      <c r="DD30" s="80">
        <f t="shared" si="65"/>
        <v>0</v>
      </c>
      <c r="DE30" s="80">
        <f t="shared" si="66"/>
        <v>-33</v>
      </c>
      <c r="DF30" s="80">
        <f t="shared" si="67"/>
        <v>-33</v>
      </c>
    </row>
    <row r="31" spans="2:110" x14ac:dyDescent="0.15">
      <c r="B31" s="83" t="str">
        <f>'MODU 2025'!B34</f>
        <v>PACHECO Guillaume</v>
      </c>
      <c r="C31" s="83" t="str">
        <f>'MODU 2025'!C34</f>
        <v>Production</v>
      </c>
      <c r="D31" s="83">
        <f>'MODU 2025'!D34</f>
        <v>37</v>
      </c>
      <c r="E31" s="83">
        <f>'MODU 2025'!G34</f>
        <v>40</v>
      </c>
      <c r="F31" s="83">
        <f>'MODU 2025'!H34</f>
        <v>33</v>
      </c>
      <c r="G31" s="83">
        <f>'MODU 2025'!I34</f>
        <v>41</v>
      </c>
      <c r="H31" s="83">
        <f>'MODU 2025'!J34</f>
        <v>33</v>
      </c>
      <c r="I31" s="83">
        <f>'MODU 2025'!K34</f>
        <v>41</v>
      </c>
      <c r="J31" s="83">
        <f>'MODU 2025'!L34</f>
        <v>33</v>
      </c>
      <c r="K31" s="83">
        <f>'MODU 2025'!M34</f>
        <v>41</v>
      </c>
      <c r="L31" s="83">
        <f>'MODU 2025'!N34</f>
        <v>33</v>
      </c>
      <c r="M31" s="83">
        <f>'MODU 2025'!O34</f>
        <v>41</v>
      </c>
      <c r="N31" s="83">
        <f>'MODU 2025'!P34</f>
        <v>33</v>
      </c>
      <c r="O31" s="83">
        <f>'MODU 2025'!Q34</f>
        <v>41</v>
      </c>
      <c r="P31" s="85"/>
      <c r="Q31" s="85">
        <f>IF(MOD(COLUMN(),2)=0,INDEX(paramètres!$C$4:$C$6,MATCH($C31,paramètres!$B$4:$B$6,0)),INDEX(paramètres!$D$4:$D$6,MATCH($C31,paramètres!$B$4:$B$6,0)))</f>
        <v>41</v>
      </c>
      <c r="R31" s="85">
        <f>IF(MOD(COLUMN(),2)=0,INDEX(paramètres!$C$4:$C$6,MATCH($C31,paramètres!$B$4:$B$6,0)),INDEX(paramètres!$D$4:$D$6,MATCH($C31,paramètres!$B$4:$B$6,0)))</f>
        <v>33</v>
      </c>
      <c r="S31" s="85">
        <f>IF(MOD(COLUMN(),2)=0,INDEX(paramètres!$C$4:$C$6,MATCH($C31,paramètres!$B$4:$B$6,0)),INDEX(paramètres!$D$4:$D$6,MATCH($C31,paramètres!$B$4:$B$6,0)))</f>
        <v>41</v>
      </c>
      <c r="T31" s="85">
        <f>IF(MOD(COLUMN(),2)=0,INDEX(paramètres!$C$4:$C$6,MATCH($C31,paramètres!$B$4:$B$6,0)),INDEX(paramètres!$D$4:$D$6,MATCH($C31,paramètres!$B$4:$B$6,0)))</f>
        <v>33</v>
      </c>
      <c r="U31" s="85">
        <f>IF(MOD(COLUMN(),2)=0,INDEX(paramètres!$C$4:$C$6,MATCH($C31,paramètres!$B$4:$B$6,0)),INDEX(paramètres!$D$4:$D$6,MATCH($C31,paramètres!$B$4:$B$6,0)))</f>
        <v>41</v>
      </c>
      <c r="V31" s="85">
        <f>IF(MOD(COLUMN(),2)=0,INDEX(paramètres!$C$4:$C$6,MATCH($C31,paramètres!$B$4:$B$6,0)),INDEX(paramètres!$D$4:$D$6,MATCH($C31,paramètres!$B$4:$B$6,0)))</f>
        <v>33</v>
      </c>
      <c r="W31" s="85">
        <f>IF(MOD(COLUMN(),2)=0,INDEX(paramètres!$C$4:$C$6,MATCH($C31,paramètres!$B$4:$B$6,0)),INDEX(paramètres!$D$4:$D$6,MATCH($C31,paramètres!$B$4:$B$6,0)))</f>
        <v>41</v>
      </c>
      <c r="X31" s="85">
        <f>IF(MOD(COLUMN(),2)=0,INDEX(paramètres!$C$4:$C$6,MATCH($C31,paramètres!$B$4:$B$6,0)),INDEX(paramètres!$D$4:$D$6,MATCH($C31,paramètres!$B$4:$B$6,0)))</f>
        <v>33</v>
      </c>
      <c r="Y31" s="85">
        <f>IF(MOD(COLUMN(),2)=0,INDEX(paramètres!$C$4:$C$6,MATCH($C31,paramètres!$B$4:$B$6,0)),INDEX(paramètres!$D$4:$D$6,MATCH($C31,paramètres!$B$4:$B$6,0)))</f>
        <v>41</v>
      </c>
      <c r="Z31" s="85">
        <f>IF(MOD(COLUMN(),2)=0,INDEX(paramètres!$C$4:$C$6,MATCH($C31,paramètres!$B$4:$B$6,0)),INDEX(paramètres!$D$4:$D$6,MATCH($C31,paramètres!$B$4:$B$6,0)))</f>
        <v>33</v>
      </c>
      <c r="AA31" s="85">
        <f>IF(MOD(COLUMN(),2)=0,INDEX(paramètres!$C$4:$C$6,MATCH($C31,paramètres!$B$4:$B$6,0)),INDEX(paramètres!$D$4:$D$6,MATCH($C31,paramètres!$B$4:$B$6,0)))</f>
        <v>41</v>
      </c>
      <c r="AB31" s="86"/>
      <c r="AC31" s="85">
        <f t="shared" si="68"/>
        <v>-1</v>
      </c>
      <c r="AD31" s="85">
        <f t="shared" si="26"/>
        <v>0</v>
      </c>
      <c r="AE31" s="85">
        <f t="shared" si="69"/>
        <v>0</v>
      </c>
      <c r="AF31" s="85">
        <f t="shared" si="27"/>
        <v>0</v>
      </c>
      <c r="AG31" s="85">
        <f t="shared" si="28"/>
        <v>0</v>
      </c>
      <c r="AH31" s="85">
        <f t="shared" si="29"/>
        <v>0</v>
      </c>
      <c r="AI31" s="85">
        <f t="shared" si="30"/>
        <v>0</v>
      </c>
      <c r="AJ31" s="85">
        <f t="shared" si="31"/>
        <v>0</v>
      </c>
      <c r="AK31" s="85">
        <f t="shared" si="32"/>
        <v>0</v>
      </c>
      <c r="AL31" s="85">
        <f t="shared" si="33"/>
        <v>0</v>
      </c>
      <c r="AM31" s="85">
        <f t="shared" si="34"/>
        <v>-33</v>
      </c>
      <c r="AN31" s="85"/>
      <c r="AO31" s="85" t="str">
        <f t="shared" si="35"/>
        <v/>
      </c>
      <c r="AP31" s="85" t="str">
        <f t="shared" si="36"/>
        <v/>
      </c>
      <c r="AQ31" s="85" t="str">
        <f t="shared" si="37"/>
        <v/>
      </c>
      <c r="AR31" s="85" t="str">
        <f t="shared" si="38"/>
        <v/>
      </c>
      <c r="AS31" s="85" t="str">
        <f t="shared" si="39"/>
        <v/>
      </c>
      <c r="AT31" s="85" t="str">
        <f t="shared" si="40"/>
        <v/>
      </c>
      <c r="AU31" s="85" t="str">
        <f t="shared" si="41"/>
        <v/>
      </c>
      <c r="AV31" s="85" t="str">
        <f t="shared" si="42"/>
        <v/>
      </c>
      <c r="AW31" s="85" t="str">
        <f t="shared" si="43"/>
        <v/>
      </c>
      <c r="AX31" s="85" t="str">
        <f t="shared" si="44"/>
        <v/>
      </c>
      <c r="AY31" s="85" t="str">
        <f t="shared" si="45"/>
        <v/>
      </c>
      <c r="AZ31" s="85">
        <f t="shared" si="46"/>
        <v>0</v>
      </c>
      <c r="BA31" s="35"/>
      <c r="BB31" s="85" t="str" cm="1">
        <f t="array" ref="BB31">IF($C31&lt;&gt;"Production","",IFERROR(
_xlfn.IFS(AND(AC31&gt;0,AC31&lt;($BC$3-$D31)),AC31,
AND(AC31&gt;0,AC31&gt;($BC$3-$D31)),($BC$3-$D31)),""))</f>
        <v/>
      </c>
      <c r="BC31" s="85" t="str" cm="1">
        <f t="array" ref="BC31">IF($C31&lt;&gt;"Production","",IFERROR(
_xlfn.IFS(AND(AD31&gt;0,AD31&lt;($BC$3-$D31)),AD31,
AND(AD31&gt;0,AD31&gt;($BC$3-$D31)),($BC$3-$D31)),""))</f>
        <v/>
      </c>
      <c r="BD31" s="85" t="str" cm="1">
        <f t="array" ref="BD31">IF($C31&lt;&gt;"Production","",IFERROR(
_xlfn.IFS(AND(AE31&gt;0,AE31&lt;($BC$3-$D31)),AE31,
AND(AE31&gt;0,AE31&gt;($BC$3-$D31)),($BC$3-$D31)),""))</f>
        <v/>
      </c>
      <c r="BE31" s="85" t="str" cm="1">
        <f t="array" ref="BE31">IF($C31&lt;&gt;"Production","",IFERROR(
_xlfn.IFS(AND(AF31&gt;0,AF31&lt;($BC$3-$D31)),AF31,
AND(AF31&gt;0,AF31&gt;($BC$3-$D31)),($BC$3-$D31)),""))</f>
        <v/>
      </c>
      <c r="BF31" s="85" t="str" cm="1">
        <f t="array" ref="BF31">IF($C31&lt;&gt;"Production","",IFERROR(
_xlfn.IFS(AND(AG31&gt;0,AG31&lt;($BC$3-$D31)),AG31,
AND(AG31&gt;0,AG31&gt;($BC$3-$D31)),($BC$3-$D31)),""))</f>
        <v/>
      </c>
      <c r="BG31" s="85" t="str" cm="1">
        <f t="array" ref="BG31">IF($C31&lt;&gt;"Production","",IFERROR(
_xlfn.IFS(AND(AH31&gt;0,AH31&lt;($BC$3-$D31)),AH31,
AND(AH31&gt;0,AH31&gt;($BC$3-$D31)),($BC$3-$D31)),""))</f>
        <v/>
      </c>
      <c r="BH31" s="85" t="str" cm="1">
        <f t="array" ref="BH31">IF($C31&lt;&gt;"Production","",IFERROR(
_xlfn.IFS(AND(AI31&gt;0,AI31&lt;($BC$3-$D31)),AI31,
AND(AI31&gt;0,AI31&gt;($BC$3-$D31)),($BC$3-$D31)),""))</f>
        <v/>
      </c>
      <c r="BI31" s="85" t="str" cm="1">
        <f t="array" ref="BI31">IF($C31&lt;&gt;"Production","",IFERROR(
_xlfn.IFS(AND(AJ31&gt;0,AJ31&lt;($BC$3-$D31)),AJ31,
AND(AJ31&gt;0,AJ31&gt;($BC$3-$D31)),($BC$3-$D31)),""))</f>
        <v/>
      </c>
      <c r="BJ31" s="85" t="str" cm="1">
        <f t="array" ref="BJ31">IF($C31&lt;&gt;"Production","",IFERROR(
_xlfn.IFS(AND(AK31&gt;0,AK31&lt;($BC$3-$D31)),AK31,
AND(AK31&gt;0,AK31&gt;($BC$3-$D31)),($BC$3-$D31)),""))</f>
        <v/>
      </c>
      <c r="BK31" s="85" t="str" cm="1">
        <f t="array" ref="BK31">IF($C31&lt;&gt;"Production","",IFERROR(
_xlfn.IFS(AND(AL31&gt;0,AL31&lt;($BC$3-$D31)),AL31,
AND(AL31&gt;0,AL31&gt;($BC$3-$D31)),($BC$3-$D31)),""))</f>
        <v/>
      </c>
      <c r="BL31" s="85" t="str" cm="1">
        <f t="array" ref="BL31">IF($C31&lt;&gt;"Production","",IFERROR(
_xlfn.IFS(AND(AM31&gt;0,AM31&lt;($BC$3-$D31)),AM31,
AND(AM31&gt;0,AM31&gt;($BC$3-$D31)),($BC$3-$D31)),""))</f>
        <v/>
      </c>
      <c r="BM31" s="85">
        <f t="shared" si="47"/>
        <v>0</v>
      </c>
      <c r="BN31" s="81"/>
      <c r="BO31" s="85" t="str" cm="1">
        <f t="array" ref="BO31">IF($C31="Production","",IFERROR(
_xlfn.IFS(AND(AO31&gt;0,AO31&lt;($BC$3-$D31)),AO31,
AND(AO31&gt;0,AO31&gt;($BC$3-$D31)),($BC$3-$D31)),""))</f>
        <v/>
      </c>
      <c r="BP31" s="85" t="str" cm="1">
        <f t="array" ref="BP31">IF($C31="Production","",IFERROR(
_xlfn.IFS(AND(AP31&gt;0,AP31&lt;($BC$3-$D31)),AP31,
AND(AP31&gt;0,AP31&gt;($BC$3-$D31)),($BC$3-$D31)),""))</f>
        <v/>
      </c>
      <c r="BQ31" s="85" t="str" cm="1">
        <f t="array" ref="BQ31">IF($C31="Production","",IFERROR(
_xlfn.IFS(AND(AQ31&gt;0,AQ31&lt;($BC$3-$D31)),AQ31,
AND(AQ31&gt;0,AQ31&gt;($BC$3-$D31)),($BC$3-$D31)),""))</f>
        <v/>
      </c>
      <c r="BR31" s="85" t="str" cm="1">
        <f t="array" ref="BR31">IF($C31="Production","",IFERROR(
_xlfn.IFS(AND(AR31&gt;0,AR31&lt;($BC$3-$D31)),AR31,
AND(AR31&gt;0,AR31&gt;($BC$3-$D31)),($BC$3-$D31)),""))</f>
        <v/>
      </c>
      <c r="BS31" s="85" t="str" cm="1">
        <f t="array" ref="BS31">IF($C31="Production","",IFERROR(
_xlfn.IFS(AND(AS31&gt;0,AS31&lt;($BC$3-$D31)),AS31,
AND(AS31&gt;0,AS31&gt;($BC$3-$D31)),($BC$3-$D31)),""))</f>
        <v/>
      </c>
      <c r="BT31" s="85" t="str" cm="1">
        <f t="array" ref="BT31">IF($C31="Production","",IFERROR(
_xlfn.IFS(AND(AT31&gt;0,AT31&lt;($BC$3-$D31)),AT31,
AND(AT31&gt;0,AT31&gt;($BC$3-$D31)),($BC$3-$D31)),""))</f>
        <v/>
      </c>
      <c r="BU31" s="85" t="str" cm="1">
        <f t="array" ref="BU31">IF($C31="Production","",IFERROR(
_xlfn.IFS(AND(AU31&gt;0,AU31&lt;($BC$3-$D31)),AU31,
AND(AU31&gt;0,AU31&gt;($BC$3-$D31)),($BC$3-$D31)),""))</f>
        <v/>
      </c>
      <c r="BV31" s="85" t="str" cm="1">
        <f t="array" ref="BV31">IF($C31="Production","",IFERROR(
_xlfn.IFS(AND(AV31&gt;0,AV31&lt;($BC$3-$D31)),AV31,
AND(AV31&gt;0,AV31&gt;($BC$3-$D31)),($BC$3-$D31)),""))</f>
        <v/>
      </c>
      <c r="BW31" s="85" t="str" cm="1">
        <f t="array" ref="BW31">IF($C31="Production","",IFERROR(
_xlfn.IFS(AND(AW31&gt;0,AW31&lt;($BC$3-$D31)),AW31,
AND(AW31&gt;0,AW31&gt;($BC$3-$D31)),($BC$3-$D31)),""))</f>
        <v/>
      </c>
      <c r="BX31" s="85" t="str" cm="1">
        <f t="array" ref="BX31">IF($C31="Production","",IFERROR(
_xlfn.IFS(AND(AX31&gt;0,AX31&lt;($BC$3-$D31)),AX31,
AND(AX31&gt;0,AX31&gt;($BC$3-$D31)),($BC$3-$D31)),""))</f>
        <v/>
      </c>
      <c r="BY31" s="85" t="str" cm="1">
        <f t="array" ref="BY31">IF($C31="Production","",IFERROR(
_xlfn.IFS(AND(AY31&gt;0,AY31&lt;($BC$3-$D31)),AY31,
AND(AY31&gt;0,AY31&gt;($BC$3-$D31)),($BC$3-$D31)),""))</f>
        <v/>
      </c>
      <c r="BZ31" s="85">
        <f t="shared" si="48"/>
        <v>0</v>
      </c>
      <c r="CA31" s="81"/>
      <c r="CB31" s="85" t="str">
        <f t="shared" si="49"/>
        <v/>
      </c>
      <c r="CC31" s="85" t="str">
        <f t="shared" si="16"/>
        <v/>
      </c>
      <c r="CD31" s="85" t="str">
        <f t="shared" si="17"/>
        <v/>
      </c>
      <c r="CE31" s="85" t="str">
        <f t="shared" si="18"/>
        <v/>
      </c>
      <c r="CF31" s="85" t="str">
        <f t="shared" si="19"/>
        <v/>
      </c>
      <c r="CG31" s="85" t="str">
        <f t="shared" si="20"/>
        <v/>
      </c>
      <c r="CH31" s="85" t="str">
        <f t="shared" si="21"/>
        <v/>
      </c>
      <c r="CI31" s="85" t="str">
        <f t="shared" si="22"/>
        <v/>
      </c>
      <c r="CJ31" s="85" t="str">
        <f t="shared" si="23"/>
        <v/>
      </c>
      <c r="CK31" s="85" t="str">
        <f t="shared" si="24"/>
        <v/>
      </c>
      <c r="CL31" s="85" t="str">
        <f t="shared" si="25"/>
        <v/>
      </c>
      <c r="CM31" s="85">
        <f t="shared" si="50"/>
        <v>0</v>
      </c>
      <c r="CO31" s="80" t="str">
        <f t="shared" si="51"/>
        <v/>
      </c>
      <c r="CP31" s="80" t="str">
        <f t="shared" si="52"/>
        <v/>
      </c>
      <c r="CQ31" s="80" t="str">
        <f t="shared" si="53"/>
        <v/>
      </c>
      <c r="CR31" s="80" t="str">
        <f t="shared" si="54"/>
        <v/>
      </c>
      <c r="CS31" s="80" t="str">
        <f t="shared" si="55"/>
        <v/>
      </c>
      <c r="CT31" s="80" t="str">
        <f t="shared" si="56"/>
        <v/>
      </c>
      <c r="CU31" s="80" t="str">
        <f t="shared" si="57"/>
        <v/>
      </c>
      <c r="CV31" s="80" t="str">
        <f t="shared" si="58"/>
        <v/>
      </c>
      <c r="CW31" s="80" t="str">
        <f t="shared" si="59"/>
        <v/>
      </c>
      <c r="CX31" s="80" t="str">
        <f t="shared" si="60"/>
        <v/>
      </c>
      <c r="CY31" s="80" t="str">
        <f t="shared" si="61"/>
        <v/>
      </c>
      <c r="CZ31" s="80">
        <f t="shared" si="62"/>
        <v>0</v>
      </c>
      <c r="DB31" s="80">
        <f t="shared" si="63"/>
        <v>0</v>
      </c>
      <c r="DC31" s="80">
        <f t="shared" si="64"/>
        <v>0</v>
      </c>
      <c r="DD31" s="80">
        <f t="shared" si="65"/>
        <v>0</v>
      </c>
      <c r="DE31" s="80">
        <f t="shared" si="66"/>
        <v>-34</v>
      </c>
      <c r="DF31" s="80">
        <f t="shared" si="67"/>
        <v>-34</v>
      </c>
    </row>
    <row r="32" spans="2:110" x14ac:dyDescent="0.15">
      <c r="B32" s="83" t="str">
        <f>'MODU 2025'!B35</f>
        <v>PAIN Mélanie</v>
      </c>
      <c r="C32" s="83" t="str">
        <f>'MODU 2025'!C35</f>
        <v>Production</v>
      </c>
      <c r="D32" s="83">
        <f>'MODU 2025'!D35</f>
        <v>37</v>
      </c>
      <c r="E32" s="83">
        <f>'MODU 2025'!G35</f>
        <v>41</v>
      </c>
      <c r="F32" s="83">
        <f>'MODU 2025'!H35</f>
        <v>33</v>
      </c>
      <c r="G32" s="83">
        <f>'MODU 2025'!I35</f>
        <v>41</v>
      </c>
      <c r="H32" s="83">
        <f>'MODU 2025'!J35</f>
        <v>33</v>
      </c>
      <c r="I32" s="83">
        <f>'MODU 2025'!K35</f>
        <v>41</v>
      </c>
      <c r="J32" s="83">
        <f>'MODU 2025'!L35</f>
        <v>33</v>
      </c>
      <c r="K32" s="83">
        <f>'MODU 2025'!M35</f>
        <v>41</v>
      </c>
      <c r="L32" s="83">
        <f>'MODU 2025'!N35</f>
        <v>33</v>
      </c>
      <c r="M32" s="83">
        <f>'MODU 2025'!O35</f>
        <v>41</v>
      </c>
      <c r="N32" s="83">
        <f>'MODU 2025'!P35</f>
        <v>33</v>
      </c>
      <c r="O32" s="83">
        <f>'MODU 2025'!Q35</f>
        <v>41</v>
      </c>
      <c r="P32" s="85"/>
      <c r="Q32" s="85">
        <f>IF(MOD(COLUMN(),2)=0,INDEX(paramètres!$C$4:$C$6,MATCH($C32,paramètres!$B$4:$B$6,0)),INDEX(paramètres!$D$4:$D$6,MATCH($C32,paramètres!$B$4:$B$6,0)))</f>
        <v>41</v>
      </c>
      <c r="R32" s="85">
        <f>IF(MOD(COLUMN(),2)=0,INDEX(paramètres!$C$4:$C$6,MATCH($C32,paramètres!$B$4:$B$6,0)),INDEX(paramètres!$D$4:$D$6,MATCH($C32,paramètres!$B$4:$B$6,0)))</f>
        <v>33</v>
      </c>
      <c r="S32" s="85">
        <f>IF(MOD(COLUMN(),2)=0,INDEX(paramètres!$C$4:$C$6,MATCH($C32,paramètres!$B$4:$B$6,0)),INDEX(paramètres!$D$4:$D$6,MATCH($C32,paramètres!$B$4:$B$6,0)))</f>
        <v>41</v>
      </c>
      <c r="T32" s="85">
        <f>IF(MOD(COLUMN(),2)=0,INDEX(paramètres!$C$4:$C$6,MATCH($C32,paramètres!$B$4:$B$6,0)),INDEX(paramètres!$D$4:$D$6,MATCH($C32,paramètres!$B$4:$B$6,0)))</f>
        <v>33</v>
      </c>
      <c r="U32" s="85">
        <f>IF(MOD(COLUMN(),2)=0,INDEX(paramètres!$C$4:$C$6,MATCH($C32,paramètres!$B$4:$B$6,0)),INDEX(paramètres!$D$4:$D$6,MATCH($C32,paramètres!$B$4:$B$6,0)))</f>
        <v>41</v>
      </c>
      <c r="V32" s="85">
        <f>IF(MOD(COLUMN(),2)=0,INDEX(paramètres!$C$4:$C$6,MATCH($C32,paramètres!$B$4:$B$6,0)),INDEX(paramètres!$D$4:$D$6,MATCH($C32,paramètres!$B$4:$B$6,0)))</f>
        <v>33</v>
      </c>
      <c r="W32" s="85">
        <f>IF(MOD(COLUMN(),2)=0,INDEX(paramètres!$C$4:$C$6,MATCH($C32,paramètres!$B$4:$B$6,0)),INDEX(paramètres!$D$4:$D$6,MATCH($C32,paramètres!$B$4:$B$6,0)))</f>
        <v>41</v>
      </c>
      <c r="X32" s="85">
        <f>IF(MOD(COLUMN(),2)=0,INDEX(paramètres!$C$4:$C$6,MATCH($C32,paramètres!$B$4:$B$6,0)),INDEX(paramètres!$D$4:$D$6,MATCH($C32,paramètres!$B$4:$B$6,0)))</f>
        <v>33</v>
      </c>
      <c r="Y32" s="85">
        <f>IF(MOD(COLUMN(),2)=0,INDEX(paramètres!$C$4:$C$6,MATCH($C32,paramètres!$B$4:$B$6,0)),INDEX(paramètres!$D$4:$D$6,MATCH($C32,paramètres!$B$4:$B$6,0)))</f>
        <v>41</v>
      </c>
      <c r="Z32" s="85">
        <f>IF(MOD(COLUMN(),2)=0,INDEX(paramètres!$C$4:$C$6,MATCH($C32,paramètres!$B$4:$B$6,0)),INDEX(paramètres!$D$4:$D$6,MATCH($C32,paramètres!$B$4:$B$6,0)))</f>
        <v>33</v>
      </c>
      <c r="AA32" s="85">
        <f>IF(MOD(COLUMN(),2)=0,INDEX(paramètres!$C$4:$C$6,MATCH($C32,paramètres!$B$4:$B$6,0)),INDEX(paramètres!$D$4:$D$6,MATCH($C32,paramètres!$B$4:$B$6,0)))</f>
        <v>41</v>
      </c>
      <c r="AB32" s="86"/>
      <c r="AC32" s="85">
        <f t="shared" si="68"/>
        <v>0</v>
      </c>
      <c r="AD32" s="85">
        <f t="shared" si="26"/>
        <v>0</v>
      </c>
      <c r="AE32" s="85">
        <f t="shared" si="69"/>
        <v>0</v>
      </c>
      <c r="AF32" s="85">
        <f t="shared" si="27"/>
        <v>0</v>
      </c>
      <c r="AG32" s="85">
        <f t="shared" si="28"/>
        <v>0</v>
      </c>
      <c r="AH32" s="85">
        <f t="shared" si="29"/>
        <v>0</v>
      </c>
      <c r="AI32" s="85">
        <f t="shared" si="30"/>
        <v>0</v>
      </c>
      <c r="AJ32" s="85">
        <f t="shared" si="31"/>
        <v>0</v>
      </c>
      <c r="AK32" s="85">
        <f t="shared" si="32"/>
        <v>0</v>
      </c>
      <c r="AL32" s="85">
        <f t="shared" si="33"/>
        <v>0</v>
      </c>
      <c r="AM32" s="85">
        <f t="shared" si="34"/>
        <v>-33</v>
      </c>
      <c r="AN32" s="85"/>
      <c r="AO32" s="85" t="str">
        <f t="shared" si="35"/>
        <v/>
      </c>
      <c r="AP32" s="85" t="str">
        <f t="shared" si="36"/>
        <v/>
      </c>
      <c r="AQ32" s="85" t="str">
        <f t="shared" si="37"/>
        <v/>
      </c>
      <c r="AR32" s="85" t="str">
        <f t="shared" si="38"/>
        <v/>
      </c>
      <c r="AS32" s="85" t="str">
        <f t="shared" si="39"/>
        <v/>
      </c>
      <c r="AT32" s="85" t="str">
        <f t="shared" si="40"/>
        <v/>
      </c>
      <c r="AU32" s="85" t="str">
        <f t="shared" si="41"/>
        <v/>
      </c>
      <c r="AV32" s="85" t="str">
        <f t="shared" si="42"/>
        <v/>
      </c>
      <c r="AW32" s="85" t="str">
        <f t="shared" si="43"/>
        <v/>
      </c>
      <c r="AX32" s="85" t="str">
        <f t="shared" si="44"/>
        <v/>
      </c>
      <c r="AY32" s="85" t="str">
        <f t="shared" si="45"/>
        <v/>
      </c>
      <c r="AZ32" s="85">
        <f t="shared" si="46"/>
        <v>0</v>
      </c>
      <c r="BA32" s="35"/>
      <c r="BB32" s="85" t="str" cm="1">
        <f t="array" ref="BB32">IF($C32&lt;&gt;"Production","",IFERROR(
_xlfn.IFS(AND(AC32&gt;0,AC32&lt;($BC$3-$D32)),AC32,
AND(AC32&gt;0,AC32&gt;($BC$3-$D32)),($BC$3-$D32)),""))</f>
        <v/>
      </c>
      <c r="BC32" s="85" t="str" cm="1">
        <f t="array" ref="BC32">IF($C32&lt;&gt;"Production","",IFERROR(
_xlfn.IFS(AND(AD32&gt;0,AD32&lt;($BC$3-$D32)),AD32,
AND(AD32&gt;0,AD32&gt;($BC$3-$D32)),($BC$3-$D32)),""))</f>
        <v/>
      </c>
      <c r="BD32" s="85" t="str" cm="1">
        <f t="array" ref="BD32">IF($C32&lt;&gt;"Production","",IFERROR(
_xlfn.IFS(AND(AE32&gt;0,AE32&lt;($BC$3-$D32)),AE32,
AND(AE32&gt;0,AE32&gt;($BC$3-$D32)),($BC$3-$D32)),""))</f>
        <v/>
      </c>
      <c r="BE32" s="85" t="str" cm="1">
        <f t="array" ref="BE32">IF($C32&lt;&gt;"Production","",IFERROR(
_xlfn.IFS(AND(AF32&gt;0,AF32&lt;($BC$3-$D32)),AF32,
AND(AF32&gt;0,AF32&gt;($BC$3-$D32)),($BC$3-$D32)),""))</f>
        <v/>
      </c>
      <c r="BF32" s="85" t="str" cm="1">
        <f t="array" ref="BF32">IF($C32&lt;&gt;"Production","",IFERROR(
_xlfn.IFS(AND(AG32&gt;0,AG32&lt;($BC$3-$D32)),AG32,
AND(AG32&gt;0,AG32&gt;($BC$3-$D32)),($BC$3-$D32)),""))</f>
        <v/>
      </c>
      <c r="BG32" s="85" t="str" cm="1">
        <f t="array" ref="BG32">IF($C32&lt;&gt;"Production","",IFERROR(
_xlfn.IFS(AND(AH32&gt;0,AH32&lt;($BC$3-$D32)),AH32,
AND(AH32&gt;0,AH32&gt;($BC$3-$D32)),($BC$3-$D32)),""))</f>
        <v/>
      </c>
      <c r="BH32" s="85" t="str" cm="1">
        <f t="array" ref="BH32">IF($C32&lt;&gt;"Production","",IFERROR(
_xlfn.IFS(AND(AI32&gt;0,AI32&lt;($BC$3-$D32)),AI32,
AND(AI32&gt;0,AI32&gt;($BC$3-$D32)),($BC$3-$D32)),""))</f>
        <v/>
      </c>
      <c r="BI32" s="85" t="str" cm="1">
        <f t="array" ref="BI32">IF($C32&lt;&gt;"Production","",IFERROR(
_xlfn.IFS(AND(AJ32&gt;0,AJ32&lt;($BC$3-$D32)),AJ32,
AND(AJ32&gt;0,AJ32&gt;($BC$3-$D32)),($BC$3-$D32)),""))</f>
        <v/>
      </c>
      <c r="BJ32" s="85" t="str" cm="1">
        <f t="array" ref="BJ32">IF($C32&lt;&gt;"Production","",IFERROR(
_xlfn.IFS(AND(AK32&gt;0,AK32&lt;($BC$3-$D32)),AK32,
AND(AK32&gt;0,AK32&gt;($BC$3-$D32)),($BC$3-$D32)),""))</f>
        <v/>
      </c>
      <c r="BK32" s="85" t="str" cm="1">
        <f t="array" ref="BK32">IF($C32&lt;&gt;"Production","",IFERROR(
_xlfn.IFS(AND(AL32&gt;0,AL32&lt;($BC$3-$D32)),AL32,
AND(AL32&gt;0,AL32&gt;($BC$3-$D32)),($BC$3-$D32)),""))</f>
        <v/>
      </c>
      <c r="BL32" s="85" t="str" cm="1">
        <f t="array" ref="BL32">IF($C32&lt;&gt;"Production","",IFERROR(
_xlfn.IFS(AND(AM32&gt;0,AM32&lt;($BC$3-$D32)),AM32,
AND(AM32&gt;0,AM32&gt;($BC$3-$D32)),($BC$3-$D32)),""))</f>
        <v/>
      </c>
      <c r="BM32" s="85">
        <f t="shared" si="47"/>
        <v>0</v>
      </c>
      <c r="BN32" s="81"/>
      <c r="BO32" s="85" t="str" cm="1">
        <f t="array" ref="BO32">IF($C32="Production","",IFERROR(
_xlfn.IFS(AND(AO32&gt;0,AO32&lt;($BC$3-$D32)),AO32,
AND(AO32&gt;0,AO32&gt;($BC$3-$D32)),($BC$3-$D32)),""))</f>
        <v/>
      </c>
      <c r="BP32" s="85" t="str" cm="1">
        <f t="array" ref="BP32">IF($C32="Production","",IFERROR(
_xlfn.IFS(AND(AP32&gt;0,AP32&lt;($BC$3-$D32)),AP32,
AND(AP32&gt;0,AP32&gt;($BC$3-$D32)),($BC$3-$D32)),""))</f>
        <v/>
      </c>
      <c r="BQ32" s="85" t="str" cm="1">
        <f t="array" ref="BQ32">IF($C32="Production","",IFERROR(
_xlfn.IFS(AND(AQ32&gt;0,AQ32&lt;($BC$3-$D32)),AQ32,
AND(AQ32&gt;0,AQ32&gt;($BC$3-$D32)),($BC$3-$D32)),""))</f>
        <v/>
      </c>
      <c r="BR32" s="85" t="str" cm="1">
        <f t="array" ref="BR32">IF($C32="Production","",IFERROR(
_xlfn.IFS(AND(AR32&gt;0,AR32&lt;($BC$3-$D32)),AR32,
AND(AR32&gt;0,AR32&gt;($BC$3-$D32)),($BC$3-$D32)),""))</f>
        <v/>
      </c>
      <c r="BS32" s="85" t="str" cm="1">
        <f t="array" ref="BS32">IF($C32="Production","",IFERROR(
_xlfn.IFS(AND(AS32&gt;0,AS32&lt;($BC$3-$D32)),AS32,
AND(AS32&gt;0,AS32&gt;($BC$3-$D32)),($BC$3-$D32)),""))</f>
        <v/>
      </c>
      <c r="BT32" s="85" t="str" cm="1">
        <f t="array" ref="BT32">IF($C32="Production","",IFERROR(
_xlfn.IFS(AND(AT32&gt;0,AT32&lt;($BC$3-$D32)),AT32,
AND(AT32&gt;0,AT32&gt;($BC$3-$D32)),($BC$3-$D32)),""))</f>
        <v/>
      </c>
      <c r="BU32" s="85" t="str" cm="1">
        <f t="array" ref="BU32">IF($C32="Production","",IFERROR(
_xlfn.IFS(AND(AU32&gt;0,AU32&lt;($BC$3-$D32)),AU32,
AND(AU32&gt;0,AU32&gt;($BC$3-$D32)),($BC$3-$D32)),""))</f>
        <v/>
      </c>
      <c r="BV32" s="85" t="str" cm="1">
        <f t="array" ref="BV32">IF($C32="Production","",IFERROR(
_xlfn.IFS(AND(AV32&gt;0,AV32&lt;($BC$3-$D32)),AV32,
AND(AV32&gt;0,AV32&gt;($BC$3-$D32)),($BC$3-$D32)),""))</f>
        <v/>
      </c>
      <c r="BW32" s="85" t="str" cm="1">
        <f t="array" ref="BW32">IF($C32="Production","",IFERROR(
_xlfn.IFS(AND(AW32&gt;0,AW32&lt;($BC$3-$D32)),AW32,
AND(AW32&gt;0,AW32&gt;($BC$3-$D32)),($BC$3-$D32)),""))</f>
        <v/>
      </c>
      <c r="BX32" s="85" t="str" cm="1">
        <f t="array" ref="BX32">IF($C32="Production","",IFERROR(
_xlfn.IFS(AND(AX32&gt;0,AX32&lt;($BC$3-$D32)),AX32,
AND(AX32&gt;0,AX32&gt;($BC$3-$D32)),($BC$3-$D32)),""))</f>
        <v/>
      </c>
      <c r="BY32" s="85" t="str" cm="1">
        <f t="array" ref="BY32">IF($C32="Production","",IFERROR(
_xlfn.IFS(AND(AY32&gt;0,AY32&lt;($BC$3-$D32)),AY32,
AND(AY32&gt;0,AY32&gt;($BC$3-$D32)),($BC$3-$D32)),""))</f>
        <v/>
      </c>
      <c r="BZ32" s="85">
        <f t="shared" si="48"/>
        <v>0</v>
      </c>
      <c r="CA32" s="81"/>
      <c r="CB32" s="85" t="str">
        <f t="shared" si="49"/>
        <v/>
      </c>
      <c r="CC32" s="85" t="str">
        <f t="shared" si="16"/>
        <v/>
      </c>
      <c r="CD32" s="85" t="str">
        <f t="shared" si="17"/>
        <v/>
      </c>
      <c r="CE32" s="85" t="str">
        <f t="shared" si="18"/>
        <v/>
      </c>
      <c r="CF32" s="85" t="str">
        <f t="shared" si="19"/>
        <v/>
      </c>
      <c r="CG32" s="85" t="str">
        <f t="shared" si="20"/>
        <v/>
      </c>
      <c r="CH32" s="85" t="str">
        <f t="shared" si="21"/>
        <v/>
      </c>
      <c r="CI32" s="85" t="str">
        <f t="shared" si="22"/>
        <v/>
      </c>
      <c r="CJ32" s="85" t="str">
        <f t="shared" si="23"/>
        <v/>
      </c>
      <c r="CK32" s="85" t="str">
        <f t="shared" si="24"/>
        <v/>
      </c>
      <c r="CL32" s="85" t="str">
        <f t="shared" si="25"/>
        <v/>
      </c>
      <c r="CM32" s="85">
        <f t="shared" si="50"/>
        <v>0</v>
      </c>
      <c r="CO32" s="80" t="str">
        <f t="shared" si="51"/>
        <v/>
      </c>
      <c r="CP32" s="80" t="str">
        <f t="shared" si="52"/>
        <v/>
      </c>
      <c r="CQ32" s="80" t="str">
        <f t="shared" si="53"/>
        <v/>
      </c>
      <c r="CR32" s="80" t="str">
        <f t="shared" si="54"/>
        <v/>
      </c>
      <c r="CS32" s="80" t="str">
        <f t="shared" si="55"/>
        <v/>
      </c>
      <c r="CT32" s="80" t="str">
        <f t="shared" si="56"/>
        <v/>
      </c>
      <c r="CU32" s="80" t="str">
        <f t="shared" si="57"/>
        <v/>
      </c>
      <c r="CV32" s="80" t="str">
        <f t="shared" si="58"/>
        <v/>
      </c>
      <c r="CW32" s="80" t="str">
        <f t="shared" si="59"/>
        <v/>
      </c>
      <c r="CX32" s="80" t="str">
        <f t="shared" si="60"/>
        <v/>
      </c>
      <c r="CY32" s="80" t="str">
        <f t="shared" si="61"/>
        <v/>
      </c>
      <c r="CZ32" s="80">
        <f t="shared" si="62"/>
        <v>0</v>
      </c>
      <c r="DB32" s="80">
        <f t="shared" si="63"/>
        <v>0</v>
      </c>
      <c r="DC32" s="80">
        <f t="shared" si="64"/>
        <v>0</v>
      </c>
      <c r="DD32" s="80">
        <f t="shared" si="65"/>
        <v>0</v>
      </c>
      <c r="DE32" s="80">
        <f t="shared" si="66"/>
        <v>-33</v>
      </c>
      <c r="DF32" s="80">
        <f t="shared" si="67"/>
        <v>-33</v>
      </c>
    </row>
    <row r="33" spans="2:110" x14ac:dyDescent="0.15">
      <c r="B33" s="83" t="str">
        <f>'MODU 2025'!B36</f>
        <v>PENINGUY Grégory</v>
      </c>
      <c r="C33" s="83" t="str">
        <f>'MODU 2025'!C36</f>
        <v>Production</v>
      </c>
      <c r="D33" s="83">
        <f>'MODU 2025'!D36</f>
        <v>37</v>
      </c>
      <c r="E33" s="83">
        <f>'MODU 2025'!G36</f>
        <v>39</v>
      </c>
      <c r="F33" s="83">
        <f>'MODU 2025'!H36</f>
        <v>38</v>
      </c>
      <c r="G33" s="83">
        <f>'MODU 2025'!I36</f>
        <v>40.75</v>
      </c>
      <c r="H33" s="83">
        <f>'MODU 2025'!J36</f>
        <v>33</v>
      </c>
      <c r="I33" s="83">
        <f>'MODU 2025'!K36</f>
        <v>41</v>
      </c>
      <c r="J33" s="83">
        <f>'MODU 2025'!L36</f>
        <v>33</v>
      </c>
      <c r="K33" s="83">
        <f>'MODU 2025'!M36</f>
        <v>41</v>
      </c>
      <c r="L33" s="83">
        <f>'MODU 2025'!N36</f>
        <v>33</v>
      </c>
      <c r="M33" s="83">
        <f>'MODU 2025'!O36</f>
        <v>41</v>
      </c>
      <c r="N33" s="83">
        <f>'MODU 2025'!P36</f>
        <v>33</v>
      </c>
      <c r="O33" s="83">
        <f>'MODU 2025'!Q36</f>
        <v>41</v>
      </c>
      <c r="P33" s="85"/>
      <c r="Q33" s="85">
        <f>IF(MOD(COLUMN(),2)=0,INDEX(paramètres!$C$4:$C$6,MATCH($C33,paramètres!$B$4:$B$6,0)),INDEX(paramètres!$D$4:$D$6,MATCH($C33,paramètres!$B$4:$B$6,0)))</f>
        <v>41</v>
      </c>
      <c r="R33" s="85">
        <f>IF(MOD(COLUMN(),2)=0,INDEX(paramètres!$C$4:$C$6,MATCH($C33,paramètres!$B$4:$B$6,0)),INDEX(paramètres!$D$4:$D$6,MATCH($C33,paramètres!$B$4:$B$6,0)))</f>
        <v>33</v>
      </c>
      <c r="S33" s="85">
        <f>IF(MOD(COLUMN(),2)=0,INDEX(paramètres!$C$4:$C$6,MATCH($C33,paramètres!$B$4:$B$6,0)),INDEX(paramètres!$D$4:$D$6,MATCH($C33,paramètres!$B$4:$B$6,0)))</f>
        <v>41</v>
      </c>
      <c r="T33" s="85">
        <f>IF(MOD(COLUMN(),2)=0,INDEX(paramètres!$C$4:$C$6,MATCH($C33,paramètres!$B$4:$B$6,0)),INDEX(paramètres!$D$4:$D$6,MATCH($C33,paramètres!$B$4:$B$6,0)))</f>
        <v>33</v>
      </c>
      <c r="U33" s="85">
        <f>IF(MOD(COLUMN(),2)=0,INDEX(paramètres!$C$4:$C$6,MATCH($C33,paramètres!$B$4:$B$6,0)),INDEX(paramètres!$D$4:$D$6,MATCH($C33,paramètres!$B$4:$B$6,0)))</f>
        <v>41</v>
      </c>
      <c r="V33" s="85">
        <f>IF(MOD(COLUMN(),2)=0,INDEX(paramètres!$C$4:$C$6,MATCH($C33,paramètres!$B$4:$B$6,0)),INDEX(paramètres!$D$4:$D$6,MATCH($C33,paramètres!$B$4:$B$6,0)))</f>
        <v>33</v>
      </c>
      <c r="W33" s="85">
        <f>IF(MOD(COLUMN(),2)=0,INDEX(paramètres!$C$4:$C$6,MATCH($C33,paramètres!$B$4:$B$6,0)),INDEX(paramètres!$D$4:$D$6,MATCH($C33,paramètres!$B$4:$B$6,0)))</f>
        <v>41</v>
      </c>
      <c r="X33" s="85">
        <f>IF(MOD(COLUMN(),2)=0,INDEX(paramètres!$C$4:$C$6,MATCH($C33,paramètres!$B$4:$B$6,0)),INDEX(paramètres!$D$4:$D$6,MATCH($C33,paramètres!$B$4:$B$6,0)))</f>
        <v>33</v>
      </c>
      <c r="Y33" s="85">
        <f>IF(MOD(COLUMN(),2)=0,INDEX(paramètres!$C$4:$C$6,MATCH($C33,paramètres!$B$4:$B$6,0)),INDEX(paramètres!$D$4:$D$6,MATCH($C33,paramètres!$B$4:$B$6,0)))</f>
        <v>41</v>
      </c>
      <c r="Z33" s="85">
        <f>IF(MOD(COLUMN(),2)=0,INDEX(paramètres!$C$4:$C$6,MATCH($C33,paramètres!$B$4:$B$6,0)),INDEX(paramètres!$D$4:$D$6,MATCH($C33,paramètres!$B$4:$B$6,0)))</f>
        <v>33</v>
      </c>
      <c r="AA33" s="85">
        <f>IF(MOD(COLUMN(),2)=0,INDEX(paramètres!$C$4:$C$6,MATCH($C33,paramètres!$B$4:$B$6,0)),INDEX(paramètres!$D$4:$D$6,MATCH($C33,paramètres!$B$4:$B$6,0)))</f>
        <v>41</v>
      </c>
      <c r="AB33" s="86"/>
      <c r="AC33" s="85">
        <f t="shared" si="68"/>
        <v>3</v>
      </c>
      <c r="AD33" s="85">
        <f t="shared" si="26"/>
        <v>0</v>
      </c>
      <c r="AE33" s="85">
        <f t="shared" si="69"/>
        <v>-0.25</v>
      </c>
      <c r="AF33" s="85">
        <f t="shared" si="27"/>
        <v>0</v>
      </c>
      <c r="AG33" s="85">
        <f t="shared" si="28"/>
        <v>0</v>
      </c>
      <c r="AH33" s="85">
        <f t="shared" si="29"/>
        <v>0</v>
      </c>
      <c r="AI33" s="85">
        <f t="shared" si="30"/>
        <v>0</v>
      </c>
      <c r="AJ33" s="85">
        <f t="shared" si="31"/>
        <v>0</v>
      </c>
      <c r="AK33" s="85">
        <f t="shared" si="32"/>
        <v>0</v>
      </c>
      <c r="AL33" s="85">
        <f t="shared" si="33"/>
        <v>0</v>
      </c>
      <c r="AM33" s="85">
        <f t="shared" si="34"/>
        <v>-33</v>
      </c>
      <c r="AN33" s="85"/>
      <c r="AO33" s="85" t="str">
        <f t="shared" si="35"/>
        <v/>
      </c>
      <c r="AP33" s="85" t="str">
        <f t="shared" si="36"/>
        <v/>
      </c>
      <c r="AQ33" s="85" t="str">
        <f t="shared" si="37"/>
        <v/>
      </c>
      <c r="AR33" s="85" t="str">
        <f t="shared" si="38"/>
        <v/>
      </c>
      <c r="AS33" s="85" t="str">
        <f t="shared" si="39"/>
        <v/>
      </c>
      <c r="AT33" s="85" t="str">
        <f t="shared" si="40"/>
        <v/>
      </c>
      <c r="AU33" s="85" t="str">
        <f t="shared" si="41"/>
        <v/>
      </c>
      <c r="AV33" s="85" t="str">
        <f t="shared" si="42"/>
        <v/>
      </c>
      <c r="AW33" s="85" t="str">
        <f t="shared" si="43"/>
        <v/>
      </c>
      <c r="AX33" s="85" t="str">
        <f t="shared" si="44"/>
        <v/>
      </c>
      <c r="AY33" s="85" t="str">
        <f t="shared" si="45"/>
        <v/>
      </c>
      <c r="AZ33" s="85">
        <f t="shared" si="46"/>
        <v>0</v>
      </c>
      <c r="BA33" s="35"/>
      <c r="BB33" s="85" cm="1">
        <f t="array" ref="BB33">IF($C33&lt;&gt;"Production","",IFERROR(
_xlfn.IFS(AND(AC33&gt;0,AC33&lt;($BC$3-$D33)),AC33,
AND(AC33&gt;0,AC33&gt;($BC$3-$D33)),($BC$3-$D33)),""))</f>
        <v>3</v>
      </c>
      <c r="BC33" s="85" t="str" cm="1">
        <f t="array" ref="BC33">IF($C33&lt;&gt;"Production","",IFERROR(
_xlfn.IFS(AND(AD33&gt;0,AD33&lt;($BC$3-$D33)),AD33,
AND(AD33&gt;0,AD33&gt;($BC$3-$D33)),($BC$3-$D33)),""))</f>
        <v/>
      </c>
      <c r="BD33" s="85" t="str" cm="1">
        <f t="array" ref="BD33">IF($C33&lt;&gt;"Production","",IFERROR(
_xlfn.IFS(AND(AE33&gt;0,AE33&lt;($BC$3-$D33)),AE33,
AND(AE33&gt;0,AE33&gt;($BC$3-$D33)),($BC$3-$D33)),""))</f>
        <v/>
      </c>
      <c r="BE33" s="85" t="str" cm="1">
        <f t="array" ref="BE33">IF($C33&lt;&gt;"Production","",IFERROR(
_xlfn.IFS(AND(AF33&gt;0,AF33&lt;($BC$3-$D33)),AF33,
AND(AF33&gt;0,AF33&gt;($BC$3-$D33)),($BC$3-$D33)),""))</f>
        <v/>
      </c>
      <c r="BF33" s="85" t="str" cm="1">
        <f t="array" ref="BF33">IF($C33&lt;&gt;"Production","",IFERROR(
_xlfn.IFS(AND(AG33&gt;0,AG33&lt;($BC$3-$D33)),AG33,
AND(AG33&gt;0,AG33&gt;($BC$3-$D33)),($BC$3-$D33)),""))</f>
        <v/>
      </c>
      <c r="BG33" s="85" t="str" cm="1">
        <f t="array" ref="BG33">IF($C33&lt;&gt;"Production","",IFERROR(
_xlfn.IFS(AND(AH33&gt;0,AH33&lt;($BC$3-$D33)),AH33,
AND(AH33&gt;0,AH33&gt;($BC$3-$D33)),($BC$3-$D33)),""))</f>
        <v/>
      </c>
      <c r="BH33" s="85" t="str" cm="1">
        <f t="array" ref="BH33">IF($C33&lt;&gt;"Production","",IFERROR(
_xlfn.IFS(AND(AI33&gt;0,AI33&lt;($BC$3-$D33)),AI33,
AND(AI33&gt;0,AI33&gt;($BC$3-$D33)),($BC$3-$D33)),""))</f>
        <v/>
      </c>
      <c r="BI33" s="85" t="str" cm="1">
        <f t="array" ref="BI33">IF($C33&lt;&gt;"Production","",IFERROR(
_xlfn.IFS(AND(AJ33&gt;0,AJ33&lt;($BC$3-$D33)),AJ33,
AND(AJ33&gt;0,AJ33&gt;($BC$3-$D33)),($BC$3-$D33)),""))</f>
        <v/>
      </c>
      <c r="BJ33" s="85" t="str" cm="1">
        <f t="array" ref="BJ33">IF($C33&lt;&gt;"Production","",IFERROR(
_xlfn.IFS(AND(AK33&gt;0,AK33&lt;($BC$3-$D33)),AK33,
AND(AK33&gt;0,AK33&gt;($BC$3-$D33)),($BC$3-$D33)),""))</f>
        <v/>
      </c>
      <c r="BK33" s="85" t="str" cm="1">
        <f t="array" ref="BK33">IF($C33&lt;&gt;"Production","",IFERROR(
_xlfn.IFS(AND(AL33&gt;0,AL33&lt;($BC$3-$D33)),AL33,
AND(AL33&gt;0,AL33&gt;($BC$3-$D33)),($BC$3-$D33)),""))</f>
        <v/>
      </c>
      <c r="BL33" s="85" t="str" cm="1">
        <f t="array" ref="BL33">IF($C33&lt;&gt;"Production","",IFERROR(
_xlfn.IFS(AND(AM33&gt;0,AM33&lt;($BC$3-$D33)),AM33,
AND(AM33&gt;0,AM33&gt;($BC$3-$D33)),($BC$3-$D33)),""))</f>
        <v/>
      </c>
      <c r="BM33" s="85">
        <f t="shared" si="47"/>
        <v>3</v>
      </c>
      <c r="BN33" s="81"/>
      <c r="BO33" s="85" t="str" cm="1">
        <f t="array" ref="BO33">IF($C33="Production","",IFERROR(
_xlfn.IFS(AND(AO33&gt;0,AO33&lt;($BC$3-$D33)),AO33,
AND(AO33&gt;0,AO33&gt;($BC$3-$D33)),($BC$3-$D33)),""))</f>
        <v/>
      </c>
      <c r="BP33" s="85" t="str" cm="1">
        <f t="array" ref="BP33">IF($C33="Production","",IFERROR(
_xlfn.IFS(AND(AP33&gt;0,AP33&lt;($BC$3-$D33)),AP33,
AND(AP33&gt;0,AP33&gt;($BC$3-$D33)),($BC$3-$D33)),""))</f>
        <v/>
      </c>
      <c r="BQ33" s="85" t="str" cm="1">
        <f t="array" ref="BQ33">IF($C33="Production","",IFERROR(
_xlfn.IFS(AND(AQ33&gt;0,AQ33&lt;($BC$3-$D33)),AQ33,
AND(AQ33&gt;0,AQ33&gt;($BC$3-$D33)),($BC$3-$D33)),""))</f>
        <v/>
      </c>
      <c r="BR33" s="85" t="str" cm="1">
        <f t="array" ref="BR33">IF($C33="Production","",IFERROR(
_xlfn.IFS(AND(AR33&gt;0,AR33&lt;($BC$3-$D33)),AR33,
AND(AR33&gt;0,AR33&gt;($BC$3-$D33)),($BC$3-$D33)),""))</f>
        <v/>
      </c>
      <c r="BS33" s="85" t="str" cm="1">
        <f t="array" ref="BS33">IF($C33="Production","",IFERROR(
_xlfn.IFS(AND(AS33&gt;0,AS33&lt;($BC$3-$D33)),AS33,
AND(AS33&gt;0,AS33&gt;($BC$3-$D33)),($BC$3-$D33)),""))</f>
        <v/>
      </c>
      <c r="BT33" s="85" t="str" cm="1">
        <f t="array" ref="BT33">IF($C33="Production","",IFERROR(
_xlfn.IFS(AND(AT33&gt;0,AT33&lt;($BC$3-$D33)),AT33,
AND(AT33&gt;0,AT33&gt;($BC$3-$D33)),($BC$3-$D33)),""))</f>
        <v/>
      </c>
      <c r="BU33" s="85" t="str" cm="1">
        <f t="array" ref="BU33">IF($C33="Production","",IFERROR(
_xlfn.IFS(AND(AU33&gt;0,AU33&lt;($BC$3-$D33)),AU33,
AND(AU33&gt;0,AU33&gt;($BC$3-$D33)),($BC$3-$D33)),""))</f>
        <v/>
      </c>
      <c r="BV33" s="85" t="str" cm="1">
        <f t="array" ref="BV33">IF($C33="Production","",IFERROR(
_xlfn.IFS(AND(AV33&gt;0,AV33&lt;($BC$3-$D33)),AV33,
AND(AV33&gt;0,AV33&gt;($BC$3-$D33)),($BC$3-$D33)),""))</f>
        <v/>
      </c>
      <c r="BW33" s="85" t="str" cm="1">
        <f t="array" ref="BW33">IF($C33="Production","",IFERROR(
_xlfn.IFS(AND(AW33&gt;0,AW33&lt;($BC$3-$D33)),AW33,
AND(AW33&gt;0,AW33&gt;($BC$3-$D33)),($BC$3-$D33)),""))</f>
        <v/>
      </c>
      <c r="BX33" s="85" t="str" cm="1">
        <f t="array" ref="BX33">IF($C33="Production","",IFERROR(
_xlfn.IFS(AND(AX33&gt;0,AX33&lt;($BC$3-$D33)),AX33,
AND(AX33&gt;0,AX33&gt;($BC$3-$D33)),($BC$3-$D33)),""))</f>
        <v/>
      </c>
      <c r="BY33" s="85" t="str" cm="1">
        <f t="array" ref="BY33">IF($C33="Production","",IFERROR(
_xlfn.IFS(AND(AY33&gt;0,AY33&lt;($BC$3-$D33)),AY33,
AND(AY33&gt;0,AY33&gt;($BC$3-$D33)),($BC$3-$D33)),""))</f>
        <v/>
      </c>
      <c r="BZ33" s="85">
        <f t="shared" si="48"/>
        <v>0</v>
      </c>
      <c r="CA33" s="81"/>
      <c r="CB33" s="85" t="str">
        <f t="shared" si="49"/>
        <v/>
      </c>
      <c r="CC33" s="85" t="str">
        <f t="shared" si="16"/>
        <v/>
      </c>
      <c r="CD33" s="85" t="str">
        <f t="shared" si="17"/>
        <v/>
      </c>
      <c r="CE33" s="85" t="str">
        <f t="shared" si="18"/>
        <v/>
      </c>
      <c r="CF33" s="85" t="str">
        <f t="shared" si="19"/>
        <v/>
      </c>
      <c r="CG33" s="85" t="str">
        <f t="shared" si="20"/>
        <v/>
      </c>
      <c r="CH33" s="85" t="str">
        <f t="shared" si="21"/>
        <v/>
      </c>
      <c r="CI33" s="85" t="str">
        <f t="shared" si="22"/>
        <v/>
      </c>
      <c r="CJ33" s="85" t="str">
        <f t="shared" si="23"/>
        <v/>
      </c>
      <c r="CK33" s="85" t="str">
        <f t="shared" si="24"/>
        <v/>
      </c>
      <c r="CL33" s="85" t="str">
        <f t="shared" si="25"/>
        <v/>
      </c>
      <c r="CM33" s="85">
        <f t="shared" si="50"/>
        <v>0</v>
      </c>
      <c r="CO33" s="80" t="str">
        <f t="shared" si="51"/>
        <v/>
      </c>
      <c r="CP33" s="80" t="str">
        <f t="shared" si="52"/>
        <v/>
      </c>
      <c r="CQ33" s="80" t="str">
        <f t="shared" si="53"/>
        <v/>
      </c>
      <c r="CR33" s="80" t="str">
        <f t="shared" si="54"/>
        <v/>
      </c>
      <c r="CS33" s="80" t="str">
        <f t="shared" si="55"/>
        <v/>
      </c>
      <c r="CT33" s="80" t="str">
        <f t="shared" si="56"/>
        <v/>
      </c>
      <c r="CU33" s="80" t="str">
        <f t="shared" si="57"/>
        <v/>
      </c>
      <c r="CV33" s="80" t="str">
        <f t="shared" si="58"/>
        <v/>
      </c>
      <c r="CW33" s="80" t="str">
        <f t="shared" si="59"/>
        <v/>
      </c>
      <c r="CX33" s="80" t="str">
        <f t="shared" si="60"/>
        <v/>
      </c>
      <c r="CY33" s="80" t="str">
        <f t="shared" si="61"/>
        <v/>
      </c>
      <c r="CZ33" s="80">
        <f t="shared" si="62"/>
        <v>0</v>
      </c>
      <c r="DB33" s="80">
        <f t="shared" si="63"/>
        <v>3</v>
      </c>
      <c r="DC33" s="80">
        <f t="shared" si="64"/>
        <v>0</v>
      </c>
      <c r="DD33" s="80">
        <f t="shared" si="65"/>
        <v>3.75</v>
      </c>
      <c r="DE33" s="80">
        <f t="shared" si="66"/>
        <v>-33.25</v>
      </c>
      <c r="DF33" s="80">
        <f t="shared" si="67"/>
        <v>-29.5</v>
      </c>
    </row>
    <row r="34" spans="2:110" x14ac:dyDescent="0.15">
      <c r="B34" s="83" t="str">
        <f>'MODU 2025'!B37</f>
        <v>RECCHIA Laetitia</v>
      </c>
      <c r="C34" s="83" t="str">
        <f>'MODU 2025'!C37</f>
        <v>Production CE</v>
      </c>
      <c r="D34" s="83">
        <f>'MODU 2025'!D37</f>
        <v>39</v>
      </c>
      <c r="E34" s="83">
        <f>'MODU 2025'!G37</f>
        <v>39</v>
      </c>
      <c r="F34" s="83">
        <f>'MODU 2025'!H37</f>
        <v>39</v>
      </c>
      <c r="G34" s="83">
        <f>'MODU 2025'!I37</f>
        <v>39</v>
      </c>
      <c r="H34" s="83">
        <f>'MODU 2025'!J37</f>
        <v>39</v>
      </c>
      <c r="I34" s="83">
        <f>'MODU 2025'!K37</f>
        <v>39</v>
      </c>
      <c r="J34" s="83">
        <f>'MODU 2025'!L37</f>
        <v>39</v>
      </c>
      <c r="K34" s="83">
        <f>'MODU 2025'!M37</f>
        <v>39</v>
      </c>
      <c r="L34" s="83">
        <f>'MODU 2025'!N37</f>
        <v>39</v>
      </c>
      <c r="M34" s="83">
        <f>'MODU 2025'!O37</f>
        <v>39</v>
      </c>
      <c r="N34" s="83">
        <f>'MODU 2025'!P37</f>
        <v>39</v>
      </c>
      <c r="O34" s="83">
        <f>'MODU 2025'!Q37</f>
        <v>39</v>
      </c>
      <c r="P34" s="85"/>
      <c r="Q34" s="85">
        <f>IF(MOD(COLUMN(),2)=0,INDEX(paramètres!$C$4:$C$6,MATCH($C34,paramètres!$B$4:$B$6,0)),INDEX(paramètres!$D$4:$D$6,MATCH($C34,paramètres!$B$4:$B$6,0)))</f>
        <v>39</v>
      </c>
      <c r="R34" s="85">
        <f>IF(MOD(COLUMN(),2)=0,INDEX(paramètres!$C$4:$C$6,MATCH($C34,paramètres!$B$4:$B$6,0)),INDEX(paramètres!$D$4:$D$6,MATCH($C34,paramètres!$B$4:$B$6,0)))</f>
        <v>39</v>
      </c>
      <c r="S34" s="85">
        <f>IF(MOD(COLUMN(),2)=0,INDEX(paramètres!$C$4:$C$6,MATCH($C34,paramètres!$B$4:$B$6,0)),INDEX(paramètres!$D$4:$D$6,MATCH($C34,paramètres!$B$4:$B$6,0)))</f>
        <v>39</v>
      </c>
      <c r="T34" s="85">
        <f>IF(MOD(COLUMN(),2)=0,INDEX(paramètres!$C$4:$C$6,MATCH($C34,paramètres!$B$4:$B$6,0)),INDEX(paramètres!$D$4:$D$6,MATCH($C34,paramètres!$B$4:$B$6,0)))</f>
        <v>39</v>
      </c>
      <c r="U34" s="85">
        <f>IF(MOD(COLUMN(),2)=0,INDEX(paramètres!$C$4:$C$6,MATCH($C34,paramètres!$B$4:$B$6,0)),INDEX(paramètres!$D$4:$D$6,MATCH($C34,paramètres!$B$4:$B$6,0)))</f>
        <v>39</v>
      </c>
      <c r="V34" s="85">
        <f>IF(MOD(COLUMN(),2)=0,INDEX(paramètres!$C$4:$C$6,MATCH($C34,paramètres!$B$4:$B$6,0)),INDEX(paramètres!$D$4:$D$6,MATCH($C34,paramètres!$B$4:$B$6,0)))</f>
        <v>39</v>
      </c>
      <c r="W34" s="85">
        <f>IF(MOD(COLUMN(),2)=0,INDEX(paramètres!$C$4:$C$6,MATCH($C34,paramètres!$B$4:$B$6,0)),INDEX(paramètres!$D$4:$D$6,MATCH($C34,paramètres!$B$4:$B$6,0)))</f>
        <v>39</v>
      </c>
      <c r="X34" s="85">
        <f>IF(MOD(COLUMN(),2)=0,INDEX(paramètres!$C$4:$C$6,MATCH($C34,paramètres!$B$4:$B$6,0)),INDEX(paramètres!$D$4:$D$6,MATCH($C34,paramètres!$B$4:$B$6,0)))</f>
        <v>39</v>
      </c>
      <c r="Y34" s="85">
        <f>IF(MOD(COLUMN(),2)=0,INDEX(paramètres!$C$4:$C$6,MATCH($C34,paramètres!$B$4:$B$6,0)),INDEX(paramètres!$D$4:$D$6,MATCH($C34,paramètres!$B$4:$B$6,0)))</f>
        <v>39</v>
      </c>
      <c r="Z34" s="85">
        <f>IF(MOD(COLUMN(),2)=0,INDEX(paramètres!$C$4:$C$6,MATCH($C34,paramètres!$B$4:$B$6,0)),INDEX(paramètres!$D$4:$D$6,MATCH($C34,paramètres!$B$4:$B$6,0)))</f>
        <v>39</v>
      </c>
      <c r="AA34" s="85">
        <f>IF(MOD(COLUMN(),2)=0,INDEX(paramètres!$C$4:$C$6,MATCH($C34,paramètres!$B$4:$B$6,0)),INDEX(paramètres!$D$4:$D$6,MATCH($C34,paramètres!$B$4:$B$6,0)))</f>
        <v>39</v>
      </c>
      <c r="AB34" s="86"/>
      <c r="AC34" s="85" t="str">
        <f t="shared" si="68"/>
        <v/>
      </c>
      <c r="AD34" s="85" t="str">
        <f t="shared" si="26"/>
        <v/>
      </c>
      <c r="AE34" s="85" t="str">
        <f t="shared" si="69"/>
        <v/>
      </c>
      <c r="AF34" s="85" t="str">
        <f t="shared" si="27"/>
        <v/>
      </c>
      <c r="AG34" s="85" t="str">
        <f t="shared" si="28"/>
        <v/>
      </c>
      <c r="AH34" s="85" t="str">
        <f t="shared" si="29"/>
        <v/>
      </c>
      <c r="AI34" s="85" t="str">
        <f t="shared" si="30"/>
        <v/>
      </c>
      <c r="AJ34" s="85" t="str">
        <f t="shared" si="31"/>
        <v/>
      </c>
      <c r="AK34" s="85" t="str">
        <f t="shared" si="32"/>
        <v/>
      </c>
      <c r="AL34" s="85" t="str">
        <f t="shared" si="33"/>
        <v/>
      </c>
      <c r="AM34" s="85" t="str">
        <f t="shared" si="34"/>
        <v/>
      </c>
      <c r="AN34" s="85"/>
      <c r="AO34" s="85">
        <f t="shared" si="35"/>
        <v>0</v>
      </c>
      <c r="AP34" s="85">
        <f t="shared" si="36"/>
        <v>0</v>
      </c>
      <c r="AQ34" s="85">
        <f t="shared" si="37"/>
        <v>0</v>
      </c>
      <c r="AR34" s="85">
        <f t="shared" si="38"/>
        <v>0</v>
      </c>
      <c r="AS34" s="85">
        <f t="shared" si="39"/>
        <v>0</v>
      </c>
      <c r="AT34" s="85">
        <f t="shared" si="40"/>
        <v>0</v>
      </c>
      <c r="AU34" s="85">
        <f t="shared" si="41"/>
        <v>0</v>
      </c>
      <c r="AV34" s="85">
        <f t="shared" si="42"/>
        <v>0</v>
      </c>
      <c r="AW34" s="85">
        <f t="shared" si="43"/>
        <v>0</v>
      </c>
      <c r="AX34" s="85">
        <f t="shared" si="44"/>
        <v>0</v>
      </c>
      <c r="AY34" s="85">
        <f t="shared" si="45"/>
        <v>0</v>
      </c>
      <c r="AZ34" s="85">
        <f t="shared" si="46"/>
        <v>0</v>
      </c>
      <c r="BA34" s="35"/>
      <c r="BB34" s="85" t="str" cm="1">
        <f t="array" ref="BB34">IF($C34&lt;&gt;"Production","",IFERROR(
_xlfn.IFS(AND(AC34&gt;0,AC34&lt;($BC$3-$D34)),AC34,
AND(AC34&gt;0,AC34&gt;($BC$3-$D34)),($BC$3-$D34)),""))</f>
        <v/>
      </c>
      <c r="BC34" s="85" t="str" cm="1">
        <f t="array" ref="BC34">IF($C34&lt;&gt;"Production","",IFERROR(
_xlfn.IFS(AND(AD34&gt;0,AD34&lt;($BC$3-$D34)),AD34,
AND(AD34&gt;0,AD34&gt;($BC$3-$D34)),($BC$3-$D34)),""))</f>
        <v/>
      </c>
      <c r="BD34" s="85" t="str" cm="1">
        <f t="array" ref="BD34">IF($C34&lt;&gt;"Production","",IFERROR(
_xlfn.IFS(AND(AE34&gt;0,AE34&lt;($BC$3-$D34)),AE34,
AND(AE34&gt;0,AE34&gt;($BC$3-$D34)),($BC$3-$D34)),""))</f>
        <v/>
      </c>
      <c r="BE34" s="85" t="str" cm="1">
        <f t="array" ref="BE34">IF($C34&lt;&gt;"Production","",IFERROR(
_xlfn.IFS(AND(AF34&gt;0,AF34&lt;($BC$3-$D34)),AF34,
AND(AF34&gt;0,AF34&gt;($BC$3-$D34)),($BC$3-$D34)),""))</f>
        <v/>
      </c>
      <c r="BF34" s="85" t="str" cm="1">
        <f t="array" ref="BF34">IF($C34&lt;&gt;"Production","",IFERROR(
_xlfn.IFS(AND(AG34&gt;0,AG34&lt;($BC$3-$D34)),AG34,
AND(AG34&gt;0,AG34&gt;($BC$3-$D34)),($BC$3-$D34)),""))</f>
        <v/>
      </c>
      <c r="BG34" s="85" t="str" cm="1">
        <f t="array" ref="BG34">IF($C34&lt;&gt;"Production","",IFERROR(
_xlfn.IFS(AND(AH34&gt;0,AH34&lt;($BC$3-$D34)),AH34,
AND(AH34&gt;0,AH34&gt;($BC$3-$D34)),($BC$3-$D34)),""))</f>
        <v/>
      </c>
      <c r="BH34" s="85" t="str" cm="1">
        <f t="array" ref="BH34">IF($C34&lt;&gt;"Production","",IFERROR(
_xlfn.IFS(AND(AI34&gt;0,AI34&lt;($BC$3-$D34)),AI34,
AND(AI34&gt;0,AI34&gt;($BC$3-$D34)),($BC$3-$D34)),""))</f>
        <v/>
      </c>
      <c r="BI34" s="85" t="str" cm="1">
        <f t="array" ref="BI34">IF($C34&lt;&gt;"Production","",IFERROR(
_xlfn.IFS(AND(AJ34&gt;0,AJ34&lt;($BC$3-$D34)),AJ34,
AND(AJ34&gt;0,AJ34&gt;($BC$3-$D34)),($BC$3-$D34)),""))</f>
        <v/>
      </c>
      <c r="BJ34" s="85" t="str" cm="1">
        <f t="array" ref="BJ34">IF($C34&lt;&gt;"Production","",IFERROR(
_xlfn.IFS(AND(AK34&gt;0,AK34&lt;($BC$3-$D34)),AK34,
AND(AK34&gt;0,AK34&gt;($BC$3-$D34)),($BC$3-$D34)),""))</f>
        <v/>
      </c>
      <c r="BK34" s="85" t="str" cm="1">
        <f t="array" ref="BK34">IF($C34&lt;&gt;"Production","",IFERROR(
_xlfn.IFS(AND(AL34&gt;0,AL34&lt;($BC$3-$D34)),AL34,
AND(AL34&gt;0,AL34&gt;($BC$3-$D34)),($BC$3-$D34)),""))</f>
        <v/>
      </c>
      <c r="BL34" s="85" t="str" cm="1">
        <f t="array" ref="BL34">IF($C34&lt;&gt;"Production","",IFERROR(
_xlfn.IFS(AND(AM34&gt;0,AM34&lt;($BC$3-$D34)),AM34,
AND(AM34&gt;0,AM34&gt;($BC$3-$D34)),($BC$3-$D34)),""))</f>
        <v/>
      </c>
      <c r="BM34" s="85">
        <f t="shared" si="47"/>
        <v>0</v>
      </c>
      <c r="BN34" s="81"/>
      <c r="BO34" s="85" t="str" cm="1">
        <f t="array" ref="BO34">IF($C34="Production","",IFERROR(
_xlfn.IFS(AND(AO34&gt;0,AO34&lt;($BC$3-$D34)),AO34,
AND(AO34&gt;0,AO34&gt;($BC$3-$D34)),($BC$3-$D34)),""))</f>
        <v/>
      </c>
      <c r="BP34" s="85" t="str" cm="1">
        <f t="array" ref="BP34">IF($C34="Production","",IFERROR(
_xlfn.IFS(AND(AP34&gt;0,AP34&lt;($BC$3-$D34)),AP34,
AND(AP34&gt;0,AP34&gt;($BC$3-$D34)),($BC$3-$D34)),""))</f>
        <v/>
      </c>
      <c r="BQ34" s="85" t="str" cm="1">
        <f t="array" ref="BQ34">IF($C34="Production","",IFERROR(
_xlfn.IFS(AND(AQ34&gt;0,AQ34&lt;($BC$3-$D34)),AQ34,
AND(AQ34&gt;0,AQ34&gt;($BC$3-$D34)),($BC$3-$D34)),""))</f>
        <v/>
      </c>
      <c r="BR34" s="85" t="str" cm="1">
        <f t="array" ref="BR34">IF($C34="Production","",IFERROR(
_xlfn.IFS(AND(AR34&gt;0,AR34&lt;($BC$3-$D34)),AR34,
AND(AR34&gt;0,AR34&gt;($BC$3-$D34)),($BC$3-$D34)),""))</f>
        <v/>
      </c>
      <c r="BS34" s="85" t="str" cm="1">
        <f t="array" ref="BS34">IF($C34="Production","",IFERROR(
_xlfn.IFS(AND(AS34&gt;0,AS34&lt;($BC$3-$D34)),AS34,
AND(AS34&gt;0,AS34&gt;($BC$3-$D34)),($BC$3-$D34)),""))</f>
        <v/>
      </c>
      <c r="BT34" s="85" t="str" cm="1">
        <f t="array" ref="BT34">IF($C34="Production","",IFERROR(
_xlfn.IFS(AND(AT34&gt;0,AT34&lt;($BC$3-$D34)),AT34,
AND(AT34&gt;0,AT34&gt;($BC$3-$D34)),($BC$3-$D34)),""))</f>
        <v/>
      </c>
      <c r="BU34" s="85" t="str" cm="1">
        <f t="array" ref="BU34">IF($C34="Production","",IFERROR(
_xlfn.IFS(AND(AU34&gt;0,AU34&lt;($BC$3-$D34)),AU34,
AND(AU34&gt;0,AU34&gt;($BC$3-$D34)),($BC$3-$D34)),""))</f>
        <v/>
      </c>
      <c r="BV34" s="85" t="str" cm="1">
        <f t="array" ref="BV34">IF($C34="Production","",IFERROR(
_xlfn.IFS(AND(AV34&gt;0,AV34&lt;($BC$3-$D34)),AV34,
AND(AV34&gt;0,AV34&gt;($BC$3-$D34)),($BC$3-$D34)),""))</f>
        <v/>
      </c>
      <c r="BW34" s="85" t="str" cm="1">
        <f t="array" ref="BW34">IF($C34="Production","",IFERROR(
_xlfn.IFS(AND(AW34&gt;0,AW34&lt;($BC$3-$D34)),AW34,
AND(AW34&gt;0,AW34&gt;($BC$3-$D34)),($BC$3-$D34)),""))</f>
        <v/>
      </c>
      <c r="BX34" s="85" t="str" cm="1">
        <f t="array" ref="BX34">IF($C34="Production","",IFERROR(
_xlfn.IFS(AND(AX34&gt;0,AX34&lt;($BC$3-$D34)),AX34,
AND(AX34&gt;0,AX34&gt;($BC$3-$D34)),($BC$3-$D34)),""))</f>
        <v/>
      </c>
      <c r="BY34" s="85" t="str" cm="1">
        <f t="array" ref="BY34">IF($C34="Production","",IFERROR(
_xlfn.IFS(AND(AY34&gt;0,AY34&lt;($BC$3-$D34)),AY34,
AND(AY34&gt;0,AY34&gt;($BC$3-$D34)),($BC$3-$D34)),""))</f>
        <v/>
      </c>
      <c r="BZ34" s="85">
        <f t="shared" si="48"/>
        <v>0</v>
      </c>
      <c r="CA34" s="81"/>
      <c r="CB34" s="85" t="str">
        <f t="shared" si="49"/>
        <v/>
      </c>
      <c r="CC34" s="85" t="str">
        <f t="shared" si="16"/>
        <v/>
      </c>
      <c r="CD34" s="85" t="str">
        <f t="shared" si="17"/>
        <v/>
      </c>
      <c r="CE34" s="85" t="str">
        <f t="shared" si="18"/>
        <v/>
      </c>
      <c r="CF34" s="85" t="str">
        <f t="shared" si="19"/>
        <v/>
      </c>
      <c r="CG34" s="85" t="str">
        <f t="shared" si="20"/>
        <v/>
      </c>
      <c r="CH34" s="85" t="str">
        <f t="shared" si="21"/>
        <v/>
      </c>
      <c r="CI34" s="85" t="str">
        <f t="shared" si="22"/>
        <v/>
      </c>
      <c r="CJ34" s="85" t="str">
        <f t="shared" si="23"/>
        <v/>
      </c>
      <c r="CK34" s="85" t="str">
        <f t="shared" si="24"/>
        <v/>
      </c>
      <c r="CL34" s="85" t="str">
        <f t="shared" si="25"/>
        <v/>
      </c>
      <c r="CM34" s="85">
        <f t="shared" si="50"/>
        <v>0</v>
      </c>
      <c r="CO34" s="80" t="str">
        <f t="shared" si="51"/>
        <v/>
      </c>
      <c r="CP34" s="80" t="str">
        <f t="shared" si="52"/>
        <v/>
      </c>
      <c r="CQ34" s="80" t="str">
        <f t="shared" si="53"/>
        <v/>
      </c>
      <c r="CR34" s="80" t="str">
        <f t="shared" si="54"/>
        <v/>
      </c>
      <c r="CS34" s="80" t="str">
        <f t="shared" si="55"/>
        <v/>
      </c>
      <c r="CT34" s="80" t="str">
        <f t="shared" si="56"/>
        <v/>
      </c>
      <c r="CU34" s="80" t="str">
        <f t="shared" si="57"/>
        <v/>
      </c>
      <c r="CV34" s="80" t="str">
        <f t="shared" si="58"/>
        <v/>
      </c>
      <c r="CW34" s="80" t="str">
        <f t="shared" si="59"/>
        <v/>
      </c>
      <c r="CX34" s="80" t="str">
        <f t="shared" si="60"/>
        <v/>
      </c>
      <c r="CY34" s="80" t="str">
        <f t="shared" si="61"/>
        <v/>
      </c>
      <c r="CZ34" s="80">
        <f t="shared" si="62"/>
        <v>0</v>
      </c>
      <c r="DB34" s="80">
        <f t="shared" si="63"/>
        <v>0</v>
      </c>
      <c r="DC34" s="80">
        <f t="shared" si="64"/>
        <v>0</v>
      </c>
      <c r="DD34" s="80">
        <f t="shared" si="65"/>
        <v>0</v>
      </c>
      <c r="DE34" s="80">
        <f t="shared" si="66"/>
        <v>0</v>
      </c>
      <c r="DF34" s="80">
        <f t="shared" si="67"/>
        <v>0</v>
      </c>
    </row>
    <row r="35" spans="2:110" x14ac:dyDescent="0.15">
      <c r="B35" s="83" t="str">
        <f>'MODU 2025'!B38</f>
        <v>REMY Ancélia</v>
      </c>
      <c r="C35" s="83" t="str">
        <f>'MODU 2025'!C38</f>
        <v>Production</v>
      </c>
      <c r="D35" s="83">
        <f>'MODU 2025'!D38</f>
        <v>37</v>
      </c>
      <c r="E35" s="83">
        <f>'MODU 2025'!G38</f>
        <v>33</v>
      </c>
      <c r="F35" s="83">
        <f>'MODU 2025'!H38</f>
        <v>41</v>
      </c>
      <c r="G35" s="83">
        <f>'MODU 2025'!I38</f>
        <v>33</v>
      </c>
      <c r="H35" s="83">
        <f>'MODU 2025'!J38</f>
        <v>41</v>
      </c>
      <c r="I35" s="83">
        <f>'MODU 2025'!K38</f>
        <v>33</v>
      </c>
      <c r="J35" s="83">
        <f>'MODU 2025'!L38</f>
        <v>41</v>
      </c>
      <c r="K35" s="83">
        <f>'MODU 2025'!M38</f>
        <v>33</v>
      </c>
      <c r="L35" s="83">
        <f>'MODU 2025'!N38</f>
        <v>41</v>
      </c>
      <c r="M35" s="83">
        <f>'MODU 2025'!O38</f>
        <v>33</v>
      </c>
      <c r="N35" s="83">
        <f>'MODU 2025'!P38</f>
        <v>41</v>
      </c>
      <c r="O35" s="83">
        <f>'MODU 2025'!Q38</f>
        <v>33</v>
      </c>
      <c r="P35" s="85"/>
      <c r="Q35" s="85">
        <f>IF(MOD(COLUMN(),2)=0,INDEX(paramètres!$C$4:$C$6,MATCH($C35,paramètres!$B$4:$B$6,0)),INDEX(paramètres!$D$4:$D$6,MATCH($C35,paramètres!$B$4:$B$6,0)))</f>
        <v>41</v>
      </c>
      <c r="R35" s="85">
        <f>IF(MOD(COLUMN(),2)=0,INDEX(paramètres!$C$4:$C$6,MATCH($C35,paramètres!$B$4:$B$6,0)),INDEX(paramètres!$D$4:$D$6,MATCH($C35,paramètres!$B$4:$B$6,0)))</f>
        <v>33</v>
      </c>
      <c r="S35" s="85">
        <f>IF(MOD(COLUMN(),2)=0,INDEX(paramètres!$C$4:$C$6,MATCH($C35,paramètres!$B$4:$B$6,0)),INDEX(paramètres!$D$4:$D$6,MATCH($C35,paramètres!$B$4:$B$6,0)))</f>
        <v>41</v>
      </c>
      <c r="T35" s="85">
        <f>IF(MOD(COLUMN(),2)=0,INDEX(paramètres!$C$4:$C$6,MATCH($C35,paramètres!$B$4:$B$6,0)),INDEX(paramètres!$D$4:$D$6,MATCH($C35,paramètres!$B$4:$B$6,0)))</f>
        <v>33</v>
      </c>
      <c r="U35" s="85">
        <f>IF(MOD(COLUMN(),2)=0,INDEX(paramètres!$C$4:$C$6,MATCH($C35,paramètres!$B$4:$B$6,0)),INDEX(paramètres!$D$4:$D$6,MATCH($C35,paramètres!$B$4:$B$6,0)))</f>
        <v>41</v>
      </c>
      <c r="V35" s="85">
        <f>IF(MOD(COLUMN(),2)=0,INDEX(paramètres!$C$4:$C$6,MATCH($C35,paramètres!$B$4:$B$6,0)),INDEX(paramètres!$D$4:$D$6,MATCH($C35,paramètres!$B$4:$B$6,0)))</f>
        <v>33</v>
      </c>
      <c r="W35" s="85">
        <f>IF(MOD(COLUMN(),2)=0,INDEX(paramètres!$C$4:$C$6,MATCH($C35,paramètres!$B$4:$B$6,0)),INDEX(paramètres!$D$4:$D$6,MATCH($C35,paramètres!$B$4:$B$6,0)))</f>
        <v>41</v>
      </c>
      <c r="X35" s="85">
        <f>IF(MOD(COLUMN(),2)=0,INDEX(paramètres!$C$4:$C$6,MATCH($C35,paramètres!$B$4:$B$6,0)),INDEX(paramètres!$D$4:$D$6,MATCH($C35,paramètres!$B$4:$B$6,0)))</f>
        <v>33</v>
      </c>
      <c r="Y35" s="85">
        <f>IF(MOD(COLUMN(),2)=0,INDEX(paramètres!$C$4:$C$6,MATCH($C35,paramètres!$B$4:$B$6,0)),INDEX(paramètres!$D$4:$D$6,MATCH($C35,paramètres!$B$4:$B$6,0)))</f>
        <v>41</v>
      </c>
      <c r="Z35" s="85">
        <f>IF(MOD(COLUMN(),2)=0,INDEX(paramètres!$C$4:$C$6,MATCH($C35,paramètres!$B$4:$B$6,0)),INDEX(paramètres!$D$4:$D$6,MATCH($C35,paramètres!$B$4:$B$6,0)))</f>
        <v>33</v>
      </c>
      <c r="AA35" s="85">
        <f>IF(MOD(COLUMN(),2)=0,INDEX(paramètres!$C$4:$C$6,MATCH($C35,paramètres!$B$4:$B$6,0)),INDEX(paramètres!$D$4:$D$6,MATCH($C35,paramètres!$B$4:$B$6,0)))</f>
        <v>41</v>
      </c>
      <c r="AB35" s="86"/>
      <c r="AC35" s="85">
        <f t="shared" si="68"/>
        <v>0</v>
      </c>
      <c r="AD35" s="85">
        <f t="shared" si="26"/>
        <v>0</v>
      </c>
      <c r="AE35" s="85">
        <f t="shared" si="69"/>
        <v>0</v>
      </c>
      <c r="AF35" s="85">
        <f t="shared" si="27"/>
        <v>0</v>
      </c>
      <c r="AG35" s="85">
        <f t="shared" si="28"/>
        <v>0</v>
      </c>
      <c r="AH35" s="85">
        <f t="shared" si="29"/>
        <v>0</v>
      </c>
      <c r="AI35" s="85">
        <f t="shared" si="30"/>
        <v>0</v>
      </c>
      <c r="AJ35" s="85">
        <f t="shared" si="31"/>
        <v>0</v>
      </c>
      <c r="AK35" s="85">
        <f t="shared" si="32"/>
        <v>0</v>
      </c>
      <c r="AL35" s="85">
        <f t="shared" si="33"/>
        <v>0</v>
      </c>
      <c r="AM35" s="85">
        <f t="shared" si="34"/>
        <v>-41</v>
      </c>
      <c r="AN35" s="85"/>
      <c r="AO35" s="85" t="str">
        <f t="shared" si="35"/>
        <v/>
      </c>
      <c r="AP35" s="85" t="str">
        <f t="shared" si="36"/>
        <v/>
      </c>
      <c r="AQ35" s="85" t="str">
        <f t="shared" si="37"/>
        <v/>
      </c>
      <c r="AR35" s="85" t="str">
        <f t="shared" si="38"/>
        <v/>
      </c>
      <c r="AS35" s="85" t="str">
        <f t="shared" si="39"/>
        <v/>
      </c>
      <c r="AT35" s="85" t="str">
        <f t="shared" si="40"/>
        <v/>
      </c>
      <c r="AU35" s="85" t="str">
        <f t="shared" si="41"/>
        <v/>
      </c>
      <c r="AV35" s="85" t="str">
        <f t="shared" si="42"/>
        <v/>
      </c>
      <c r="AW35" s="85" t="str">
        <f t="shared" si="43"/>
        <v/>
      </c>
      <c r="AX35" s="85" t="str">
        <f t="shared" si="44"/>
        <v/>
      </c>
      <c r="AY35" s="85" t="str">
        <f t="shared" si="45"/>
        <v/>
      </c>
      <c r="AZ35" s="85">
        <f t="shared" si="46"/>
        <v>0</v>
      </c>
      <c r="BA35" s="35"/>
      <c r="BB35" s="85" t="str" cm="1">
        <f t="array" ref="BB35">IF($C35&lt;&gt;"Production","",IFERROR(
_xlfn.IFS(AND(AC35&gt;0,AC35&lt;($BC$3-$D35)),AC35,
AND(AC35&gt;0,AC35&gt;($BC$3-$D35)),($BC$3-$D35)),""))</f>
        <v/>
      </c>
      <c r="BC35" s="85" t="str" cm="1">
        <f t="array" ref="BC35">IF($C35&lt;&gt;"Production","",IFERROR(
_xlfn.IFS(AND(AD35&gt;0,AD35&lt;($BC$3-$D35)),AD35,
AND(AD35&gt;0,AD35&gt;($BC$3-$D35)),($BC$3-$D35)),""))</f>
        <v/>
      </c>
      <c r="BD35" s="85" t="str" cm="1">
        <f t="array" ref="BD35">IF($C35&lt;&gt;"Production","",IFERROR(
_xlfn.IFS(AND(AE35&gt;0,AE35&lt;($BC$3-$D35)),AE35,
AND(AE35&gt;0,AE35&gt;($BC$3-$D35)),($BC$3-$D35)),""))</f>
        <v/>
      </c>
      <c r="BE35" s="85" t="str" cm="1">
        <f t="array" ref="BE35">IF($C35&lt;&gt;"Production","",IFERROR(
_xlfn.IFS(AND(AF35&gt;0,AF35&lt;($BC$3-$D35)),AF35,
AND(AF35&gt;0,AF35&gt;($BC$3-$D35)),($BC$3-$D35)),""))</f>
        <v/>
      </c>
      <c r="BF35" s="85" t="str" cm="1">
        <f t="array" ref="BF35">IF($C35&lt;&gt;"Production","",IFERROR(
_xlfn.IFS(AND(AG35&gt;0,AG35&lt;($BC$3-$D35)),AG35,
AND(AG35&gt;0,AG35&gt;($BC$3-$D35)),($BC$3-$D35)),""))</f>
        <v/>
      </c>
      <c r="BG35" s="85" t="str" cm="1">
        <f t="array" ref="BG35">IF($C35&lt;&gt;"Production","",IFERROR(
_xlfn.IFS(AND(AH35&gt;0,AH35&lt;($BC$3-$D35)),AH35,
AND(AH35&gt;0,AH35&gt;($BC$3-$D35)),($BC$3-$D35)),""))</f>
        <v/>
      </c>
      <c r="BH35" s="85" t="str" cm="1">
        <f t="array" ref="BH35">IF($C35&lt;&gt;"Production","",IFERROR(
_xlfn.IFS(AND(AI35&gt;0,AI35&lt;($BC$3-$D35)),AI35,
AND(AI35&gt;0,AI35&gt;($BC$3-$D35)),($BC$3-$D35)),""))</f>
        <v/>
      </c>
      <c r="BI35" s="85" t="str" cm="1">
        <f t="array" ref="BI35">IF($C35&lt;&gt;"Production","",IFERROR(
_xlfn.IFS(AND(AJ35&gt;0,AJ35&lt;($BC$3-$D35)),AJ35,
AND(AJ35&gt;0,AJ35&gt;($BC$3-$D35)),($BC$3-$D35)),""))</f>
        <v/>
      </c>
      <c r="BJ35" s="85" t="str" cm="1">
        <f t="array" ref="BJ35">IF($C35&lt;&gt;"Production","",IFERROR(
_xlfn.IFS(AND(AK35&gt;0,AK35&lt;($BC$3-$D35)),AK35,
AND(AK35&gt;0,AK35&gt;($BC$3-$D35)),($BC$3-$D35)),""))</f>
        <v/>
      </c>
      <c r="BK35" s="85" t="str" cm="1">
        <f t="array" ref="BK35">IF($C35&lt;&gt;"Production","",IFERROR(
_xlfn.IFS(AND(AL35&gt;0,AL35&lt;($BC$3-$D35)),AL35,
AND(AL35&gt;0,AL35&gt;($BC$3-$D35)),($BC$3-$D35)),""))</f>
        <v/>
      </c>
      <c r="BL35" s="85" t="str" cm="1">
        <f t="array" ref="BL35">IF($C35&lt;&gt;"Production","",IFERROR(
_xlfn.IFS(AND(AM35&gt;0,AM35&lt;($BC$3-$D35)),AM35,
AND(AM35&gt;0,AM35&gt;($BC$3-$D35)),($BC$3-$D35)),""))</f>
        <v/>
      </c>
      <c r="BM35" s="85">
        <f t="shared" si="47"/>
        <v>0</v>
      </c>
      <c r="BN35" s="81"/>
      <c r="BO35" s="85" t="str" cm="1">
        <f t="array" ref="BO35">IF($C35="Production","",IFERROR(
_xlfn.IFS(AND(AO35&gt;0,AO35&lt;($BC$3-$D35)),AO35,
AND(AO35&gt;0,AO35&gt;($BC$3-$D35)),($BC$3-$D35)),""))</f>
        <v/>
      </c>
      <c r="BP35" s="85" t="str" cm="1">
        <f t="array" ref="BP35">IF($C35="Production","",IFERROR(
_xlfn.IFS(AND(AP35&gt;0,AP35&lt;($BC$3-$D35)),AP35,
AND(AP35&gt;0,AP35&gt;($BC$3-$D35)),($BC$3-$D35)),""))</f>
        <v/>
      </c>
      <c r="BQ35" s="85" t="str" cm="1">
        <f t="array" ref="BQ35">IF($C35="Production","",IFERROR(
_xlfn.IFS(AND(AQ35&gt;0,AQ35&lt;($BC$3-$D35)),AQ35,
AND(AQ35&gt;0,AQ35&gt;($BC$3-$D35)),($BC$3-$D35)),""))</f>
        <v/>
      </c>
      <c r="BR35" s="85" t="str" cm="1">
        <f t="array" ref="BR35">IF($C35="Production","",IFERROR(
_xlfn.IFS(AND(AR35&gt;0,AR35&lt;($BC$3-$D35)),AR35,
AND(AR35&gt;0,AR35&gt;($BC$3-$D35)),($BC$3-$D35)),""))</f>
        <v/>
      </c>
      <c r="BS35" s="85" t="str" cm="1">
        <f t="array" ref="BS35">IF($C35="Production","",IFERROR(
_xlfn.IFS(AND(AS35&gt;0,AS35&lt;($BC$3-$D35)),AS35,
AND(AS35&gt;0,AS35&gt;($BC$3-$D35)),($BC$3-$D35)),""))</f>
        <v/>
      </c>
      <c r="BT35" s="85" t="str" cm="1">
        <f t="array" ref="BT35">IF($C35="Production","",IFERROR(
_xlfn.IFS(AND(AT35&gt;0,AT35&lt;($BC$3-$D35)),AT35,
AND(AT35&gt;0,AT35&gt;($BC$3-$D35)),($BC$3-$D35)),""))</f>
        <v/>
      </c>
      <c r="BU35" s="85" t="str" cm="1">
        <f t="array" ref="BU35">IF($C35="Production","",IFERROR(
_xlfn.IFS(AND(AU35&gt;0,AU35&lt;($BC$3-$D35)),AU35,
AND(AU35&gt;0,AU35&gt;($BC$3-$D35)),($BC$3-$D35)),""))</f>
        <v/>
      </c>
      <c r="BV35" s="85" t="str" cm="1">
        <f t="array" ref="BV35">IF($C35="Production","",IFERROR(
_xlfn.IFS(AND(AV35&gt;0,AV35&lt;($BC$3-$D35)),AV35,
AND(AV35&gt;0,AV35&gt;($BC$3-$D35)),($BC$3-$D35)),""))</f>
        <v/>
      </c>
      <c r="BW35" s="85" t="str" cm="1">
        <f t="array" ref="BW35">IF($C35="Production","",IFERROR(
_xlfn.IFS(AND(AW35&gt;0,AW35&lt;($BC$3-$D35)),AW35,
AND(AW35&gt;0,AW35&gt;($BC$3-$D35)),($BC$3-$D35)),""))</f>
        <v/>
      </c>
      <c r="BX35" s="85" t="str" cm="1">
        <f t="array" ref="BX35">IF($C35="Production","",IFERROR(
_xlfn.IFS(AND(AX35&gt;0,AX35&lt;($BC$3-$D35)),AX35,
AND(AX35&gt;0,AX35&gt;($BC$3-$D35)),($BC$3-$D35)),""))</f>
        <v/>
      </c>
      <c r="BY35" s="85" t="str" cm="1">
        <f t="array" ref="BY35">IF($C35="Production","",IFERROR(
_xlfn.IFS(AND(AY35&gt;0,AY35&lt;($BC$3-$D35)),AY35,
AND(AY35&gt;0,AY35&gt;($BC$3-$D35)),($BC$3-$D35)),""))</f>
        <v/>
      </c>
      <c r="BZ35" s="85">
        <f t="shared" si="48"/>
        <v>0</v>
      </c>
      <c r="CA35" s="81"/>
      <c r="CB35" s="85" t="str">
        <f t="shared" si="49"/>
        <v/>
      </c>
      <c r="CC35" s="85" t="str">
        <f t="shared" si="16"/>
        <v/>
      </c>
      <c r="CD35" s="85" t="str">
        <f t="shared" si="17"/>
        <v/>
      </c>
      <c r="CE35" s="85" t="str">
        <f t="shared" si="18"/>
        <v/>
      </c>
      <c r="CF35" s="85" t="str">
        <f t="shared" si="19"/>
        <v/>
      </c>
      <c r="CG35" s="85" t="str">
        <f t="shared" si="20"/>
        <v/>
      </c>
      <c r="CH35" s="85" t="str">
        <f t="shared" si="21"/>
        <v/>
      </c>
      <c r="CI35" s="85" t="str">
        <f t="shared" si="22"/>
        <v/>
      </c>
      <c r="CJ35" s="85" t="str">
        <f t="shared" si="23"/>
        <v/>
      </c>
      <c r="CK35" s="85" t="str">
        <f t="shared" si="24"/>
        <v/>
      </c>
      <c r="CL35" s="85" t="str">
        <f t="shared" si="25"/>
        <v/>
      </c>
      <c r="CM35" s="85">
        <f t="shared" si="50"/>
        <v>0</v>
      </c>
      <c r="CO35" s="80" t="str">
        <f t="shared" si="51"/>
        <v/>
      </c>
      <c r="CP35" s="80" t="str">
        <f t="shared" si="52"/>
        <v/>
      </c>
      <c r="CQ35" s="80" t="str">
        <f t="shared" si="53"/>
        <v/>
      </c>
      <c r="CR35" s="80" t="str">
        <f t="shared" si="54"/>
        <v/>
      </c>
      <c r="CS35" s="80" t="str">
        <f t="shared" si="55"/>
        <v/>
      </c>
      <c r="CT35" s="80" t="str">
        <f t="shared" si="56"/>
        <v/>
      </c>
      <c r="CU35" s="80" t="str">
        <f t="shared" si="57"/>
        <v/>
      </c>
      <c r="CV35" s="80" t="str">
        <f t="shared" si="58"/>
        <v/>
      </c>
      <c r="CW35" s="80" t="str">
        <f t="shared" si="59"/>
        <v/>
      </c>
      <c r="CX35" s="80" t="str">
        <f t="shared" si="60"/>
        <v/>
      </c>
      <c r="CY35" s="80" t="str">
        <f t="shared" si="61"/>
        <v/>
      </c>
      <c r="CZ35" s="80">
        <f t="shared" si="62"/>
        <v>0</v>
      </c>
      <c r="DB35" s="80">
        <f t="shared" si="63"/>
        <v>0</v>
      </c>
      <c r="DC35" s="80">
        <f t="shared" si="64"/>
        <v>0</v>
      </c>
      <c r="DD35" s="80">
        <f t="shared" si="65"/>
        <v>0</v>
      </c>
      <c r="DE35" s="80">
        <f t="shared" si="66"/>
        <v>-41</v>
      </c>
      <c r="DF35" s="80">
        <f t="shared" si="67"/>
        <v>-41</v>
      </c>
    </row>
    <row r="36" spans="2:110" x14ac:dyDescent="0.15">
      <c r="B36" s="83" t="str">
        <f>'MODU 2025'!B39</f>
        <v>REVERCHON Margarida</v>
      </c>
      <c r="C36" s="83" t="str">
        <f>'MODU 2025'!C39</f>
        <v>Logistique</v>
      </c>
      <c r="D36" s="83">
        <f>'MODU 2025'!D39</f>
        <v>39</v>
      </c>
      <c r="E36" s="83">
        <f>'MODU 2025'!G39</f>
        <v>39.75</v>
      </c>
      <c r="F36" s="83">
        <f>'MODU 2025'!H39</f>
        <v>39.25</v>
      </c>
      <c r="G36" s="83">
        <f>'MODU 2025'!I39</f>
        <v>39.75</v>
      </c>
      <c r="H36" s="83">
        <f>'MODU 2025'!J39</f>
        <v>39</v>
      </c>
      <c r="I36" s="83">
        <f>'MODU 2025'!K39</f>
        <v>39</v>
      </c>
      <c r="J36" s="83">
        <f>'MODU 2025'!L39</f>
        <v>39</v>
      </c>
      <c r="K36" s="83">
        <f>'MODU 2025'!M39</f>
        <v>39</v>
      </c>
      <c r="L36" s="83">
        <f>'MODU 2025'!N39</f>
        <v>39</v>
      </c>
      <c r="M36" s="83">
        <f>'MODU 2025'!O39</f>
        <v>39</v>
      </c>
      <c r="N36" s="83">
        <f>'MODU 2025'!P39</f>
        <v>39</v>
      </c>
      <c r="O36" s="83">
        <f>'MODU 2025'!Q39</f>
        <v>39</v>
      </c>
      <c r="P36" s="85"/>
      <c r="Q36" s="85">
        <f>IF(MOD(COLUMN(),2)=0,INDEX(paramètres!$C$4:$C$6,MATCH($C36,paramètres!$B$4:$B$6,0)),INDEX(paramètres!$D$4:$D$6,MATCH($C36,paramètres!$B$4:$B$6,0)))</f>
        <v>39</v>
      </c>
      <c r="R36" s="85">
        <f>IF(MOD(COLUMN(),2)=0,INDEX(paramètres!$C$4:$C$6,MATCH($C36,paramètres!$B$4:$B$6,0)),INDEX(paramètres!$D$4:$D$6,MATCH($C36,paramètres!$B$4:$B$6,0)))</f>
        <v>39</v>
      </c>
      <c r="S36" s="85">
        <f>IF(MOD(COLUMN(),2)=0,INDEX(paramètres!$C$4:$C$6,MATCH($C36,paramètres!$B$4:$B$6,0)),INDEX(paramètres!$D$4:$D$6,MATCH($C36,paramètres!$B$4:$B$6,0)))</f>
        <v>39</v>
      </c>
      <c r="T36" s="85">
        <f>IF(MOD(COLUMN(),2)=0,INDEX(paramètres!$C$4:$C$6,MATCH($C36,paramètres!$B$4:$B$6,0)),INDEX(paramètres!$D$4:$D$6,MATCH($C36,paramètres!$B$4:$B$6,0)))</f>
        <v>39</v>
      </c>
      <c r="U36" s="85">
        <f>IF(MOD(COLUMN(),2)=0,INDEX(paramètres!$C$4:$C$6,MATCH($C36,paramètres!$B$4:$B$6,0)),INDEX(paramètres!$D$4:$D$6,MATCH($C36,paramètres!$B$4:$B$6,0)))</f>
        <v>39</v>
      </c>
      <c r="V36" s="85">
        <f>IF(MOD(COLUMN(),2)=0,INDEX(paramètres!$C$4:$C$6,MATCH($C36,paramètres!$B$4:$B$6,0)),INDEX(paramètres!$D$4:$D$6,MATCH($C36,paramètres!$B$4:$B$6,0)))</f>
        <v>39</v>
      </c>
      <c r="W36" s="85">
        <f>IF(MOD(COLUMN(),2)=0,INDEX(paramètres!$C$4:$C$6,MATCH($C36,paramètres!$B$4:$B$6,0)),INDEX(paramètres!$D$4:$D$6,MATCH($C36,paramètres!$B$4:$B$6,0)))</f>
        <v>39</v>
      </c>
      <c r="X36" s="85">
        <f>IF(MOD(COLUMN(),2)=0,INDEX(paramètres!$C$4:$C$6,MATCH($C36,paramètres!$B$4:$B$6,0)),INDEX(paramètres!$D$4:$D$6,MATCH($C36,paramètres!$B$4:$B$6,0)))</f>
        <v>39</v>
      </c>
      <c r="Y36" s="85">
        <f>IF(MOD(COLUMN(),2)=0,INDEX(paramètres!$C$4:$C$6,MATCH($C36,paramètres!$B$4:$B$6,0)),INDEX(paramètres!$D$4:$D$6,MATCH($C36,paramètres!$B$4:$B$6,0)))</f>
        <v>39</v>
      </c>
      <c r="Z36" s="85">
        <f>IF(MOD(COLUMN(),2)=0,INDEX(paramètres!$C$4:$C$6,MATCH($C36,paramètres!$B$4:$B$6,0)),INDEX(paramètres!$D$4:$D$6,MATCH($C36,paramètres!$B$4:$B$6,0)))</f>
        <v>39</v>
      </c>
      <c r="AA36" s="85">
        <f>IF(MOD(COLUMN(),2)=0,INDEX(paramètres!$C$4:$C$6,MATCH($C36,paramètres!$B$4:$B$6,0)),INDEX(paramètres!$D$4:$D$6,MATCH($C36,paramètres!$B$4:$B$6,0)))</f>
        <v>39</v>
      </c>
      <c r="AB36" s="86"/>
      <c r="AC36" s="85" t="str">
        <f t="shared" si="68"/>
        <v/>
      </c>
      <c r="AD36" s="85" t="str">
        <f t="shared" si="26"/>
        <v/>
      </c>
      <c r="AE36" s="85" t="str">
        <f t="shared" si="69"/>
        <v/>
      </c>
      <c r="AF36" s="85" t="str">
        <f t="shared" si="27"/>
        <v/>
      </c>
      <c r="AG36" s="85" t="str">
        <f t="shared" si="28"/>
        <v/>
      </c>
      <c r="AH36" s="85" t="str">
        <f t="shared" si="29"/>
        <v/>
      </c>
      <c r="AI36" s="85" t="str">
        <f t="shared" si="30"/>
        <v/>
      </c>
      <c r="AJ36" s="85" t="str">
        <f t="shared" si="31"/>
        <v/>
      </c>
      <c r="AK36" s="85" t="str">
        <f t="shared" si="32"/>
        <v/>
      </c>
      <c r="AL36" s="85" t="str">
        <f t="shared" si="33"/>
        <v/>
      </c>
      <c r="AM36" s="85" t="str">
        <f t="shared" si="34"/>
        <v/>
      </c>
      <c r="AN36" s="85"/>
      <c r="AO36" s="85">
        <f t="shared" si="35"/>
        <v>0.75</v>
      </c>
      <c r="AP36" s="85">
        <f t="shared" si="36"/>
        <v>0.25</v>
      </c>
      <c r="AQ36" s="85">
        <f t="shared" si="37"/>
        <v>0.75</v>
      </c>
      <c r="AR36" s="85">
        <f t="shared" si="38"/>
        <v>0</v>
      </c>
      <c r="AS36" s="85">
        <f t="shared" si="39"/>
        <v>0</v>
      </c>
      <c r="AT36" s="85">
        <f t="shared" si="40"/>
        <v>0</v>
      </c>
      <c r="AU36" s="85">
        <f t="shared" si="41"/>
        <v>0</v>
      </c>
      <c r="AV36" s="85">
        <f t="shared" si="42"/>
        <v>0</v>
      </c>
      <c r="AW36" s="85">
        <f t="shared" si="43"/>
        <v>0</v>
      </c>
      <c r="AX36" s="85">
        <f t="shared" si="44"/>
        <v>0</v>
      </c>
      <c r="AY36" s="85">
        <f t="shared" si="45"/>
        <v>0</v>
      </c>
      <c r="AZ36" s="85">
        <f t="shared" si="46"/>
        <v>1.75</v>
      </c>
      <c r="BA36" s="35"/>
      <c r="BB36" s="85" t="str" cm="1">
        <f t="array" ref="BB36">IF($C36&lt;&gt;"Production","",IFERROR(
_xlfn.IFS(AND(AC36&gt;0,AC36&lt;($BC$3-$D36)),AC36,
AND(AC36&gt;0,AC36&gt;($BC$3-$D36)),($BC$3-$D36)),""))</f>
        <v/>
      </c>
      <c r="BC36" s="85" t="str" cm="1">
        <f t="array" ref="BC36">IF($C36&lt;&gt;"Production","",IFERROR(
_xlfn.IFS(AND(AD36&gt;0,AD36&lt;($BC$3-$D36)),AD36,
AND(AD36&gt;0,AD36&gt;($BC$3-$D36)),($BC$3-$D36)),""))</f>
        <v/>
      </c>
      <c r="BD36" s="85" t="str" cm="1">
        <f t="array" ref="BD36">IF($C36&lt;&gt;"Production","",IFERROR(
_xlfn.IFS(AND(AE36&gt;0,AE36&lt;($BC$3-$D36)),AE36,
AND(AE36&gt;0,AE36&gt;($BC$3-$D36)),($BC$3-$D36)),""))</f>
        <v/>
      </c>
      <c r="BE36" s="85" t="str" cm="1">
        <f t="array" ref="BE36">IF($C36&lt;&gt;"Production","",IFERROR(
_xlfn.IFS(AND(AF36&gt;0,AF36&lt;($BC$3-$D36)),AF36,
AND(AF36&gt;0,AF36&gt;($BC$3-$D36)),($BC$3-$D36)),""))</f>
        <v/>
      </c>
      <c r="BF36" s="85" t="str" cm="1">
        <f t="array" ref="BF36">IF($C36&lt;&gt;"Production","",IFERROR(
_xlfn.IFS(AND(AG36&gt;0,AG36&lt;($BC$3-$D36)),AG36,
AND(AG36&gt;0,AG36&gt;($BC$3-$D36)),($BC$3-$D36)),""))</f>
        <v/>
      </c>
      <c r="BG36" s="85" t="str" cm="1">
        <f t="array" ref="BG36">IF($C36&lt;&gt;"Production","",IFERROR(
_xlfn.IFS(AND(AH36&gt;0,AH36&lt;($BC$3-$D36)),AH36,
AND(AH36&gt;0,AH36&gt;($BC$3-$D36)),($BC$3-$D36)),""))</f>
        <v/>
      </c>
      <c r="BH36" s="85" t="str" cm="1">
        <f t="array" ref="BH36">IF($C36&lt;&gt;"Production","",IFERROR(
_xlfn.IFS(AND(AI36&gt;0,AI36&lt;($BC$3-$D36)),AI36,
AND(AI36&gt;0,AI36&gt;($BC$3-$D36)),($BC$3-$D36)),""))</f>
        <v/>
      </c>
      <c r="BI36" s="85" t="str" cm="1">
        <f t="array" ref="BI36">IF($C36&lt;&gt;"Production","",IFERROR(
_xlfn.IFS(AND(AJ36&gt;0,AJ36&lt;($BC$3-$D36)),AJ36,
AND(AJ36&gt;0,AJ36&gt;($BC$3-$D36)),($BC$3-$D36)),""))</f>
        <v/>
      </c>
      <c r="BJ36" s="85" t="str" cm="1">
        <f t="array" ref="BJ36">IF($C36&lt;&gt;"Production","",IFERROR(
_xlfn.IFS(AND(AK36&gt;0,AK36&lt;($BC$3-$D36)),AK36,
AND(AK36&gt;0,AK36&gt;($BC$3-$D36)),($BC$3-$D36)),""))</f>
        <v/>
      </c>
      <c r="BK36" s="85" t="str" cm="1">
        <f t="array" ref="BK36">IF($C36&lt;&gt;"Production","",IFERROR(
_xlfn.IFS(AND(AL36&gt;0,AL36&lt;($BC$3-$D36)),AL36,
AND(AL36&gt;0,AL36&gt;($BC$3-$D36)),($BC$3-$D36)),""))</f>
        <v/>
      </c>
      <c r="BL36" s="85" t="str" cm="1">
        <f t="array" ref="BL36">IF($C36&lt;&gt;"Production","",IFERROR(
_xlfn.IFS(AND(AM36&gt;0,AM36&lt;($BC$3-$D36)),AM36,
AND(AM36&gt;0,AM36&gt;($BC$3-$D36)),($BC$3-$D36)),""))</f>
        <v/>
      </c>
      <c r="BM36" s="85">
        <f t="shared" si="47"/>
        <v>0</v>
      </c>
      <c r="BN36" s="81"/>
      <c r="BO36" s="85" cm="1">
        <f t="array" ref="BO36">IF($C36="Production","",IFERROR(
_xlfn.IFS(AND(AO36&gt;0,AO36&lt;($BC$3-$D36)),AO36,
AND(AO36&gt;0,AO36&gt;($BC$3-$D36)),($BC$3-$D36)),""))</f>
        <v>0.75</v>
      </c>
      <c r="BP36" s="85" cm="1">
        <f t="array" ref="BP36">IF($C36="Production","",IFERROR(
_xlfn.IFS(AND(AP36&gt;0,AP36&lt;($BC$3-$D36)),AP36,
AND(AP36&gt;0,AP36&gt;($BC$3-$D36)),($BC$3-$D36)),""))</f>
        <v>0.25</v>
      </c>
      <c r="BQ36" s="85" cm="1">
        <f t="array" ref="BQ36">IF($C36="Production","",IFERROR(
_xlfn.IFS(AND(AQ36&gt;0,AQ36&lt;($BC$3-$D36)),AQ36,
AND(AQ36&gt;0,AQ36&gt;($BC$3-$D36)),($BC$3-$D36)),""))</f>
        <v>0.75</v>
      </c>
      <c r="BR36" s="85" t="str" cm="1">
        <f t="array" ref="BR36">IF($C36="Production","",IFERROR(
_xlfn.IFS(AND(AR36&gt;0,AR36&lt;($BC$3-$D36)),AR36,
AND(AR36&gt;0,AR36&gt;($BC$3-$D36)),($BC$3-$D36)),""))</f>
        <v/>
      </c>
      <c r="BS36" s="85" t="str" cm="1">
        <f t="array" ref="BS36">IF($C36="Production","",IFERROR(
_xlfn.IFS(AND(AS36&gt;0,AS36&lt;($BC$3-$D36)),AS36,
AND(AS36&gt;0,AS36&gt;($BC$3-$D36)),($BC$3-$D36)),""))</f>
        <v/>
      </c>
      <c r="BT36" s="85" t="str" cm="1">
        <f t="array" ref="BT36">IF($C36="Production","",IFERROR(
_xlfn.IFS(AND(AT36&gt;0,AT36&lt;($BC$3-$D36)),AT36,
AND(AT36&gt;0,AT36&gt;($BC$3-$D36)),($BC$3-$D36)),""))</f>
        <v/>
      </c>
      <c r="BU36" s="85" t="str" cm="1">
        <f t="array" ref="BU36">IF($C36="Production","",IFERROR(
_xlfn.IFS(AND(AU36&gt;0,AU36&lt;($BC$3-$D36)),AU36,
AND(AU36&gt;0,AU36&gt;($BC$3-$D36)),($BC$3-$D36)),""))</f>
        <v/>
      </c>
      <c r="BV36" s="85" t="str" cm="1">
        <f t="array" ref="BV36">IF($C36="Production","",IFERROR(
_xlfn.IFS(AND(AV36&gt;0,AV36&lt;($BC$3-$D36)),AV36,
AND(AV36&gt;0,AV36&gt;($BC$3-$D36)),($BC$3-$D36)),""))</f>
        <v/>
      </c>
      <c r="BW36" s="85" t="str" cm="1">
        <f t="array" ref="BW36">IF($C36="Production","",IFERROR(
_xlfn.IFS(AND(AW36&gt;0,AW36&lt;($BC$3-$D36)),AW36,
AND(AW36&gt;0,AW36&gt;($BC$3-$D36)),($BC$3-$D36)),""))</f>
        <v/>
      </c>
      <c r="BX36" s="85" t="str" cm="1">
        <f t="array" ref="BX36">IF($C36="Production","",IFERROR(
_xlfn.IFS(AND(AX36&gt;0,AX36&lt;($BC$3-$D36)),AX36,
AND(AX36&gt;0,AX36&gt;($BC$3-$D36)),($BC$3-$D36)),""))</f>
        <v/>
      </c>
      <c r="BY36" s="85" t="str" cm="1">
        <f t="array" ref="BY36">IF($C36="Production","",IFERROR(
_xlfn.IFS(AND(AY36&gt;0,AY36&lt;($BC$3-$D36)),AY36,
AND(AY36&gt;0,AY36&gt;($BC$3-$D36)),($BC$3-$D36)),""))</f>
        <v/>
      </c>
      <c r="BZ36" s="85">
        <f t="shared" si="48"/>
        <v>1.75</v>
      </c>
      <c r="CA36" s="81"/>
      <c r="CB36" s="85" t="str">
        <f t="shared" si="49"/>
        <v/>
      </c>
      <c r="CC36" s="85" t="str">
        <f t="shared" si="16"/>
        <v/>
      </c>
      <c r="CD36" s="85" t="str">
        <f t="shared" si="17"/>
        <v/>
      </c>
      <c r="CE36" s="85" t="str">
        <f t="shared" si="18"/>
        <v/>
      </c>
      <c r="CF36" s="85" t="str">
        <f t="shared" si="19"/>
        <v/>
      </c>
      <c r="CG36" s="85" t="str">
        <f t="shared" si="20"/>
        <v/>
      </c>
      <c r="CH36" s="85" t="str">
        <f t="shared" si="21"/>
        <v/>
      </c>
      <c r="CI36" s="85" t="str">
        <f t="shared" si="22"/>
        <v/>
      </c>
      <c r="CJ36" s="85" t="str">
        <f t="shared" si="23"/>
        <v/>
      </c>
      <c r="CK36" s="85" t="str">
        <f t="shared" si="24"/>
        <v/>
      </c>
      <c r="CL36" s="85" t="str">
        <f t="shared" si="25"/>
        <v/>
      </c>
      <c r="CM36" s="85">
        <f t="shared" si="50"/>
        <v>0</v>
      </c>
      <c r="CO36" s="80" t="str">
        <f t="shared" si="51"/>
        <v/>
      </c>
      <c r="CP36" s="80" t="str">
        <f t="shared" si="52"/>
        <v/>
      </c>
      <c r="CQ36" s="80" t="str">
        <f t="shared" si="53"/>
        <v/>
      </c>
      <c r="CR36" s="80" t="str">
        <f t="shared" si="54"/>
        <v/>
      </c>
      <c r="CS36" s="80" t="str">
        <f t="shared" si="55"/>
        <v/>
      </c>
      <c r="CT36" s="80" t="str">
        <f t="shared" si="56"/>
        <v/>
      </c>
      <c r="CU36" s="80" t="str">
        <f t="shared" si="57"/>
        <v/>
      </c>
      <c r="CV36" s="80" t="str">
        <f t="shared" si="58"/>
        <v/>
      </c>
      <c r="CW36" s="80" t="str">
        <f t="shared" si="59"/>
        <v/>
      </c>
      <c r="CX36" s="80" t="str">
        <f t="shared" si="60"/>
        <v/>
      </c>
      <c r="CY36" s="80" t="str">
        <f t="shared" si="61"/>
        <v/>
      </c>
      <c r="CZ36" s="80">
        <f t="shared" si="62"/>
        <v>0</v>
      </c>
      <c r="DB36" s="80">
        <f t="shared" si="63"/>
        <v>1.75</v>
      </c>
      <c r="DC36" s="80">
        <f t="shared" si="64"/>
        <v>0</v>
      </c>
      <c r="DD36" s="80">
        <f t="shared" si="65"/>
        <v>2.1875</v>
      </c>
      <c r="DE36" s="80">
        <f t="shared" si="66"/>
        <v>0</v>
      </c>
      <c r="DF36" s="80">
        <f t="shared" si="67"/>
        <v>2.1875</v>
      </c>
    </row>
    <row r="37" spans="2:110" x14ac:dyDescent="0.15">
      <c r="B37" s="83" t="str">
        <f>'MODU 2025'!B40</f>
        <v>REVERDY Mattéo</v>
      </c>
      <c r="C37" s="83" t="str">
        <f>'MODU 2025'!C40</f>
        <v>Production</v>
      </c>
      <c r="D37" s="83">
        <f>'MODU 2025'!D40</f>
        <v>37</v>
      </c>
      <c r="E37" s="83">
        <f>'MODU 2025'!G40</f>
        <v>39</v>
      </c>
      <c r="F37" s="83">
        <f>'MODU 2025'!H40</f>
        <v>39</v>
      </c>
      <c r="G37" s="83">
        <f>'MODU 2025'!I40</f>
        <v>39</v>
      </c>
      <c r="H37" s="83">
        <f>'MODU 2025'!J40</f>
        <v>33</v>
      </c>
      <c r="I37" s="83">
        <f>'MODU 2025'!K40</f>
        <v>41</v>
      </c>
      <c r="J37" s="83">
        <f>'MODU 2025'!L40</f>
        <v>33</v>
      </c>
      <c r="K37" s="83">
        <f>'MODU 2025'!M40</f>
        <v>41</v>
      </c>
      <c r="L37" s="83">
        <f>'MODU 2025'!N40</f>
        <v>33</v>
      </c>
      <c r="M37" s="83">
        <f>'MODU 2025'!O40</f>
        <v>41</v>
      </c>
      <c r="N37" s="83">
        <f>'MODU 2025'!P40</f>
        <v>33</v>
      </c>
      <c r="O37" s="83">
        <f>'MODU 2025'!Q40</f>
        <v>41</v>
      </c>
      <c r="P37" s="85"/>
      <c r="Q37" s="85">
        <f>IF(MOD(COLUMN(),2)=0,INDEX(paramètres!$C$4:$C$6,MATCH($C37,paramètres!$B$4:$B$6,0)),INDEX(paramètres!$D$4:$D$6,MATCH($C37,paramètres!$B$4:$B$6,0)))</f>
        <v>41</v>
      </c>
      <c r="R37" s="85">
        <f>IF(MOD(COLUMN(),2)=0,INDEX(paramètres!$C$4:$C$6,MATCH($C37,paramètres!$B$4:$B$6,0)),INDEX(paramètres!$D$4:$D$6,MATCH($C37,paramètres!$B$4:$B$6,0)))</f>
        <v>33</v>
      </c>
      <c r="S37" s="85">
        <f>IF(MOD(COLUMN(),2)=0,INDEX(paramètres!$C$4:$C$6,MATCH($C37,paramètres!$B$4:$B$6,0)),INDEX(paramètres!$D$4:$D$6,MATCH($C37,paramètres!$B$4:$B$6,0)))</f>
        <v>41</v>
      </c>
      <c r="T37" s="85">
        <f>IF(MOD(COLUMN(),2)=0,INDEX(paramètres!$C$4:$C$6,MATCH($C37,paramètres!$B$4:$B$6,0)),INDEX(paramètres!$D$4:$D$6,MATCH($C37,paramètres!$B$4:$B$6,0)))</f>
        <v>33</v>
      </c>
      <c r="U37" s="85">
        <f>IF(MOD(COLUMN(),2)=0,INDEX(paramètres!$C$4:$C$6,MATCH($C37,paramètres!$B$4:$B$6,0)),INDEX(paramètres!$D$4:$D$6,MATCH($C37,paramètres!$B$4:$B$6,0)))</f>
        <v>41</v>
      </c>
      <c r="V37" s="85">
        <f>IF(MOD(COLUMN(),2)=0,INDEX(paramètres!$C$4:$C$6,MATCH($C37,paramètres!$B$4:$B$6,0)),INDEX(paramètres!$D$4:$D$6,MATCH($C37,paramètres!$B$4:$B$6,0)))</f>
        <v>33</v>
      </c>
      <c r="W37" s="85">
        <f>IF(MOD(COLUMN(),2)=0,INDEX(paramètres!$C$4:$C$6,MATCH($C37,paramètres!$B$4:$B$6,0)),INDEX(paramètres!$D$4:$D$6,MATCH($C37,paramètres!$B$4:$B$6,0)))</f>
        <v>41</v>
      </c>
      <c r="X37" s="85">
        <f>IF(MOD(COLUMN(),2)=0,INDEX(paramètres!$C$4:$C$6,MATCH($C37,paramètres!$B$4:$B$6,0)),INDEX(paramètres!$D$4:$D$6,MATCH($C37,paramètres!$B$4:$B$6,0)))</f>
        <v>33</v>
      </c>
      <c r="Y37" s="85">
        <f>IF(MOD(COLUMN(),2)=0,INDEX(paramètres!$C$4:$C$6,MATCH($C37,paramètres!$B$4:$B$6,0)),INDEX(paramètres!$D$4:$D$6,MATCH($C37,paramètres!$B$4:$B$6,0)))</f>
        <v>41</v>
      </c>
      <c r="Z37" s="85">
        <f>IF(MOD(COLUMN(),2)=0,INDEX(paramètres!$C$4:$C$6,MATCH($C37,paramètres!$B$4:$B$6,0)),INDEX(paramètres!$D$4:$D$6,MATCH($C37,paramètres!$B$4:$B$6,0)))</f>
        <v>33</v>
      </c>
      <c r="AA37" s="85">
        <f>IF(MOD(COLUMN(),2)=0,INDEX(paramètres!$C$4:$C$6,MATCH($C37,paramètres!$B$4:$B$6,0)),INDEX(paramètres!$D$4:$D$6,MATCH($C37,paramètres!$B$4:$B$6,0)))</f>
        <v>41</v>
      </c>
      <c r="AB37" s="86"/>
      <c r="AC37" s="85">
        <f t="shared" si="68"/>
        <v>4</v>
      </c>
      <c r="AD37" s="85">
        <f t="shared" si="26"/>
        <v>0</v>
      </c>
      <c r="AE37" s="85">
        <f t="shared" si="69"/>
        <v>-2</v>
      </c>
      <c r="AF37" s="85">
        <f t="shared" si="27"/>
        <v>0</v>
      </c>
      <c r="AG37" s="85">
        <f t="shared" si="28"/>
        <v>0</v>
      </c>
      <c r="AH37" s="85">
        <f t="shared" si="29"/>
        <v>0</v>
      </c>
      <c r="AI37" s="85">
        <f t="shared" si="30"/>
        <v>0</v>
      </c>
      <c r="AJ37" s="85">
        <f t="shared" si="31"/>
        <v>0</v>
      </c>
      <c r="AK37" s="85">
        <f t="shared" si="32"/>
        <v>0</v>
      </c>
      <c r="AL37" s="85">
        <f t="shared" si="33"/>
        <v>0</v>
      </c>
      <c r="AM37" s="85">
        <f t="shared" si="34"/>
        <v>-33</v>
      </c>
      <c r="AN37" s="85"/>
      <c r="AO37" s="85" t="str">
        <f t="shared" si="35"/>
        <v/>
      </c>
      <c r="AP37" s="85" t="str">
        <f t="shared" si="36"/>
        <v/>
      </c>
      <c r="AQ37" s="85" t="str">
        <f t="shared" si="37"/>
        <v/>
      </c>
      <c r="AR37" s="85" t="str">
        <f t="shared" si="38"/>
        <v/>
      </c>
      <c r="AS37" s="85" t="str">
        <f t="shared" si="39"/>
        <v/>
      </c>
      <c r="AT37" s="85" t="str">
        <f t="shared" si="40"/>
        <v/>
      </c>
      <c r="AU37" s="85" t="str">
        <f t="shared" si="41"/>
        <v/>
      </c>
      <c r="AV37" s="85" t="str">
        <f t="shared" si="42"/>
        <v/>
      </c>
      <c r="AW37" s="85" t="str">
        <f t="shared" si="43"/>
        <v/>
      </c>
      <c r="AX37" s="85" t="str">
        <f t="shared" si="44"/>
        <v/>
      </c>
      <c r="AY37" s="85" t="str">
        <f t="shared" si="45"/>
        <v/>
      </c>
      <c r="AZ37" s="85">
        <f t="shared" si="46"/>
        <v>0</v>
      </c>
      <c r="BA37" s="35"/>
      <c r="BB37" s="85" cm="1">
        <f t="array" ref="BB37">IF($C37&lt;&gt;"Production","",IFERROR(
_xlfn.IFS(AND(AC37&gt;0,AC37&lt;($BC$3-$D37)),AC37,
AND(AC37&gt;0,AC37&gt;($BC$3-$D37)),($BC$3-$D37)),""))</f>
        <v>4</v>
      </c>
      <c r="BC37" s="85" t="str" cm="1">
        <f t="array" ref="BC37">IF($C37&lt;&gt;"Production","",IFERROR(
_xlfn.IFS(AND(AD37&gt;0,AD37&lt;($BC$3-$D37)),AD37,
AND(AD37&gt;0,AD37&gt;($BC$3-$D37)),($BC$3-$D37)),""))</f>
        <v/>
      </c>
      <c r="BD37" s="85" t="str" cm="1">
        <f t="array" ref="BD37">IF($C37&lt;&gt;"Production","",IFERROR(
_xlfn.IFS(AND(AE37&gt;0,AE37&lt;($BC$3-$D37)),AE37,
AND(AE37&gt;0,AE37&gt;($BC$3-$D37)),($BC$3-$D37)),""))</f>
        <v/>
      </c>
      <c r="BE37" s="85" t="str" cm="1">
        <f t="array" ref="BE37">IF($C37&lt;&gt;"Production","",IFERROR(
_xlfn.IFS(AND(AF37&gt;0,AF37&lt;($BC$3-$D37)),AF37,
AND(AF37&gt;0,AF37&gt;($BC$3-$D37)),($BC$3-$D37)),""))</f>
        <v/>
      </c>
      <c r="BF37" s="85" t="str" cm="1">
        <f t="array" ref="BF37">IF($C37&lt;&gt;"Production","",IFERROR(
_xlfn.IFS(AND(AG37&gt;0,AG37&lt;($BC$3-$D37)),AG37,
AND(AG37&gt;0,AG37&gt;($BC$3-$D37)),($BC$3-$D37)),""))</f>
        <v/>
      </c>
      <c r="BG37" s="85" t="str" cm="1">
        <f t="array" ref="BG37">IF($C37&lt;&gt;"Production","",IFERROR(
_xlfn.IFS(AND(AH37&gt;0,AH37&lt;($BC$3-$D37)),AH37,
AND(AH37&gt;0,AH37&gt;($BC$3-$D37)),($BC$3-$D37)),""))</f>
        <v/>
      </c>
      <c r="BH37" s="85" t="str" cm="1">
        <f t="array" ref="BH37">IF($C37&lt;&gt;"Production","",IFERROR(
_xlfn.IFS(AND(AI37&gt;0,AI37&lt;($BC$3-$D37)),AI37,
AND(AI37&gt;0,AI37&gt;($BC$3-$D37)),($BC$3-$D37)),""))</f>
        <v/>
      </c>
      <c r="BI37" s="85" t="str" cm="1">
        <f t="array" ref="BI37">IF($C37&lt;&gt;"Production","",IFERROR(
_xlfn.IFS(AND(AJ37&gt;0,AJ37&lt;($BC$3-$D37)),AJ37,
AND(AJ37&gt;0,AJ37&gt;($BC$3-$D37)),($BC$3-$D37)),""))</f>
        <v/>
      </c>
      <c r="BJ37" s="85" t="str" cm="1">
        <f t="array" ref="BJ37">IF($C37&lt;&gt;"Production","",IFERROR(
_xlfn.IFS(AND(AK37&gt;0,AK37&lt;($BC$3-$D37)),AK37,
AND(AK37&gt;0,AK37&gt;($BC$3-$D37)),($BC$3-$D37)),""))</f>
        <v/>
      </c>
      <c r="BK37" s="85" t="str" cm="1">
        <f t="array" ref="BK37">IF($C37&lt;&gt;"Production","",IFERROR(
_xlfn.IFS(AND(AL37&gt;0,AL37&lt;($BC$3-$D37)),AL37,
AND(AL37&gt;0,AL37&gt;($BC$3-$D37)),($BC$3-$D37)),""))</f>
        <v/>
      </c>
      <c r="BL37" s="85" t="str" cm="1">
        <f t="array" ref="BL37">IF($C37&lt;&gt;"Production","",IFERROR(
_xlfn.IFS(AND(AM37&gt;0,AM37&lt;($BC$3-$D37)),AM37,
AND(AM37&gt;0,AM37&gt;($BC$3-$D37)),($BC$3-$D37)),""))</f>
        <v/>
      </c>
      <c r="BM37" s="85">
        <f t="shared" si="47"/>
        <v>4</v>
      </c>
      <c r="BN37" s="81"/>
      <c r="BO37" s="85" t="str" cm="1">
        <f t="array" ref="BO37">IF($C37="Production","",IFERROR(
_xlfn.IFS(AND(AO37&gt;0,AO37&lt;($BC$3-$D37)),AO37,
AND(AO37&gt;0,AO37&gt;($BC$3-$D37)),($BC$3-$D37)),""))</f>
        <v/>
      </c>
      <c r="BP37" s="85" t="str" cm="1">
        <f t="array" ref="BP37">IF($C37="Production","",IFERROR(
_xlfn.IFS(AND(AP37&gt;0,AP37&lt;($BC$3-$D37)),AP37,
AND(AP37&gt;0,AP37&gt;($BC$3-$D37)),($BC$3-$D37)),""))</f>
        <v/>
      </c>
      <c r="BQ37" s="85" t="str" cm="1">
        <f t="array" ref="BQ37">IF($C37="Production","",IFERROR(
_xlfn.IFS(AND(AQ37&gt;0,AQ37&lt;($BC$3-$D37)),AQ37,
AND(AQ37&gt;0,AQ37&gt;($BC$3-$D37)),($BC$3-$D37)),""))</f>
        <v/>
      </c>
      <c r="BR37" s="85" t="str" cm="1">
        <f t="array" ref="BR37">IF($C37="Production","",IFERROR(
_xlfn.IFS(AND(AR37&gt;0,AR37&lt;($BC$3-$D37)),AR37,
AND(AR37&gt;0,AR37&gt;($BC$3-$D37)),($BC$3-$D37)),""))</f>
        <v/>
      </c>
      <c r="BS37" s="85" t="str" cm="1">
        <f t="array" ref="BS37">IF($C37="Production","",IFERROR(
_xlfn.IFS(AND(AS37&gt;0,AS37&lt;($BC$3-$D37)),AS37,
AND(AS37&gt;0,AS37&gt;($BC$3-$D37)),($BC$3-$D37)),""))</f>
        <v/>
      </c>
      <c r="BT37" s="85" t="str" cm="1">
        <f t="array" ref="BT37">IF($C37="Production","",IFERROR(
_xlfn.IFS(AND(AT37&gt;0,AT37&lt;($BC$3-$D37)),AT37,
AND(AT37&gt;0,AT37&gt;($BC$3-$D37)),($BC$3-$D37)),""))</f>
        <v/>
      </c>
      <c r="BU37" s="85" t="str" cm="1">
        <f t="array" ref="BU37">IF($C37="Production","",IFERROR(
_xlfn.IFS(AND(AU37&gt;0,AU37&lt;($BC$3-$D37)),AU37,
AND(AU37&gt;0,AU37&gt;($BC$3-$D37)),($BC$3-$D37)),""))</f>
        <v/>
      </c>
      <c r="BV37" s="85" t="str" cm="1">
        <f t="array" ref="BV37">IF($C37="Production","",IFERROR(
_xlfn.IFS(AND(AV37&gt;0,AV37&lt;($BC$3-$D37)),AV37,
AND(AV37&gt;0,AV37&gt;($BC$3-$D37)),($BC$3-$D37)),""))</f>
        <v/>
      </c>
      <c r="BW37" s="85" t="str" cm="1">
        <f t="array" ref="BW37">IF($C37="Production","",IFERROR(
_xlfn.IFS(AND(AW37&gt;0,AW37&lt;($BC$3-$D37)),AW37,
AND(AW37&gt;0,AW37&gt;($BC$3-$D37)),($BC$3-$D37)),""))</f>
        <v/>
      </c>
      <c r="BX37" s="85" t="str" cm="1">
        <f t="array" ref="BX37">IF($C37="Production","",IFERROR(
_xlfn.IFS(AND(AX37&gt;0,AX37&lt;($BC$3-$D37)),AX37,
AND(AX37&gt;0,AX37&gt;($BC$3-$D37)),($BC$3-$D37)),""))</f>
        <v/>
      </c>
      <c r="BY37" s="85" t="str" cm="1">
        <f t="array" ref="BY37">IF($C37="Production","",IFERROR(
_xlfn.IFS(AND(AY37&gt;0,AY37&lt;($BC$3-$D37)),AY37,
AND(AY37&gt;0,AY37&gt;($BC$3-$D37)),($BC$3-$D37)),""))</f>
        <v/>
      </c>
      <c r="BZ37" s="85">
        <f t="shared" si="48"/>
        <v>0</v>
      </c>
      <c r="CA37" s="81"/>
      <c r="CB37" s="85" t="str">
        <f t="shared" si="49"/>
        <v/>
      </c>
      <c r="CC37" s="85" t="str">
        <f t="shared" si="16"/>
        <v/>
      </c>
      <c r="CD37" s="85" t="str">
        <f t="shared" si="17"/>
        <v/>
      </c>
      <c r="CE37" s="85" t="str">
        <f t="shared" si="18"/>
        <v/>
      </c>
      <c r="CF37" s="85" t="str">
        <f t="shared" si="19"/>
        <v/>
      </c>
      <c r="CG37" s="85" t="str">
        <f t="shared" si="20"/>
        <v/>
      </c>
      <c r="CH37" s="85" t="str">
        <f t="shared" si="21"/>
        <v/>
      </c>
      <c r="CI37" s="85" t="str">
        <f t="shared" si="22"/>
        <v/>
      </c>
      <c r="CJ37" s="85" t="str">
        <f t="shared" si="23"/>
        <v/>
      </c>
      <c r="CK37" s="85" t="str">
        <f t="shared" si="24"/>
        <v/>
      </c>
      <c r="CL37" s="85" t="str">
        <f t="shared" si="25"/>
        <v/>
      </c>
      <c r="CM37" s="85">
        <f t="shared" si="50"/>
        <v>0</v>
      </c>
      <c r="CO37" s="80" t="str">
        <f t="shared" si="51"/>
        <v/>
      </c>
      <c r="CP37" s="80" t="str">
        <f t="shared" si="52"/>
        <v/>
      </c>
      <c r="CQ37" s="80" t="str">
        <f t="shared" si="53"/>
        <v/>
      </c>
      <c r="CR37" s="80" t="str">
        <f t="shared" si="54"/>
        <v/>
      </c>
      <c r="CS37" s="80" t="str">
        <f t="shared" si="55"/>
        <v/>
      </c>
      <c r="CT37" s="80" t="str">
        <f t="shared" si="56"/>
        <v/>
      </c>
      <c r="CU37" s="80" t="str">
        <f t="shared" si="57"/>
        <v/>
      </c>
      <c r="CV37" s="80" t="str">
        <f t="shared" si="58"/>
        <v/>
      </c>
      <c r="CW37" s="80" t="str">
        <f t="shared" si="59"/>
        <v/>
      </c>
      <c r="CX37" s="80" t="str">
        <f t="shared" si="60"/>
        <v/>
      </c>
      <c r="CY37" s="80" t="str">
        <f t="shared" si="61"/>
        <v/>
      </c>
      <c r="CZ37" s="80">
        <f t="shared" si="62"/>
        <v>0</v>
      </c>
      <c r="DB37" s="80">
        <f t="shared" si="63"/>
        <v>4</v>
      </c>
      <c r="DC37" s="80">
        <f t="shared" si="64"/>
        <v>0</v>
      </c>
      <c r="DD37" s="80">
        <f t="shared" si="65"/>
        <v>5</v>
      </c>
      <c r="DE37" s="80">
        <f t="shared" si="66"/>
        <v>-35</v>
      </c>
      <c r="DF37" s="80">
        <f t="shared" si="67"/>
        <v>-30</v>
      </c>
    </row>
    <row r="38" spans="2:110" x14ac:dyDescent="0.15">
      <c r="B38" s="83" t="str">
        <f>'MODU 2025'!B41</f>
        <v>ROBERT Cécile</v>
      </c>
      <c r="C38" s="83" t="str">
        <f>'MODU 2025'!C41</f>
        <v>Production</v>
      </c>
      <c r="D38" s="83">
        <f>'MODU 2025'!D41</f>
        <v>37</v>
      </c>
      <c r="E38" s="83">
        <f>'MODU 2025'!G41</f>
        <v>33</v>
      </c>
      <c r="F38" s="83">
        <f>'MODU 2025'!H41</f>
        <v>41</v>
      </c>
      <c r="G38" s="83">
        <f>'MODU 2025'!I41</f>
        <v>33</v>
      </c>
      <c r="H38" s="83">
        <f>'MODU 2025'!J41</f>
        <v>41</v>
      </c>
      <c r="I38" s="83">
        <f>'MODU 2025'!K41</f>
        <v>33</v>
      </c>
      <c r="J38" s="83">
        <f>'MODU 2025'!L41</f>
        <v>41</v>
      </c>
      <c r="K38" s="83">
        <f>'MODU 2025'!M41</f>
        <v>33</v>
      </c>
      <c r="L38" s="83">
        <f>'MODU 2025'!N41</f>
        <v>41</v>
      </c>
      <c r="M38" s="83">
        <f>'MODU 2025'!O41</f>
        <v>33</v>
      </c>
      <c r="N38" s="83">
        <f>'MODU 2025'!P41</f>
        <v>41</v>
      </c>
      <c r="O38" s="83">
        <f>'MODU 2025'!Q41</f>
        <v>33</v>
      </c>
      <c r="P38" s="85"/>
      <c r="Q38" s="85">
        <f>IF(MOD(COLUMN(),2)=0,INDEX(paramètres!$C$4:$C$6,MATCH($C38,paramètres!$B$4:$B$6,0)),INDEX(paramètres!$D$4:$D$6,MATCH($C38,paramètres!$B$4:$B$6,0)))</f>
        <v>41</v>
      </c>
      <c r="R38" s="85">
        <f>IF(MOD(COLUMN(),2)=0,INDEX(paramètres!$C$4:$C$6,MATCH($C38,paramètres!$B$4:$B$6,0)),INDEX(paramètres!$D$4:$D$6,MATCH($C38,paramètres!$B$4:$B$6,0)))</f>
        <v>33</v>
      </c>
      <c r="S38" s="85">
        <f>IF(MOD(COLUMN(),2)=0,INDEX(paramètres!$C$4:$C$6,MATCH($C38,paramètres!$B$4:$B$6,0)),INDEX(paramètres!$D$4:$D$6,MATCH($C38,paramètres!$B$4:$B$6,0)))</f>
        <v>41</v>
      </c>
      <c r="T38" s="85">
        <f>IF(MOD(COLUMN(),2)=0,INDEX(paramètres!$C$4:$C$6,MATCH($C38,paramètres!$B$4:$B$6,0)),INDEX(paramètres!$D$4:$D$6,MATCH($C38,paramètres!$B$4:$B$6,0)))</f>
        <v>33</v>
      </c>
      <c r="U38" s="85">
        <f>IF(MOD(COLUMN(),2)=0,INDEX(paramètres!$C$4:$C$6,MATCH($C38,paramètres!$B$4:$B$6,0)),INDEX(paramètres!$D$4:$D$6,MATCH($C38,paramètres!$B$4:$B$6,0)))</f>
        <v>41</v>
      </c>
      <c r="V38" s="85">
        <f>IF(MOD(COLUMN(),2)=0,INDEX(paramètres!$C$4:$C$6,MATCH($C38,paramètres!$B$4:$B$6,0)),INDEX(paramètres!$D$4:$D$6,MATCH($C38,paramètres!$B$4:$B$6,0)))</f>
        <v>33</v>
      </c>
      <c r="W38" s="85">
        <f>IF(MOD(COLUMN(),2)=0,INDEX(paramètres!$C$4:$C$6,MATCH($C38,paramètres!$B$4:$B$6,0)),INDEX(paramètres!$D$4:$D$6,MATCH($C38,paramètres!$B$4:$B$6,0)))</f>
        <v>41</v>
      </c>
      <c r="X38" s="85">
        <f>IF(MOD(COLUMN(),2)=0,INDEX(paramètres!$C$4:$C$6,MATCH($C38,paramètres!$B$4:$B$6,0)),INDEX(paramètres!$D$4:$D$6,MATCH($C38,paramètres!$B$4:$B$6,0)))</f>
        <v>33</v>
      </c>
      <c r="Y38" s="85">
        <f>IF(MOD(COLUMN(),2)=0,INDEX(paramètres!$C$4:$C$6,MATCH($C38,paramètres!$B$4:$B$6,0)),INDEX(paramètres!$D$4:$D$6,MATCH($C38,paramètres!$B$4:$B$6,0)))</f>
        <v>41</v>
      </c>
      <c r="Z38" s="85">
        <f>IF(MOD(COLUMN(),2)=0,INDEX(paramètres!$C$4:$C$6,MATCH($C38,paramètres!$B$4:$B$6,0)),INDEX(paramètres!$D$4:$D$6,MATCH($C38,paramètres!$B$4:$B$6,0)))</f>
        <v>33</v>
      </c>
      <c r="AA38" s="85">
        <f>IF(MOD(COLUMN(),2)=0,INDEX(paramètres!$C$4:$C$6,MATCH($C38,paramètres!$B$4:$B$6,0)),INDEX(paramètres!$D$4:$D$6,MATCH($C38,paramètres!$B$4:$B$6,0)))</f>
        <v>41</v>
      </c>
      <c r="AB38" s="86"/>
      <c r="AC38" s="85">
        <f t="shared" si="68"/>
        <v>0</v>
      </c>
      <c r="AD38" s="85">
        <f t="shared" si="26"/>
        <v>0</v>
      </c>
      <c r="AE38" s="85">
        <f t="shared" si="69"/>
        <v>0</v>
      </c>
      <c r="AF38" s="85">
        <f t="shared" si="27"/>
        <v>0</v>
      </c>
      <c r="AG38" s="85">
        <f t="shared" si="28"/>
        <v>0</v>
      </c>
      <c r="AH38" s="85">
        <f t="shared" si="29"/>
        <v>0</v>
      </c>
      <c r="AI38" s="85">
        <f t="shared" si="30"/>
        <v>0</v>
      </c>
      <c r="AJ38" s="85">
        <f t="shared" si="31"/>
        <v>0</v>
      </c>
      <c r="AK38" s="85">
        <f t="shared" si="32"/>
        <v>0</v>
      </c>
      <c r="AL38" s="85">
        <f t="shared" si="33"/>
        <v>0</v>
      </c>
      <c r="AM38" s="85">
        <f t="shared" si="34"/>
        <v>-41</v>
      </c>
      <c r="AN38" s="85"/>
      <c r="AO38" s="85" t="str">
        <f t="shared" si="35"/>
        <v/>
      </c>
      <c r="AP38" s="85" t="str">
        <f t="shared" si="36"/>
        <v/>
      </c>
      <c r="AQ38" s="85" t="str">
        <f t="shared" si="37"/>
        <v/>
      </c>
      <c r="AR38" s="85" t="str">
        <f t="shared" si="38"/>
        <v/>
      </c>
      <c r="AS38" s="85" t="str">
        <f t="shared" si="39"/>
        <v/>
      </c>
      <c r="AT38" s="85" t="str">
        <f t="shared" si="40"/>
        <v/>
      </c>
      <c r="AU38" s="85" t="str">
        <f t="shared" si="41"/>
        <v/>
      </c>
      <c r="AV38" s="85" t="str">
        <f t="shared" si="42"/>
        <v/>
      </c>
      <c r="AW38" s="85" t="str">
        <f t="shared" si="43"/>
        <v/>
      </c>
      <c r="AX38" s="85" t="str">
        <f t="shared" si="44"/>
        <v/>
      </c>
      <c r="AY38" s="85" t="str">
        <f t="shared" si="45"/>
        <v/>
      </c>
      <c r="AZ38" s="85">
        <f t="shared" si="46"/>
        <v>0</v>
      </c>
      <c r="BA38" s="35"/>
      <c r="BB38" s="85" t="str" cm="1">
        <f t="array" ref="BB38">IF($C38&lt;&gt;"Production","",IFERROR(
_xlfn.IFS(AND(AC38&gt;0,AC38&lt;($BC$3-$D38)),AC38,
AND(AC38&gt;0,AC38&gt;($BC$3-$D38)),($BC$3-$D38)),""))</f>
        <v/>
      </c>
      <c r="BC38" s="85" t="str" cm="1">
        <f t="array" ref="BC38">IF($C38&lt;&gt;"Production","",IFERROR(
_xlfn.IFS(AND(AD38&gt;0,AD38&lt;($BC$3-$D38)),AD38,
AND(AD38&gt;0,AD38&gt;($BC$3-$D38)),($BC$3-$D38)),""))</f>
        <v/>
      </c>
      <c r="BD38" s="85" t="str" cm="1">
        <f t="array" ref="BD38">IF($C38&lt;&gt;"Production","",IFERROR(
_xlfn.IFS(AND(AE38&gt;0,AE38&lt;($BC$3-$D38)),AE38,
AND(AE38&gt;0,AE38&gt;($BC$3-$D38)),($BC$3-$D38)),""))</f>
        <v/>
      </c>
      <c r="BE38" s="85" t="str" cm="1">
        <f t="array" ref="BE38">IF($C38&lt;&gt;"Production","",IFERROR(
_xlfn.IFS(AND(AF38&gt;0,AF38&lt;($BC$3-$D38)),AF38,
AND(AF38&gt;0,AF38&gt;($BC$3-$D38)),($BC$3-$D38)),""))</f>
        <v/>
      </c>
      <c r="BF38" s="85" t="str" cm="1">
        <f t="array" ref="BF38">IF($C38&lt;&gt;"Production","",IFERROR(
_xlfn.IFS(AND(AG38&gt;0,AG38&lt;($BC$3-$D38)),AG38,
AND(AG38&gt;0,AG38&gt;($BC$3-$D38)),($BC$3-$D38)),""))</f>
        <v/>
      </c>
      <c r="BG38" s="85" t="str" cm="1">
        <f t="array" ref="BG38">IF($C38&lt;&gt;"Production","",IFERROR(
_xlfn.IFS(AND(AH38&gt;0,AH38&lt;($BC$3-$D38)),AH38,
AND(AH38&gt;0,AH38&gt;($BC$3-$D38)),($BC$3-$D38)),""))</f>
        <v/>
      </c>
      <c r="BH38" s="85" t="str" cm="1">
        <f t="array" ref="BH38">IF($C38&lt;&gt;"Production","",IFERROR(
_xlfn.IFS(AND(AI38&gt;0,AI38&lt;($BC$3-$D38)),AI38,
AND(AI38&gt;0,AI38&gt;($BC$3-$D38)),($BC$3-$D38)),""))</f>
        <v/>
      </c>
      <c r="BI38" s="85" t="str" cm="1">
        <f t="array" ref="BI38">IF($C38&lt;&gt;"Production","",IFERROR(
_xlfn.IFS(AND(AJ38&gt;0,AJ38&lt;($BC$3-$D38)),AJ38,
AND(AJ38&gt;0,AJ38&gt;($BC$3-$D38)),($BC$3-$D38)),""))</f>
        <v/>
      </c>
      <c r="BJ38" s="85" t="str" cm="1">
        <f t="array" ref="BJ38">IF($C38&lt;&gt;"Production","",IFERROR(
_xlfn.IFS(AND(AK38&gt;0,AK38&lt;($BC$3-$D38)),AK38,
AND(AK38&gt;0,AK38&gt;($BC$3-$D38)),($BC$3-$D38)),""))</f>
        <v/>
      </c>
      <c r="BK38" s="85" t="str" cm="1">
        <f t="array" ref="BK38">IF($C38&lt;&gt;"Production","",IFERROR(
_xlfn.IFS(AND(AL38&gt;0,AL38&lt;($BC$3-$D38)),AL38,
AND(AL38&gt;0,AL38&gt;($BC$3-$D38)),($BC$3-$D38)),""))</f>
        <v/>
      </c>
      <c r="BL38" s="85" t="str" cm="1">
        <f t="array" ref="BL38">IF($C38&lt;&gt;"Production","",IFERROR(
_xlfn.IFS(AND(AM38&gt;0,AM38&lt;($BC$3-$D38)),AM38,
AND(AM38&gt;0,AM38&gt;($BC$3-$D38)),($BC$3-$D38)),""))</f>
        <v/>
      </c>
      <c r="BM38" s="85">
        <f t="shared" si="47"/>
        <v>0</v>
      </c>
      <c r="BN38" s="81"/>
      <c r="BO38" s="85" t="str" cm="1">
        <f t="array" ref="BO38">IF($C38="Production","",IFERROR(
_xlfn.IFS(AND(AO38&gt;0,AO38&lt;($BC$3-$D38)),AO38,
AND(AO38&gt;0,AO38&gt;($BC$3-$D38)),($BC$3-$D38)),""))</f>
        <v/>
      </c>
      <c r="BP38" s="85" t="str" cm="1">
        <f t="array" ref="BP38">IF($C38="Production","",IFERROR(
_xlfn.IFS(AND(AP38&gt;0,AP38&lt;($BC$3-$D38)),AP38,
AND(AP38&gt;0,AP38&gt;($BC$3-$D38)),($BC$3-$D38)),""))</f>
        <v/>
      </c>
      <c r="BQ38" s="85" t="str" cm="1">
        <f t="array" ref="BQ38">IF($C38="Production","",IFERROR(
_xlfn.IFS(AND(AQ38&gt;0,AQ38&lt;($BC$3-$D38)),AQ38,
AND(AQ38&gt;0,AQ38&gt;($BC$3-$D38)),($BC$3-$D38)),""))</f>
        <v/>
      </c>
      <c r="BR38" s="85" t="str" cm="1">
        <f t="array" ref="BR38">IF($C38="Production","",IFERROR(
_xlfn.IFS(AND(AR38&gt;0,AR38&lt;($BC$3-$D38)),AR38,
AND(AR38&gt;0,AR38&gt;($BC$3-$D38)),($BC$3-$D38)),""))</f>
        <v/>
      </c>
      <c r="BS38" s="85" t="str" cm="1">
        <f t="array" ref="BS38">IF($C38="Production","",IFERROR(
_xlfn.IFS(AND(AS38&gt;0,AS38&lt;($BC$3-$D38)),AS38,
AND(AS38&gt;0,AS38&gt;($BC$3-$D38)),($BC$3-$D38)),""))</f>
        <v/>
      </c>
      <c r="BT38" s="85" t="str" cm="1">
        <f t="array" ref="BT38">IF($C38="Production","",IFERROR(
_xlfn.IFS(AND(AT38&gt;0,AT38&lt;($BC$3-$D38)),AT38,
AND(AT38&gt;0,AT38&gt;($BC$3-$D38)),($BC$3-$D38)),""))</f>
        <v/>
      </c>
      <c r="BU38" s="85" t="str" cm="1">
        <f t="array" ref="BU38">IF($C38="Production","",IFERROR(
_xlfn.IFS(AND(AU38&gt;0,AU38&lt;($BC$3-$D38)),AU38,
AND(AU38&gt;0,AU38&gt;($BC$3-$D38)),($BC$3-$D38)),""))</f>
        <v/>
      </c>
      <c r="BV38" s="85" t="str" cm="1">
        <f t="array" ref="BV38">IF($C38="Production","",IFERROR(
_xlfn.IFS(AND(AV38&gt;0,AV38&lt;($BC$3-$D38)),AV38,
AND(AV38&gt;0,AV38&gt;($BC$3-$D38)),($BC$3-$D38)),""))</f>
        <v/>
      </c>
      <c r="BW38" s="85" t="str" cm="1">
        <f t="array" ref="BW38">IF($C38="Production","",IFERROR(
_xlfn.IFS(AND(AW38&gt;0,AW38&lt;($BC$3-$D38)),AW38,
AND(AW38&gt;0,AW38&gt;($BC$3-$D38)),($BC$3-$D38)),""))</f>
        <v/>
      </c>
      <c r="BX38" s="85" t="str" cm="1">
        <f t="array" ref="BX38">IF($C38="Production","",IFERROR(
_xlfn.IFS(AND(AX38&gt;0,AX38&lt;($BC$3-$D38)),AX38,
AND(AX38&gt;0,AX38&gt;($BC$3-$D38)),($BC$3-$D38)),""))</f>
        <v/>
      </c>
      <c r="BY38" s="85" t="str" cm="1">
        <f t="array" ref="BY38">IF($C38="Production","",IFERROR(
_xlfn.IFS(AND(AY38&gt;0,AY38&lt;($BC$3-$D38)),AY38,
AND(AY38&gt;0,AY38&gt;($BC$3-$D38)),($BC$3-$D38)),""))</f>
        <v/>
      </c>
      <c r="BZ38" s="85">
        <f t="shared" si="48"/>
        <v>0</v>
      </c>
      <c r="CA38" s="81"/>
      <c r="CB38" s="85" t="str">
        <f t="shared" si="49"/>
        <v/>
      </c>
      <c r="CC38" s="85" t="str">
        <f t="shared" si="16"/>
        <v/>
      </c>
      <c r="CD38" s="85" t="str">
        <f t="shared" si="17"/>
        <v/>
      </c>
      <c r="CE38" s="85" t="str">
        <f t="shared" si="18"/>
        <v/>
      </c>
      <c r="CF38" s="85" t="str">
        <f t="shared" si="19"/>
        <v/>
      </c>
      <c r="CG38" s="85" t="str">
        <f t="shared" si="20"/>
        <v/>
      </c>
      <c r="CH38" s="85" t="str">
        <f t="shared" si="21"/>
        <v/>
      </c>
      <c r="CI38" s="85" t="str">
        <f t="shared" si="22"/>
        <v/>
      </c>
      <c r="CJ38" s="85" t="str">
        <f t="shared" si="23"/>
        <v/>
      </c>
      <c r="CK38" s="85" t="str">
        <f t="shared" si="24"/>
        <v/>
      </c>
      <c r="CL38" s="85" t="str">
        <f t="shared" si="25"/>
        <v/>
      </c>
      <c r="CM38" s="85">
        <f t="shared" si="50"/>
        <v>0</v>
      </c>
      <c r="CO38" s="80" t="str">
        <f t="shared" si="51"/>
        <v/>
      </c>
      <c r="CP38" s="80" t="str">
        <f t="shared" si="52"/>
        <v/>
      </c>
      <c r="CQ38" s="80" t="str">
        <f t="shared" si="53"/>
        <v/>
      </c>
      <c r="CR38" s="80" t="str">
        <f t="shared" si="54"/>
        <v/>
      </c>
      <c r="CS38" s="80" t="str">
        <f t="shared" si="55"/>
        <v/>
      </c>
      <c r="CT38" s="80" t="str">
        <f t="shared" si="56"/>
        <v/>
      </c>
      <c r="CU38" s="80" t="str">
        <f t="shared" si="57"/>
        <v/>
      </c>
      <c r="CV38" s="80" t="str">
        <f t="shared" si="58"/>
        <v/>
      </c>
      <c r="CW38" s="80" t="str">
        <f t="shared" si="59"/>
        <v/>
      </c>
      <c r="CX38" s="80" t="str">
        <f t="shared" si="60"/>
        <v/>
      </c>
      <c r="CY38" s="80" t="str">
        <f t="shared" si="61"/>
        <v/>
      </c>
      <c r="CZ38" s="80">
        <f t="shared" si="62"/>
        <v>0</v>
      </c>
      <c r="DB38" s="80">
        <f t="shared" si="63"/>
        <v>0</v>
      </c>
      <c r="DC38" s="80">
        <f t="shared" si="64"/>
        <v>0</v>
      </c>
      <c r="DD38" s="80">
        <f t="shared" si="65"/>
        <v>0</v>
      </c>
      <c r="DE38" s="80">
        <f t="shared" si="66"/>
        <v>-41</v>
      </c>
      <c r="DF38" s="80">
        <f t="shared" si="67"/>
        <v>-41</v>
      </c>
    </row>
    <row r="39" spans="2:110" x14ac:dyDescent="0.15">
      <c r="B39" s="83" t="str">
        <f>'MODU 2025'!B42</f>
        <v>ROSSELLO Yasmina</v>
      </c>
      <c r="C39" s="83" t="str">
        <f>'MODU 2025'!C42</f>
        <v>Production</v>
      </c>
      <c r="D39" s="83">
        <f>'MODU 2025'!D42</f>
        <v>37</v>
      </c>
      <c r="E39" s="83">
        <f>'MODU 2025'!G42</f>
        <v>41.25</v>
      </c>
      <c r="F39" s="83">
        <f>'MODU 2025'!H42</f>
        <v>33</v>
      </c>
      <c r="G39" s="83">
        <f>'MODU 2025'!I42</f>
        <v>41</v>
      </c>
      <c r="H39" s="83">
        <f>'MODU 2025'!J42</f>
        <v>33</v>
      </c>
      <c r="I39" s="83">
        <f>'MODU 2025'!K42</f>
        <v>41</v>
      </c>
      <c r="J39" s="83">
        <f>'MODU 2025'!L42</f>
        <v>33</v>
      </c>
      <c r="K39" s="83">
        <f>'MODU 2025'!M42</f>
        <v>41</v>
      </c>
      <c r="L39" s="83">
        <f>'MODU 2025'!N42</f>
        <v>33</v>
      </c>
      <c r="M39" s="83">
        <f>'MODU 2025'!O42</f>
        <v>41</v>
      </c>
      <c r="N39" s="83">
        <f>'MODU 2025'!P42</f>
        <v>33</v>
      </c>
      <c r="O39" s="83">
        <f>'MODU 2025'!Q42</f>
        <v>41</v>
      </c>
      <c r="P39" s="85"/>
      <c r="Q39" s="85">
        <f>IF(MOD(COLUMN(),2)=0,INDEX(paramètres!$C$4:$C$6,MATCH($C39,paramètres!$B$4:$B$6,0)),INDEX(paramètres!$D$4:$D$6,MATCH($C39,paramètres!$B$4:$B$6,0)))</f>
        <v>41</v>
      </c>
      <c r="R39" s="85">
        <f>IF(MOD(COLUMN(),2)=0,INDEX(paramètres!$C$4:$C$6,MATCH($C39,paramètres!$B$4:$B$6,0)),INDEX(paramètres!$D$4:$D$6,MATCH($C39,paramètres!$B$4:$B$6,0)))</f>
        <v>33</v>
      </c>
      <c r="S39" s="85">
        <f>IF(MOD(COLUMN(),2)=0,INDEX(paramètres!$C$4:$C$6,MATCH($C39,paramètres!$B$4:$B$6,0)),INDEX(paramètres!$D$4:$D$6,MATCH($C39,paramètres!$B$4:$B$6,0)))</f>
        <v>41</v>
      </c>
      <c r="T39" s="85">
        <f>IF(MOD(COLUMN(),2)=0,INDEX(paramètres!$C$4:$C$6,MATCH($C39,paramètres!$B$4:$B$6,0)),INDEX(paramètres!$D$4:$D$6,MATCH($C39,paramètres!$B$4:$B$6,0)))</f>
        <v>33</v>
      </c>
      <c r="U39" s="85">
        <f>IF(MOD(COLUMN(),2)=0,INDEX(paramètres!$C$4:$C$6,MATCH($C39,paramètres!$B$4:$B$6,0)),INDEX(paramètres!$D$4:$D$6,MATCH($C39,paramètres!$B$4:$B$6,0)))</f>
        <v>41</v>
      </c>
      <c r="V39" s="85">
        <f>IF(MOD(COLUMN(),2)=0,INDEX(paramètres!$C$4:$C$6,MATCH($C39,paramètres!$B$4:$B$6,0)),INDEX(paramètres!$D$4:$D$6,MATCH($C39,paramètres!$B$4:$B$6,0)))</f>
        <v>33</v>
      </c>
      <c r="W39" s="85">
        <f>IF(MOD(COLUMN(),2)=0,INDEX(paramètres!$C$4:$C$6,MATCH($C39,paramètres!$B$4:$B$6,0)),INDEX(paramètres!$D$4:$D$6,MATCH($C39,paramètres!$B$4:$B$6,0)))</f>
        <v>41</v>
      </c>
      <c r="X39" s="85">
        <f>IF(MOD(COLUMN(),2)=0,INDEX(paramètres!$C$4:$C$6,MATCH($C39,paramètres!$B$4:$B$6,0)),INDEX(paramètres!$D$4:$D$6,MATCH($C39,paramètres!$B$4:$B$6,0)))</f>
        <v>33</v>
      </c>
      <c r="Y39" s="85">
        <f>IF(MOD(COLUMN(),2)=0,INDEX(paramètres!$C$4:$C$6,MATCH($C39,paramètres!$B$4:$B$6,0)),INDEX(paramètres!$D$4:$D$6,MATCH($C39,paramètres!$B$4:$B$6,0)))</f>
        <v>41</v>
      </c>
      <c r="Z39" s="85">
        <f>IF(MOD(COLUMN(),2)=0,INDEX(paramètres!$C$4:$C$6,MATCH($C39,paramètres!$B$4:$B$6,0)),INDEX(paramètres!$D$4:$D$6,MATCH($C39,paramètres!$B$4:$B$6,0)))</f>
        <v>33</v>
      </c>
      <c r="AA39" s="85">
        <f>IF(MOD(COLUMN(),2)=0,INDEX(paramètres!$C$4:$C$6,MATCH($C39,paramètres!$B$4:$B$6,0)),INDEX(paramètres!$D$4:$D$6,MATCH($C39,paramètres!$B$4:$B$6,0)))</f>
        <v>41</v>
      </c>
      <c r="AB39" s="86"/>
      <c r="AC39" s="85">
        <f t="shared" si="68"/>
        <v>0.25</v>
      </c>
      <c r="AD39" s="85">
        <f t="shared" si="26"/>
        <v>0</v>
      </c>
      <c r="AE39" s="85">
        <f t="shared" si="69"/>
        <v>0</v>
      </c>
      <c r="AF39" s="85">
        <f t="shared" si="27"/>
        <v>0</v>
      </c>
      <c r="AG39" s="85">
        <f t="shared" si="28"/>
        <v>0</v>
      </c>
      <c r="AH39" s="85">
        <f t="shared" si="29"/>
        <v>0</v>
      </c>
      <c r="AI39" s="85">
        <f t="shared" si="30"/>
        <v>0</v>
      </c>
      <c r="AJ39" s="85">
        <f t="shared" si="31"/>
        <v>0</v>
      </c>
      <c r="AK39" s="85">
        <f t="shared" si="32"/>
        <v>0</v>
      </c>
      <c r="AL39" s="85">
        <f t="shared" si="33"/>
        <v>0</v>
      </c>
      <c r="AM39" s="85">
        <f t="shared" si="34"/>
        <v>-33</v>
      </c>
      <c r="AN39" s="85"/>
      <c r="AO39" s="85" t="str">
        <f t="shared" si="35"/>
        <v/>
      </c>
      <c r="AP39" s="85" t="str">
        <f t="shared" si="36"/>
        <v/>
      </c>
      <c r="AQ39" s="85" t="str">
        <f t="shared" si="37"/>
        <v/>
      </c>
      <c r="AR39" s="85" t="str">
        <f t="shared" si="38"/>
        <v/>
      </c>
      <c r="AS39" s="85" t="str">
        <f t="shared" si="39"/>
        <v/>
      </c>
      <c r="AT39" s="85" t="str">
        <f t="shared" si="40"/>
        <v/>
      </c>
      <c r="AU39" s="85" t="str">
        <f t="shared" si="41"/>
        <v/>
      </c>
      <c r="AV39" s="85" t="str">
        <f t="shared" si="42"/>
        <v/>
      </c>
      <c r="AW39" s="85" t="str">
        <f t="shared" si="43"/>
        <v/>
      </c>
      <c r="AX39" s="85" t="str">
        <f t="shared" si="44"/>
        <v/>
      </c>
      <c r="AY39" s="85" t="str">
        <f t="shared" si="45"/>
        <v/>
      </c>
      <c r="AZ39" s="85">
        <f t="shared" si="46"/>
        <v>0</v>
      </c>
      <c r="BA39" s="35"/>
      <c r="BB39" s="85" cm="1">
        <f t="array" ref="BB39">IF($C39&lt;&gt;"Production","",IFERROR(
_xlfn.IFS(AND(AC39&gt;0,AC39&lt;($BC$3-$D39)),AC39,
AND(AC39&gt;0,AC39&gt;($BC$3-$D39)),($BC$3-$D39)),""))</f>
        <v>0.25</v>
      </c>
      <c r="BC39" s="85" t="str" cm="1">
        <f t="array" ref="BC39">IF($C39&lt;&gt;"Production","",IFERROR(
_xlfn.IFS(AND(AD39&gt;0,AD39&lt;($BC$3-$D39)),AD39,
AND(AD39&gt;0,AD39&gt;($BC$3-$D39)),($BC$3-$D39)),""))</f>
        <v/>
      </c>
      <c r="BD39" s="85" t="str" cm="1">
        <f t="array" ref="BD39">IF($C39&lt;&gt;"Production","",IFERROR(
_xlfn.IFS(AND(AE39&gt;0,AE39&lt;($BC$3-$D39)),AE39,
AND(AE39&gt;0,AE39&gt;($BC$3-$D39)),($BC$3-$D39)),""))</f>
        <v/>
      </c>
      <c r="BE39" s="85" t="str" cm="1">
        <f t="array" ref="BE39">IF($C39&lt;&gt;"Production","",IFERROR(
_xlfn.IFS(AND(AF39&gt;0,AF39&lt;($BC$3-$D39)),AF39,
AND(AF39&gt;0,AF39&gt;($BC$3-$D39)),($BC$3-$D39)),""))</f>
        <v/>
      </c>
      <c r="BF39" s="85" t="str" cm="1">
        <f t="array" ref="BF39">IF($C39&lt;&gt;"Production","",IFERROR(
_xlfn.IFS(AND(AG39&gt;0,AG39&lt;($BC$3-$D39)),AG39,
AND(AG39&gt;0,AG39&gt;($BC$3-$D39)),($BC$3-$D39)),""))</f>
        <v/>
      </c>
      <c r="BG39" s="85" t="str" cm="1">
        <f t="array" ref="BG39">IF($C39&lt;&gt;"Production","",IFERROR(
_xlfn.IFS(AND(AH39&gt;0,AH39&lt;($BC$3-$D39)),AH39,
AND(AH39&gt;0,AH39&gt;($BC$3-$D39)),($BC$3-$D39)),""))</f>
        <v/>
      </c>
      <c r="BH39" s="85" t="str" cm="1">
        <f t="array" ref="BH39">IF($C39&lt;&gt;"Production","",IFERROR(
_xlfn.IFS(AND(AI39&gt;0,AI39&lt;($BC$3-$D39)),AI39,
AND(AI39&gt;0,AI39&gt;($BC$3-$D39)),($BC$3-$D39)),""))</f>
        <v/>
      </c>
      <c r="BI39" s="85" t="str" cm="1">
        <f t="array" ref="BI39">IF($C39&lt;&gt;"Production","",IFERROR(
_xlfn.IFS(AND(AJ39&gt;0,AJ39&lt;($BC$3-$D39)),AJ39,
AND(AJ39&gt;0,AJ39&gt;($BC$3-$D39)),($BC$3-$D39)),""))</f>
        <v/>
      </c>
      <c r="BJ39" s="85" t="str" cm="1">
        <f t="array" ref="BJ39">IF($C39&lt;&gt;"Production","",IFERROR(
_xlfn.IFS(AND(AK39&gt;0,AK39&lt;($BC$3-$D39)),AK39,
AND(AK39&gt;0,AK39&gt;($BC$3-$D39)),($BC$3-$D39)),""))</f>
        <v/>
      </c>
      <c r="BK39" s="85" t="str" cm="1">
        <f t="array" ref="BK39">IF($C39&lt;&gt;"Production","",IFERROR(
_xlfn.IFS(AND(AL39&gt;0,AL39&lt;($BC$3-$D39)),AL39,
AND(AL39&gt;0,AL39&gt;($BC$3-$D39)),($BC$3-$D39)),""))</f>
        <v/>
      </c>
      <c r="BL39" s="85" t="str" cm="1">
        <f t="array" ref="BL39">IF($C39&lt;&gt;"Production","",IFERROR(
_xlfn.IFS(AND(AM39&gt;0,AM39&lt;($BC$3-$D39)),AM39,
AND(AM39&gt;0,AM39&gt;($BC$3-$D39)),($BC$3-$D39)),""))</f>
        <v/>
      </c>
      <c r="BM39" s="85">
        <f t="shared" si="47"/>
        <v>0.25</v>
      </c>
      <c r="BN39" s="81"/>
      <c r="BO39" s="85" t="str" cm="1">
        <f t="array" ref="BO39">IF($C39="Production","",IFERROR(
_xlfn.IFS(AND(AO39&gt;0,AO39&lt;($BC$3-$D39)),AO39,
AND(AO39&gt;0,AO39&gt;($BC$3-$D39)),($BC$3-$D39)),""))</f>
        <v/>
      </c>
      <c r="BP39" s="85" t="str" cm="1">
        <f t="array" ref="BP39">IF($C39="Production","",IFERROR(
_xlfn.IFS(AND(AP39&gt;0,AP39&lt;($BC$3-$D39)),AP39,
AND(AP39&gt;0,AP39&gt;($BC$3-$D39)),($BC$3-$D39)),""))</f>
        <v/>
      </c>
      <c r="BQ39" s="85" t="str" cm="1">
        <f t="array" ref="BQ39">IF($C39="Production","",IFERROR(
_xlfn.IFS(AND(AQ39&gt;0,AQ39&lt;($BC$3-$D39)),AQ39,
AND(AQ39&gt;0,AQ39&gt;($BC$3-$D39)),($BC$3-$D39)),""))</f>
        <v/>
      </c>
      <c r="BR39" s="85" t="str" cm="1">
        <f t="array" ref="BR39">IF($C39="Production","",IFERROR(
_xlfn.IFS(AND(AR39&gt;0,AR39&lt;($BC$3-$D39)),AR39,
AND(AR39&gt;0,AR39&gt;($BC$3-$D39)),($BC$3-$D39)),""))</f>
        <v/>
      </c>
      <c r="BS39" s="85" t="str" cm="1">
        <f t="array" ref="BS39">IF($C39="Production","",IFERROR(
_xlfn.IFS(AND(AS39&gt;0,AS39&lt;($BC$3-$D39)),AS39,
AND(AS39&gt;0,AS39&gt;($BC$3-$D39)),($BC$3-$D39)),""))</f>
        <v/>
      </c>
      <c r="BT39" s="85" t="str" cm="1">
        <f t="array" ref="BT39">IF($C39="Production","",IFERROR(
_xlfn.IFS(AND(AT39&gt;0,AT39&lt;($BC$3-$D39)),AT39,
AND(AT39&gt;0,AT39&gt;($BC$3-$D39)),($BC$3-$D39)),""))</f>
        <v/>
      </c>
      <c r="BU39" s="85" t="str" cm="1">
        <f t="array" ref="BU39">IF($C39="Production","",IFERROR(
_xlfn.IFS(AND(AU39&gt;0,AU39&lt;($BC$3-$D39)),AU39,
AND(AU39&gt;0,AU39&gt;($BC$3-$D39)),($BC$3-$D39)),""))</f>
        <v/>
      </c>
      <c r="BV39" s="85" t="str" cm="1">
        <f t="array" ref="BV39">IF($C39="Production","",IFERROR(
_xlfn.IFS(AND(AV39&gt;0,AV39&lt;($BC$3-$D39)),AV39,
AND(AV39&gt;0,AV39&gt;($BC$3-$D39)),($BC$3-$D39)),""))</f>
        <v/>
      </c>
      <c r="BW39" s="85" t="str" cm="1">
        <f t="array" ref="BW39">IF($C39="Production","",IFERROR(
_xlfn.IFS(AND(AW39&gt;0,AW39&lt;($BC$3-$D39)),AW39,
AND(AW39&gt;0,AW39&gt;($BC$3-$D39)),($BC$3-$D39)),""))</f>
        <v/>
      </c>
      <c r="BX39" s="85" t="str" cm="1">
        <f t="array" ref="BX39">IF($C39="Production","",IFERROR(
_xlfn.IFS(AND(AX39&gt;0,AX39&lt;($BC$3-$D39)),AX39,
AND(AX39&gt;0,AX39&gt;($BC$3-$D39)),($BC$3-$D39)),""))</f>
        <v/>
      </c>
      <c r="BY39" s="85" t="str" cm="1">
        <f t="array" ref="BY39">IF($C39="Production","",IFERROR(
_xlfn.IFS(AND(AY39&gt;0,AY39&lt;($BC$3-$D39)),AY39,
AND(AY39&gt;0,AY39&gt;($BC$3-$D39)),($BC$3-$D39)),""))</f>
        <v/>
      </c>
      <c r="BZ39" s="85">
        <f t="shared" si="48"/>
        <v>0</v>
      </c>
      <c r="CA39" s="81"/>
      <c r="CB39" s="85" t="str">
        <f t="shared" si="49"/>
        <v/>
      </c>
      <c r="CC39" s="85" t="str">
        <f t="shared" si="16"/>
        <v/>
      </c>
      <c r="CD39" s="85" t="str">
        <f t="shared" si="17"/>
        <v/>
      </c>
      <c r="CE39" s="85" t="str">
        <f t="shared" si="18"/>
        <v/>
      </c>
      <c r="CF39" s="85" t="str">
        <f t="shared" si="19"/>
        <v/>
      </c>
      <c r="CG39" s="85" t="str">
        <f t="shared" si="20"/>
        <v/>
      </c>
      <c r="CH39" s="85" t="str">
        <f t="shared" si="21"/>
        <v/>
      </c>
      <c r="CI39" s="85" t="str">
        <f t="shared" si="22"/>
        <v/>
      </c>
      <c r="CJ39" s="85" t="str">
        <f t="shared" si="23"/>
        <v/>
      </c>
      <c r="CK39" s="85" t="str">
        <f t="shared" si="24"/>
        <v/>
      </c>
      <c r="CL39" s="85" t="str">
        <f t="shared" si="25"/>
        <v/>
      </c>
      <c r="CM39" s="85">
        <f t="shared" si="50"/>
        <v>0</v>
      </c>
      <c r="CO39" s="80" t="str">
        <f t="shared" si="51"/>
        <v/>
      </c>
      <c r="CP39" s="80" t="str">
        <f t="shared" si="52"/>
        <v/>
      </c>
      <c r="CQ39" s="80" t="str">
        <f t="shared" si="53"/>
        <v/>
      </c>
      <c r="CR39" s="80" t="str">
        <f t="shared" si="54"/>
        <v/>
      </c>
      <c r="CS39" s="80" t="str">
        <f t="shared" si="55"/>
        <v/>
      </c>
      <c r="CT39" s="80" t="str">
        <f t="shared" si="56"/>
        <v/>
      </c>
      <c r="CU39" s="80" t="str">
        <f t="shared" si="57"/>
        <v/>
      </c>
      <c r="CV39" s="80" t="str">
        <f t="shared" si="58"/>
        <v/>
      </c>
      <c r="CW39" s="80" t="str">
        <f t="shared" si="59"/>
        <v/>
      </c>
      <c r="CX39" s="80" t="str">
        <f t="shared" si="60"/>
        <v/>
      </c>
      <c r="CY39" s="80" t="str">
        <f t="shared" si="61"/>
        <v/>
      </c>
      <c r="CZ39" s="80">
        <f t="shared" si="62"/>
        <v>0</v>
      </c>
      <c r="DB39" s="80">
        <f t="shared" si="63"/>
        <v>0.25</v>
      </c>
      <c r="DC39" s="80">
        <f t="shared" si="64"/>
        <v>0</v>
      </c>
      <c r="DD39" s="80">
        <f t="shared" si="65"/>
        <v>0.3125</v>
      </c>
      <c r="DE39" s="80">
        <f t="shared" si="66"/>
        <v>-33</v>
      </c>
      <c r="DF39" s="80">
        <f t="shared" si="67"/>
        <v>-32.6875</v>
      </c>
    </row>
    <row r="40" spans="2:110" x14ac:dyDescent="0.15">
      <c r="B40" s="83" t="str">
        <f>'MODU 2025'!B43</f>
        <v>TAMAIN Aline</v>
      </c>
      <c r="C40" s="83" t="str">
        <f>'MODU 2025'!C43</f>
        <v>Production</v>
      </c>
      <c r="D40" s="83">
        <f>'MODU 2025'!D43</f>
        <v>37</v>
      </c>
      <c r="E40" s="83">
        <f>'MODU 2025'!G43</f>
        <v>41</v>
      </c>
      <c r="F40" s="83">
        <f>'MODU 2025'!H43</f>
        <v>33</v>
      </c>
      <c r="G40" s="83">
        <f>'MODU 2025'!I43</f>
        <v>41</v>
      </c>
      <c r="H40" s="83">
        <f>'MODU 2025'!J43</f>
        <v>33</v>
      </c>
      <c r="I40" s="83">
        <f>'MODU 2025'!K43</f>
        <v>41</v>
      </c>
      <c r="J40" s="83">
        <f>'MODU 2025'!L43</f>
        <v>33</v>
      </c>
      <c r="K40" s="83">
        <f>'MODU 2025'!M43</f>
        <v>41</v>
      </c>
      <c r="L40" s="83">
        <f>'MODU 2025'!N43</f>
        <v>33</v>
      </c>
      <c r="M40" s="83">
        <f>'MODU 2025'!O43</f>
        <v>41</v>
      </c>
      <c r="N40" s="83">
        <f>'MODU 2025'!P43</f>
        <v>33</v>
      </c>
      <c r="O40" s="83">
        <f>'MODU 2025'!Q43</f>
        <v>41</v>
      </c>
      <c r="P40" s="85"/>
      <c r="Q40" s="85">
        <f>IF(MOD(COLUMN(),2)=0,INDEX(paramètres!$C$4:$C$6,MATCH($C40,paramètres!$B$4:$B$6,0)),INDEX(paramètres!$D$4:$D$6,MATCH($C40,paramètres!$B$4:$B$6,0)))</f>
        <v>41</v>
      </c>
      <c r="R40" s="85">
        <f>IF(MOD(COLUMN(),2)=0,INDEX(paramètres!$C$4:$C$6,MATCH($C40,paramètres!$B$4:$B$6,0)),INDEX(paramètres!$D$4:$D$6,MATCH($C40,paramètres!$B$4:$B$6,0)))</f>
        <v>33</v>
      </c>
      <c r="S40" s="85">
        <f>IF(MOD(COLUMN(),2)=0,INDEX(paramètres!$C$4:$C$6,MATCH($C40,paramètres!$B$4:$B$6,0)),INDEX(paramètres!$D$4:$D$6,MATCH($C40,paramètres!$B$4:$B$6,0)))</f>
        <v>41</v>
      </c>
      <c r="T40" s="85">
        <f>IF(MOD(COLUMN(),2)=0,INDEX(paramètres!$C$4:$C$6,MATCH($C40,paramètres!$B$4:$B$6,0)),INDEX(paramètres!$D$4:$D$6,MATCH($C40,paramètres!$B$4:$B$6,0)))</f>
        <v>33</v>
      </c>
      <c r="U40" s="85">
        <f>IF(MOD(COLUMN(),2)=0,INDEX(paramètres!$C$4:$C$6,MATCH($C40,paramètres!$B$4:$B$6,0)),INDEX(paramètres!$D$4:$D$6,MATCH($C40,paramètres!$B$4:$B$6,0)))</f>
        <v>41</v>
      </c>
      <c r="V40" s="85">
        <f>IF(MOD(COLUMN(),2)=0,INDEX(paramètres!$C$4:$C$6,MATCH($C40,paramètres!$B$4:$B$6,0)),INDEX(paramètres!$D$4:$D$6,MATCH($C40,paramètres!$B$4:$B$6,0)))</f>
        <v>33</v>
      </c>
      <c r="W40" s="85">
        <f>IF(MOD(COLUMN(),2)=0,INDEX(paramètres!$C$4:$C$6,MATCH($C40,paramètres!$B$4:$B$6,0)),INDEX(paramètres!$D$4:$D$6,MATCH($C40,paramètres!$B$4:$B$6,0)))</f>
        <v>41</v>
      </c>
      <c r="X40" s="85">
        <f>IF(MOD(COLUMN(),2)=0,INDEX(paramètres!$C$4:$C$6,MATCH($C40,paramètres!$B$4:$B$6,0)),INDEX(paramètres!$D$4:$D$6,MATCH($C40,paramètres!$B$4:$B$6,0)))</f>
        <v>33</v>
      </c>
      <c r="Y40" s="85">
        <f>IF(MOD(COLUMN(),2)=0,INDEX(paramètres!$C$4:$C$6,MATCH($C40,paramètres!$B$4:$B$6,0)),INDEX(paramètres!$D$4:$D$6,MATCH($C40,paramètres!$B$4:$B$6,0)))</f>
        <v>41</v>
      </c>
      <c r="Z40" s="85">
        <f>IF(MOD(COLUMN(),2)=0,INDEX(paramètres!$C$4:$C$6,MATCH($C40,paramètres!$B$4:$B$6,0)),INDEX(paramètres!$D$4:$D$6,MATCH($C40,paramètres!$B$4:$B$6,0)))</f>
        <v>33</v>
      </c>
      <c r="AA40" s="85">
        <f>IF(MOD(COLUMN(),2)=0,INDEX(paramètres!$C$4:$C$6,MATCH($C40,paramètres!$B$4:$B$6,0)),INDEX(paramètres!$D$4:$D$6,MATCH($C40,paramètres!$B$4:$B$6,0)))</f>
        <v>41</v>
      </c>
      <c r="AB40" s="86"/>
      <c r="AC40" s="85">
        <f t="shared" si="68"/>
        <v>0</v>
      </c>
      <c r="AD40" s="85">
        <f t="shared" si="26"/>
        <v>0</v>
      </c>
      <c r="AE40" s="85">
        <f t="shared" si="69"/>
        <v>0</v>
      </c>
      <c r="AF40" s="85">
        <f t="shared" si="27"/>
        <v>0</v>
      </c>
      <c r="AG40" s="85">
        <f t="shared" si="28"/>
        <v>0</v>
      </c>
      <c r="AH40" s="85">
        <f t="shared" si="29"/>
        <v>0</v>
      </c>
      <c r="AI40" s="85">
        <f t="shared" si="30"/>
        <v>0</v>
      </c>
      <c r="AJ40" s="85">
        <f t="shared" si="31"/>
        <v>0</v>
      </c>
      <c r="AK40" s="85">
        <f t="shared" si="32"/>
        <v>0</v>
      </c>
      <c r="AL40" s="85">
        <f t="shared" si="33"/>
        <v>0</v>
      </c>
      <c r="AM40" s="85">
        <f t="shared" si="34"/>
        <v>-33</v>
      </c>
      <c r="AN40" s="85"/>
      <c r="AO40" s="85" t="str">
        <f t="shared" si="35"/>
        <v/>
      </c>
      <c r="AP40" s="85" t="str">
        <f t="shared" si="36"/>
        <v/>
      </c>
      <c r="AQ40" s="85" t="str">
        <f t="shared" si="37"/>
        <v/>
      </c>
      <c r="AR40" s="85" t="str">
        <f t="shared" si="38"/>
        <v/>
      </c>
      <c r="AS40" s="85" t="str">
        <f t="shared" si="39"/>
        <v/>
      </c>
      <c r="AT40" s="85" t="str">
        <f t="shared" si="40"/>
        <v/>
      </c>
      <c r="AU40" s="85" t="str">
        <f t="shared" si="41"/>
        <v/>
      </c>
      <c r="AV40" s="85" t="str">
        <f t="shared" si="42"/>
        <v/>
      </c>
      <c r="AW40" s="85" t="str">
        <f t="shared" si="43"/>
        <v/>
      </c>
      <c r="AX40" s="85" t="str">
        <f t="shared" si="44"/>
        <v/>
      </c>
      <c r="AY40" s="85" t="str">
        <f t="shared" si="45"/>
        <v/>
      </c>
      <c r="AZ40" s="85">
        <f t="shared" si="46"/>
        <v>0</v>
      </c>
      <c r="BA40" s="35"/>
      <c r="BB40" s="85" t="str" cm="1">
        <f t="array" ref="BB40">IF($C40&lt;&gt;"Production","",IFERROR(
_xlfn.IFS(AND(AC40&gt;0,AC40&lt;($BC$3-$D40)),AC40,
AND(AC40&gt;0,AC40&gt;($BC$3-$D40)),($BC$3-$D40)),""))</f>
        <v/>
      </c>
      <c r="BC40" s="85" t="str" cm="1">
        <f t="array" ref="BC40">IF($C40&lt;&gt;"Production","",IFERROR(
_xlfn.IFS(AND(AD40&gt;0,AD40&lt;($BC$3-$D40)),AD40,
AND(AD40&gt;0,AD40&gt;($BC$3-$D40)),($BC$3-$D40)),""))</f>
        <v/>
      </c>
      <c r="BD40" s="85" t="str" cm="1">
        <f t="array" ref="BD40">IF($C40&lt;&gt;"Production","",IFERROR(
_xlfn.IFS(AND(AE40&gt;0,AE40&lt;($BC$3-$D40)),AE40,
AND(AE40&gt;0,AE40&gt;($BC$3-$D40)),($BC$3-$D40)),""))</f>
        <v/>
      </c>
      <c r="BE40" s="85" t="str" cm="1">
        <f t="array" ref="BE40">IF($C40&lt;&gt;"Production","",IFERROR(
_xlfn.IFS(AND(AF40&gt;0,AF40&lt;($BC$3-$D40)),AF40,
AND(AF40&gt;0,AF40&gt;($BC$3-$D40)),($BC$3-$D40)),""))</f>
        <v/>
      </c>
      <c r="BF40" s="85" t="str" cm="1">
        <f t="array" ref="BF40">IF($C40&lt;&gt;"Production","",IFERROR(
_xlfn.IFS(AND(AG40&gt;0,AG40&lt;($BC$3-$D40)),AG40,
AND(AG40&gt;0,AG40&gt;($BC$3-$D40)),($BC$3-$D40)),""))</f>
        <v/>
      </c>
      <c r="BG40" s="85" t="str" cm="1">
        <f t="array" ref="BG40">IF($C40&lt;&gt;"Production","",IFERROR(
_xlfn.IFS(AND(AH40&gt;0,AH40&lt;($BC$3-$D40)),AH40,
AND(AH40&gt;0,AH40&gt;($BC$3-$D40)),($BC$3-$D40)),""))</f>
        <v/>
      </c>
      <c r="BH40" s="85" t="str" cm="1">
        <f t="array" ref="BH40">IF($C40&lt;&gt;"Production","",IFERROR(
_xlfn.IFS(AND(AI40&gt;0,AI40&lt;($BC$3-$D40)),AI40,
AND(AI40&gt;0,AI40&gt;($BC$3-$D40)),($BC$3-$D40)),""))</f>
        <v/>
      </c>
      <c r="BI40" s="85" t="str" cm="1">
        <f t="array" ref="BI40">IF($C40&lt;&gt;"Production","",IFERROR(
_xlfn.IFS(AND(AJ40&gt;0,AJ40&lt;($BC$3-$D40)),AJ40,
AND(AJ40&gt;0,AJ40&gt;($BC$3-$D40)),($BC$3-$D40)),""))</f>
        <v/>
      </c>
      <c r="BJ40" s="85" t="str" cm="1">
        <f t="array" ref="BJ40">IF($C40&lt;&gt;"Production","",IFERROR(
_xlfn.IFS(AND(AK40&gt;0,AK40&lt;($BC$3-$D40)),AK40,
AND(AK40&gt;0,AK40&gt;($BC$3-$D40)),($BC$3-$D40)),""))</f>
        <v/>
      </c>
      <c r="BK40" s="85" t="str" cm="1">
        <f t="array" ref="BK40">IF($C40&lt;&gt;"Production","",IFERROR(
_xlfn.IFS(AND(AL40&gt;0,AL40&lt;($BC$3-$D40)),AL40,
AND(AL40&gt;0,AL40&gt;($BC$3-$D40)),($BC$3-$D40)),""))</f>
        <v/>
      </c>
      <c r="BL40" s="85" t="str" cm="1">
        <f t="array" ref="BL40">IF($C40&lt;&gt;"Production","",IFERROR(
_xlfn.IFS(AND(AM40&gt;0,AM40&lt;($BC$3-$D40)),AM40,
AND(AM40&gt;0,AM40&gt;($BC$3-$D40)),($BC$3-$D40)),""))</f>
        <v/>
      </c>
      <c r="BM40" s="85">
        <f t="shared" si="47"/>
        <v>0</v>
      </c>
      <c r="BN40" s="81"/>
      <c r="BO40" s="85" t="str" cm="1">
        <f t="array" ref="BO40">IF($C40="Production","",IFERROR(
_xlfn.IFS(AND(AO40&gt;0,AO40&lt;($BC$3-$D40)),AO40,
AND(AO40&gt;0,AO40&gt;($BC$3-$D40)),($BC$3-$D40)),""))</f>
        <v/>
      </c>
      <c r="BP40" s="85" t="str" cm="1">
        <f t="array" ref="BP40">IF($C40="Production","",IFERROR(
_xlfn.IFS(AND(AP40&gt;0,AP40&lt;($BC$3-$D40)),AP40,
AND(AP40&gt;0,AP40&gt;($BC$3-$D40)),($BC$3-$D40)),""))</f>
        <v/>
      </c>
      <c r="BQ40" s="85" t="str" cm="1">
        <f t="array" ref="BQ40">IF($C40="Production","",IFERROR(
_xlfn.IFS(AND(AQ40&gt;0,AQ40&lt;($BC$3-$D40)),AQ40,
AND(AQ40&gt;0,AQ40&gt;($BC$3-$D40)),($BC$3-$D40)),""))</f>
        <v/>
      </c>
      <c r="BR40" s="85" t="str" cm="1">
        <f t="array" ref="BR40">IF($C40="Production","",IFERROR(
_xlfn.IFS(AND(AR40&gt;0,AR40&lt;($BC$3-$D40)),AR40,
AND(AR40&gt;0,AR40&gt;($BC$3-$D40)),($BC$3-$D40)),""))</f>
        <v/>
      </c>
      <c r="BS40" s="85" t="str" cm="1">
        <f t="array" ref="BS40">IF($C40="Production","",IFERROR(
_xlfn.IFS(AND(AS40&gt;0,AS40&lt;($BC$3-$D40)),AS40,
AND(AS40&gt;0,AS40&gt;($BC$3-$D40)),($BC$3-$D40)),""))</f>
        <v/>
      </c>
      <c r="BT40" s="85" t="str" cm="1">
        <f t="array" ref="BT40">IF($C40="Production","",IFERROR(
_xlfn.IFS(AND(AT40&gt;0,AT40&lt;($BC$3-$D40)),AT40,
AND(AT40&gt;0,AT40&gt;($BC$3-$D40)),($BC$3-$D40)),""))</f>
        <v/>
      </c>
      <c r="BU40" s="85" t="str" cm="1">
        <f t="array" ref="BU40">IF($C40="Production","",IFERROR(
_xlfn.IFS(AND(AU40&gt;0,AU40&lt;($BC$3-$D40)),AU40,
AND(AU40&gt;0,AU40&gt;($BC$3-$D40)),($BC$3-$D40)),""))</f>
        <v/>
      </c>
      <c r="BV40" s="85" t="str" cm="1">
        <f t="array" ref="BV40">IF($C40="Production","",IFERROR(
_xlfn.IFS(AND(AV40&gt;0,AV40&lt;($BC$3-$D40)),AV40,
AND(AV40&gt;0,AV40&gt;($BC$3-$D40)),($BC$3-$D40)),""))</f>
        <v/>
      </c>
      <c r="BW40" s="85" t="str" cm="1">
        <f t="array" ref="BW40">IF($C40="Production","",IFERROR(
_xlfn.IFS(AND(AW40&gt;0,AW40&lt;($BC$3-$D40)),AW40,
AND(AW40&gt;0,AW40&gt;($BC$3-$D40)),($BC$3-$D40)),""))</f>
        <v/>
      </c>
      <c r="BX40" s="85" t="str" cm="1">
        <f t="array" ref="BX40">IF($C40="Production","",IFERROR(
_xlfn.IFS(AND(AX40&gt;0,AX40&lt;($BC$3-$D40)),AX40,
AND(AX40&gt;0,AX40&gt;($BC$3-$D40)),($BC$3-$D40)),""))</f>
        <v/>
      </c>
      <c r="BY40" s="85" t="str" cm="1">
        <f t="array" ref="BY40">IF($C40="Production","",IFERROR(
_xlfn.IFS(AND(AY40&gt;0,AY40&lt;($BC$3-$D40)),AY40,
AND(AY40&gt;0,AY40&gt;($BC$3-$D40)),($BC$3-$D40)),""))</f>
        <v/>
      </c>
      <c r="BZ40" s="85">
        <f t="shared" si="48"/>
        <v>0</v>
      </c>
      <c r="CA40" s="81"/>
      <c r="CB40" s="85" t="str">
        <f t="shared" si="49"/>
        <v/>
      </c>
      <c r="CC40" s="85" t="str">
        <f t="shared" si="16"/>
        <v/>
      </c>
      <c r="CD40" s="85" t="str">
        <f t="shared" si="17"/>
        <v/>
      </c>
      <c r="CE40" s="85" t="str">
        <f t="shared" si="18"/>
        <v/>
      </c>
      <c r="CF40" s="85" t="str">
        <f t="shared" si="19"/>
        <v/>
      </c>
      <c r="CG40" s="85" t="str">
        <f t="shared" si="20"/>
        <v/>
      </c>
      <c r="CH40" s="85" t="str">
        <f t="shared" si="21"/>
        <v/>
      </c>
      <c r="CI40" s="85" t="str">
        <f t="shared" si="22"/>
        <v/>
      </c>
      <c r="CJ40" s="85" t="str">
        <f t="shared" si="23"/>
        <v/>
      </c>
      <c r="CK40" s="85" t="str">
        <f t="shared" si="24"/>
        <v/>
      </c>
      <c r="CL40" s="85" t="str">
        <f t="shared" si="25"/>
        <v/>
      </c>
      <c r="CM40" s="85">
        <f t="shared" si="50"/>
        <v>0</v>
      </c>
      <c r="CO40" s="80" t="str">
        <f t="shared" si="51"/>
        <v/>
      </c>
      <c r="CP40" s="80" t="str">
        <f t="shared" si="52"/>
        <v/>
      </c>
      <c r="CQ40" s="80" t="str">
        <f t="shared" si="53"/>
        <v/>
      </c>
      <c r="CR40" s="80" t="str">
        <f t="shared" si="54"/>
        <v/>
      </c>
      <c r="CS40" s="80" t="str">
        <f t="shared" si="55"/>
        <v/>
      </c>
      <c r="CT40" s="80" t="str">
        <f t="shared" si="56"/>
        <v/>
      </c>
      <c r="CU40" s="80" t="str">
        <f t="shared" si="57"/>
        <v/>
      </c>
      <c r="CV40" s="80" t="str">
        <f t="shared" si="58"/>
        <v/>
      </c>
      <c r="CW40" s="80" t="str">
        <f t="shared" si="59"/>
        <v/>
      </c>
      <c r="CX40" s="80" t="str">
        <f t="shared" si="60"/>
        <v/>
      </c>
      <c r="CY40" s="80" t="str">
        <f t="shared" si="61"/>
        <v/>
      </c>
      <c r="CZ40" s="80">
        <f t="shared" si="62"/>
        <v>0</v>
      </c>
      <c r="DB40" s="80">
        <f t="shared" si="63"/>
        <v>0</v>
      </c>
      <c r="DC40" s="80">
        <f t="shared" si="64"/>
        <v>0</v>
      </c>
      <c r="DD40" s="80">
        <f t="shared" si="65"/>
        <v>0</v>
      </c>
      <c r="DE40" s="80">
        <f t="shared" si="66"/>
        <v>-33</v>
      </c>
      <c r="DF40" s="80">
        <f t="shared" si="67"/>
        <v>-33</v>
      </c>
    </row>
    <row r="41" spans="2:110" x14ac:dyDescent="0.15">
      <c r="B41" s="83" t="str">
        <f>'MODU 2025'!B44</f>
        <v>TORRES Corinne</v>
      </c>
      <c r="C41" s="83" t="str">
        <f>'MODU 2025'!C44</f>
        <v>Production</v>
      </c>
      <c r="D41" s="83">
        <f>'MODU 2025'!D44</f>
        <v>37</v>
      </c>
      <c r="E41" s="83">
        <f>'MODU 2025'!G44</f>
        <v>41</v>
      </c>
      <c r="F41" s="83">
        <f>'MODU 2025'!H44</f>
        <v>33</v>
      </c>
      <c r="G41" s="83">
        <f>'MODU 2025'!I44</f>
        <v>41</v>
      </c>
      <c r="H41" s="83">
        <f>'MODU 2025'!J44</f>
        <v>33</v>
      </c>
      <c r="I41" s="83">
        <f>'MODU 2025'!K44</f>
        <v>41</v>
      </c>
      <c r="J41" s="83">
        <f>'MODU 2025'!L44</f>
        <v>33</v>
      </c>
      <c r="K41" s="83">
        <f>'MODU 2025'!M44</f>
        <v>41</v>
      </c>
      <c r="L41" s="83">
        <f>'MODU 2025'!N44</f>
        <v>33</v>
      </c>
      <c r="M41" s="83">
        <f>'MODU 2025'!O44</f>
        <v>41</v>
      </c>
      <c r="N41" s="83">
        <f>'MODU 2025'!P44</f>
        <v>33</v>
      </c>
      <c r="O41" s="83">
        <f>'MODU 2025'!Q44</f>
        <v>41</v>
      </c>
      <c r="P41" s="85"/>
      <c r="Q41" s="85">
        <f>IF(MOD(COLUMN(),2)=0,INDEX(paramètres!$C$4:$C$6,MATCH($C41,paramètres!$B$4:$B$6,0)),INDEX(paramètres!$D$4:$D$6,MATCH($C41,paramètres!$B$4:$B$6,0)))</f>
        <v>41</v>
      </c>
      <c r="R41" s="85">
        <f>IF(MOD(COLUMN(),2)=0,INDEX(paramètres!$C$4:$C$6,MATCH($C41,paramètres!$B$4:$B$6,0)),INDEX(paramètres!$D$4:$D$6,MATCH($C41,paramètres!$B$4:$B$6,0)))</f>
        <v>33</v>
      </c>
      <c r="S41" s="85">
        <f>IF(MOD(COLUMN(),2)=0,INDEX(paramètres!$C$4:$C$6,MATCH($C41,paramètres!$B$4:$B$6,0)),INDEX(paramètres!$D$4:$D$6,MATCH($C41,paramètres!$B$4:$B$6,0)))</f>
        <v>41</v>
      </c>
      <c r="T41" s="85">
        <f>IF(MOD(COLUMN(),2)=0,INDEX(paramètres!$C$4:$C$6,MATCH($C41,paramètres!$B$4:$B$6,0)),INDEX(paramètres!$D$4:$D$6,MATCH($C41,paramètres!$B$4:$B$6,0)))</f>
        <v>33</v>
      </c>
      <c r="U41" s="85">
        <f>IF(MOD(COLUMN(),2)=0,INDEX(paramètres!$C$4:$C$6,MATCH($C41,paramètres!$B$4:$B$6,0)),INDEX(paramètres!$D$4:$D$6,MATCH($C41,paramètres!$B$4:$B$6,0)))</f>
        <v>41</v>
      </c>
      <c r="V41" s="85">
        <f>IF(MOD(COLUMN(),2)=0,INDEX(paramètres!$C$4:$C$6,MATCH($C41,paramètres!$B$4:$B$6,0)),INDEX(paramètres!$D$4:$D$6,MATCH($C41,paramètres!$B$4:$B$6,0)))</f>
        <v>33</v>
      </c>
      <c r="W41" s="85">
        <f>IF(MOD(COLUMN(),2)=0,INDEX(paramètres!$C$4:$C$6,MATCH($C41,paramètres!$B$4:$B$6,0)),INDEX(paramètres!$D$4:$D$6,MATCH($C41,paramètres!$B$4:$B$6,0)))</f>
        <v>41</v>
      </c>
      <c r="X41" s="85">
        <f>IF(MOD(COLUMN(),2)=0,INDEX(paramètres!$C$4:$C$6,MATCH($C41,paramètres!$B$4:$B$6,0)),INDEX(paramètres!$D$4:$D$6,MATCH($C41,paramètres!$B$4:$B$6,0)))</f>
        <v>33</v>
      </c>
      <c r="Y41" s="85">
        <f>IF(MOD(COLUMN(),2)=0,INDEX(paramètres!$C$4:$C$6,MATCH($C41,paramètres!$B$4:$B$6,0)),INDEX(paramètres!$D$4:$D$6,MATCH($C41,paramètres!$B$4:$B$6,0)))</f>
        <v>41</v>
      </c>
      <c r="Z41" s="85">
        <f>IF(MOD(COLUMN(),2)=0,INDEX(paramètres!$C$4:$C$6,MATCH($C41,paramètres!$B$4:$B$6,0)),INDEX(paramètres!$D$4:$D$6,MATCH($C41,paramètres!$B$4:$B$6,0)))</f>
        <v>33</v>
      </c>
      <c r="AA41" s="85">
        <f>IF(MOD(COLUMN(),2)=0,INDEX(paramètres!$C$4:$C$6,MATCH($C41,paramètres!$B$4:$B$6,0)),INDEX(paramètres!$D$4:$D$6,MATCH($C41,paramètres!$B$4:$B$6,0)))</f>
        <v>41</v>
      </c>
      <c r="AB41" s="86"/>
      <c r="AC41" s="85">
        <f t="shared" si="68"/>
        <v>0</v>
      </c>
      <c r="AD41" s="85">
        <f t="shared" si="26"/>
        <v>0</v>
      </c>
      <c r="AE41" s="85">
        <f t="shared" si="69"/>
        <v>0</v>
      </c>
      <c r="AF41" s="85">
        <f t="shared" si="27"/>
        <v>0</v>
      </c>
      <c r="AG41" s="85">
        <f t="shared" si="28"/>
        <v>0</v>
      </c>
      <c r="AH41" s="85">
        <f t="shared" si="29"/>
        <v>0</v>
      </c>
      <c r="AI41" s="85">
        <f t="shared" si="30"/>
        <v>0</v>
      </c>
      <c r="AJ41" s="85">
        <f t="shared" si="31"/>
        <v>0</v>
      </c>
      <c r="AK41" s="85">
        <f t="shared" si="32"/>
        <v>0</v>
      </c>
      <c r="AL41" s="85">
        <f t="shared" si="33"/>
        <v>0</v>
      </c>
      <c r="AM41" s="85">
        <f t="shared" si="34"/>
        <v>-33</v>
      </c>
      <c r="AN41" s="85"/>
      <c r="AO41" s="85" t="str">
        <f t="shared" si="35"/>
        <v/>
      </c>
      <c r="AP41" s="85" t="str">
        <f t="shared" si="36"/>
        <v/>
      </c>
      <c r="AQ41" s="85" t="str">
        <f t="shared" si="37"/>
        <v/>
      </c>
      <c r="AR41" s="85" t="str">
        <f t="shared" si="38"/>
        <v/>
      </c>
      <c r="AS41" s="85" t="str">
        <f t="shared" si="39"/>
        <v/>
      </c>
      <c r="AT41" s="85" t="str">
        <f t="shared" si="40"/>
        <v/>
      </c>
      <c r="AU41" s="85" t="str">
        <f t="shared" si="41"/>
        <v/>
      </c>
      <c r="AV41" s="85" t="str">
        <f t="shared" si="42"/>
        <v/>
      </c>
      <c r="AW41" s="85" t="str">
        <f t="shared" si="43"/>
        <v/>
      </c>
      <c r="AX41" s="85" t="str">
        <f t="shared" si="44"/>
        <v/>
      </c>
      <c r="AY41" s="85" t="str">
        <f t="shared" si="45"/>
        <v/>
      </c>
      <c r="AZ41" s="85">
        <f t="shared" si="46"/>
        <v>0</v>
      </c>
      <c r="BA41" s="35"/>
      <c r="BB41" s="85" t="str" cm="1">
        <f t="array" ref="BB41">IF($C41&lt;&gt;"Production","",IFERROR(
_xlfn.IFS(AND(AC41&gt;0,AC41&lt;($BC$3-$D41)),AC41,
AND(AC41&gt;0,AC41&gt;($BC$3-$D41)),($BC$3-$D41)),""))</f>
        <v/>
      </c>
      <c r="BC41" s="85" t="str" cm="1">
        <f t="array" ref="BC41">IF($C41&lt;&gt;"Production","",IFERROR(
_xlfn.IFS(AND(AD41&gt;0,AD41&lt;($BC$3-$D41)),AD41,
AND(AD41&gt;0,AD41&gt;($BC$3-$D41)),($BC$3-$D41)),""))</f>
        <v/>
      </c>
      <c r="BD41" s="85" t="str" cm="1">
        <f t="array" ref="BD41">IF($C41&lt;&gt;"Production","",IFERROR(
_xlfn.IFS(AND(AE41&gt;0,AE41&lt;($BC$3-$D41)),AE41,
AND(AE41&gt;0,AE41&gt;($BC$3-$D41)),($BC$3-$D41)),""))</f>
        <v/>
      </c>
      <c r="BE41" s="85" t="str" cm="1">
        <f t="array" ref="BE41">IF($C41&lt;&gt;"Production","",IFERROR(
_xlfn.IFS(AND(AF41&gt;0,AF41&lt;($BC$3-$D41)),AF41,
AND(AF41&gt;0,AF41&gt;($BC$3-$D41)),($BC$3-$D41)),""))</f>
        <v/>
      </c>
      <c r="BF41" s="85" t="str" cm="1">
        <f t="array" ref="BF41">IF($C41&lt;&gt;"Production","",IFERROR(
_xlfn.IFS(AND(AG41&gt;0,AG41&lt;($BC$3-$D41)),AG41,
AND(AG41&gt;0,AG41&gt;($BC$3-$D41)),($BC$3-$D41)),""))</f>
        <v/>
      </c>
      <c r="BG41" s="85" t="str" cm="1">
        <f t="array" ref="BG41">IF($C41&lt;&gt;"Production","",IFERROR(
_xlfn.IFS(AND(AH41&gt;0,AH41&lt;($BC$3-$D41)),AH41,
AND(AH41&gt;0,AH41&gt;($BC$3-$D41)),($BC$3-$D41)),""))</f>
        <v/>
      </c>
      <c r="BH41" s="85" t="str" cm="1">
        <f t="array" ref="BH41">IF($C41&lt;&gt;"Production","",IFERROR(
_xlfn.IFS(AND(AI41&gt;0,AI41&lt;($BC$3-$D41)),AI41,
AND(AI41&gt;0,AI41&gt;($BC$3-$D41)),($BC$3-$D41)),""))</f>
        <v/>
      </c>
      <c r="BI41" s="85" t="str" cm="1">
        <f t="array" ref="BI41">IF($C41&lt;&gt;"Production","",IFERROR(
_xlfn.IFS(AND(AJ41&gt;0,AJ41&lt;($BC$3-$D41)),AJ41,
AND(AJ41&gt;0,AJ41&gt;($BC$3-$D41)),($BC$3-$D41)),""))</f>
        <v/>
      </c>
      <c r="BJ41" s="85" t="str" cm="1">
        <f t="array" ref="BJ41">IF($C41&lt;&gt;"Production","",IFERROR(
_xlfn.IFS(AND(AK41&gt;0,AK41&lt;($BC$3-$D41)),AK41,
AND(AK41&gt;0,AK41&gt;($BC$3-$D41)),($BC$3-$D41)),""))</f>
        <v/>
      </c>
      <c r="BK41" s="85" t="str" cm="1">
        <f t="array" ref="BK41">IF($C41&lt;&gt;"Production","",IFERROR(
_xlfn.IFS(AND(AL41&gt;0,AL41&lt;($BC$3-$D41)),AL41,
AND(AL41&gt;0,AL41&gt;($BC$3-$D41)),($BC$3-$D41)),""))</f>
        <v/>
      </c>
      <c r="BL41" s="85" t="str" cm="1">
        <f t="array" ref="BL41">IF($C41&lt;&gt;"Production","",IFERROR(
_xlfn.IFS(AND(AM41&gt;0,AM41&lt;($BC$3-$D41)),AM41,
AND(AM41&gt;0,AM41&gt;($BC$3-$D41)),($BC$3-$D41)),""))</f>
        <v/>
      </c>
      <c r="BM41" s="85">
        <f t="shared" si="47"/>
        <v>0</v>
      </c>
      <c r="BN41" s="81"/>
      <c r="BO41" s="85" t="str" cm="1">
        <f t="array" ref="BO41">IF($C41="Production","",IFERROR(
_xlfn.IFS(AND(AO41&gt;0,AO41&lt;($BC$3-$D41)),AO41,
AND(AO41&gt;0,AO41&gt;($BC$3-$D41)),($BC$3-$D41)),""))</f>
        <v/>
      </c>
      <c r="BP41" s="85" t="str" cm="1">
        <f t="array" ref="BP41">IF($C41="Production","",IFERROR(
_xlfn.IFS(AND(AP41&gt;0,AP41&lt;($BC$3-$D41)),AP41,
AND(AP41&gt;0,AP41&gt;($BC$3-$D41)),($BC$3-$D41)),""))</f>
        <v/>
      </c>
      <c r="BQ41" s="85" t="str" cm="1">
        <f t="array" ref="BQ41">IF($C41="Production","",IFERROR(
_xlfn.IFS(AND(AQ41&gt;0,AQ41&lt;($BC$3-$D41)),AQ41,
AND(AQ41&gt;0,AQ41&gt;($BC$3-$D41)),($BC$3-$D41)),""))</f>
        <v/>
      </c>
      <c r="BR41" s="85" t="str" cm="1">
        <f t="array" ref="BR41">IF($C41="Production","",IFERROR(
_xlfn.IFS(AND(AR41&gt;0,AR41&lt;($BC$3-$D41)),AR41,
AND(AR41&gt;0,AR41&gt;($BC$3-$D41)),($BC$3-$D41)),""))</f>
        <v/>
      </c>
      <c r="BS41" s="85" t="str" cm="1">
        <f t="array" ref="BS41">IF($C41="Production","",IFERROR(
_xlfn.IFS(AND(AS41&gt;0,AS41&lt;($BC$3-$D41)),AS41,
AND(AS41&gt;0,AS41&gt;($BC$3-$D41)),($BC$3-$D41)),""))</f>
        <v/>
      </c>
      <c r="BT41" s="85" t="str" cm="1">
        <f t="array" ref="BT41">IF($C41="Production","",IFERROR(
_xlfn.IFS(AND(AT41&gt;0,AT41&lt;($BC$3-$D41)),AT41,
AND(AT41&gt;0,AT41&gt;($BC$3-$D41)),($BC$3-$D41)),""))</f>
        <v/>
      </c>
      <c r="BU41" s="85" t="str" cm="1">
        <f t="array" ref="BU41">IF($C41="Production","",IFERROR(
_xlfn.IFS(AND(AU41&gt;0,AU41&lt;($BC$3-$D41)),AU41,
AND(AU41&gt;0,AU41&gt;($BC$3-$D41)),($BC$3-$D41)),""))</f>
        <v/>
      </c>
      <c r="BV41" s="85" t="str" cm="1">
        <f t="array" ref="BV41">IF($C41="Production","",IFERROR(
_xlfn.IFS(AND(AV41&gt;0,AV41&lt;($BC$3-$D41)),AV41,
AND(AV41&gt;0,AV41&gt;($BC$3-$D41)),($BC$3-$D41)),""))</f>
        <v/>
      </c>
      <c r="BW41" s="85" t="str" cm="1">
        <f t="array" ref="BW41">IF($C41="Production","",IFERROR(
_xlfn.IFS(AND(AW41&gt;0,AW41&lt;($BC$3-$D41)),AW41,
AND(AW41&gt;0,AW41&gt;($BC$3-$D41)),($BC$3-$D41)),""))</f>
        <v/>
      </c>
      <c r="BX41" s="85" t="str" cm="1">
        <f t="array" ref="BX41">IF($C41="Production","",IFERROR(
_xlfn.IFS(AND(AX41&gt;0,AX41&lt;($BC$3-$D41)),AX41,
AND(AX41&gt;0,AX41&gt;($BC$3-$D41)),($BC$3-$D41)),""))</f>
        <v/>
      </c>
      <c r="BY41" s="85" t="str" cm="1">
        <f t="array" ref="BY41">IF($C41="Production","",IFERROR(
_xlfn.IFS(AND(AY41&gt;0,AY41&lt;($BC$3-$D41)),AY41,
AND(AY41&gt;0,AY41&gt;($BC$3-$D41)),($BC$3-$D41)),""))</f>
        <v/>
      </c>
      <c r="BZ41" s="85">
        <f t="shared" si="48"/>
        <v>0</v>
      </c>
      <c r="CA41" s="81"/>
      <c r="CB41" s="85" t="str">
        <f t="shared" si="49"/>
        <v/>
      </c>
      <c r="CC41" s="85" t="str">
        <f t="shared" si="16"/>
        <v/>
      </c>
      <c r="CD41" s="85" t="str">
        <f t="shared" si="17"/>
        <v/>
      </c>
      <c r="CE41" s="85" t="str">
        <f t="shared" si="18"/>
        <v/>
      </c>
      <c r="CF41" s="85" t="str">
        <f t="shared" si="19"/>
        <v/>
      </c>
      <c r="CG41" s="85" t="str">
        <f t="shared" si="20"/>
        <v/>
      </c>
      <c r="CH41" s="85" t="str">
        <f t="shared" si="21"/>
        <v/>
      </c>
      <c r="CI41" s="85" t="str">
        <f t="shared" si="22"/>
        <v/>
      </c>
      <c r="CJ41" s="85" t="str">
        <f t="shared" si="23"/>
        <v/>
      </c>
      <c r="CK41" s="85" t="str">
        <f t="shared" si="24"/>
        <v/>
      </c>
      <c r="CL41" s="85" t="str">
        <f t="shared" si="25"/>
        <v/>
      </c>
      <c r="CM41" s="85">
        <f t="shared" si="50"/>
        <v>0</v>
      </c>
      <c r="CO41" s="80" t="str">
        <f t="shared" si="51"/>
        <v/>
      </c>
      <c r="CP41" s="80" t="str">
        <f t="shared" si="52"/>
        <v/>
      </c>
      <c r="CQ41" s="80" t="str">
        <f t="shared" si="53"/>
        <v/>
      </c>
      <c r="CR41" s="80" t="str">
        <f t="shared" si="54"/>
        <v/>
      </c>
      <c r="CS41" s="80" t="str">
        <f t="shared" si="55"/>
        <v/>
      </c>
      <c r="CT41" s="80" t="str">
        <f t="shared" si="56"/>
        <v/>
      </c>
      <c r="CU41" s="80" t="str">
        <f t="shared" si="57"/>
        <v/>
      </c>
      <c r="CV41" s="80" t="str">
        <f t="shared" si="58"/>
        <v/>
      </c>
      <c r="CW41" s="80" t="str">
        <f t="shared" si="59"/>
        <v/>
      </c>
      <c r="CX41" s="80" t="str">
        <f t="shared" si="60"/>
        <v/>
      </c>
      <c r="CY41" s="80" t="str">
        <f t="shared" si="61"/>
        <v/>
      </c>
      <c r="CZ41" s="80">
        <f t="shared" si="62"/>
        <v>0</v>
      </c>
      <c r="DB41" s="80">
        <f t="shared" si="63"/>
        <v>0</v>
      </c>
      <c r="DC41" s="80">
        <f t="shared" si="64"/>
        <v>0</v>
      </c>
      <c r="DD41" s="80">
        <f t="shared" si="65"/>
        <v>0</v>
      </c>
      <c r="DE41" s="80">
        <f t="shared" si="66"/>
        <v>-33</v>
      </c>
      <c r="DF41" s="80">
        <f t="shared" si="67"/>
        <v>-33</v>
      </c>
    </row>
    <row r="42" spans="2:110" x14ac:dyDescent="0.15">
      <c r="B42" s="83" t="str">
        <f>'MODU 2025'!B45</f>
        <v>TROUDi Abdelhamid</v>
      </c>
      <c r="C42" s="83" t="str">
        <f>'MODU 2025'!C45</f>
        <v>Production</v>
      </c>
      <c r="D42" s="83">
        <f>'MODU 2025'!D45</f>
        <v>37</v>
      </c>
      <c r="E42" s="83">
        <f>'MODU 2025'!G45</f>
        <v>0</v>
      </c>
      <c r="F42" s="83">
        <f>'MODU 2025'!H45</f>
        <v>0</v>
      </c>
      <c r="G42" s="83">
        <f>'MODU 2025'!I45</f>
        <v>0</v>
      </c>
      <c r="H42" s="83">
        <f>'MODU 2025'!J45</f>
        <v>0</v>
      </c>
      <c r="I42" s="83">
        <f>'MODU 2025'!K45</f>
        <v>0</v>
      </c>
      <c r="J42" s="83">
        <f>'MODU 2025'!L45</f>
        <v>0</v>
      </c>
      <c r="K42" s="83">
        <f>'MODU 2025'!M45</f>
        <v>0</v>
      </c>
      <c r="L42" s="83">
        <f>'MODU 2025'!N45</f>
        <v>0</v>
      </c>
      <c r="M42" s="83">
        <f>'MODU 2025'!O45</f>
        <v>0</v>
      </c>
      <c r="N42" s="83">
        <f>'MODU 2025'!P45</f>
        <v>0</v>
      </c>
      <c r="O42" s="83">
        <f>'MODU 2025'!Q45</f>
        <v>0</v>
      </c>
      <c r="P42" s="85"/>
      <c r="Q42" s="85">
        <f>IF(MOD(COLUMN(),2)=0,INDEX(paramètres!$C$4:$C$6,MATCH($C42,paramètres!$B$4:$B$6,0)),INDEX(paramètres!$D$4:$D$6,MATCH($C42,paramètres!$B$4:$B$6,0)))</f>
        <v>41</v>
      </c>
      <c r="R42" s="85">
        <f>IF(MOD(COLUMN(),2)=0,INDEX(paramètres!$C$4:$C$6,MATCH($C42,paramètres!$B$4:$B$6,0)),INDEX(paramètres!$D$4:$D$6,MATCH($C42,paramètres!$B$4:$B$6,0)))</f>
        <v>33</v>
      </c>
      <c r="S42" s="85">
        <f>IF(MOD(COLUMN(),2)=0,INDEX(paramètres!$C$4:$C$6,MATCH($C42,paramètres!$B$4:$B$6,0)),INDEX(paramètres!$D$4:$D$6,MATCH($C42,paramètres!$B$4:$B$6,0)))</f>
        <v>41</v>
      </c>
      <c r="T42" s="85">
        <f>IF(MOD(COLUMN(),2)=0,INDEX(paramètres!$C$4:$C$6,MATCH($C42,paramètres!$B$4:$B$6,0)),INDEX(paramètres!$D$4:$D$6,MATCH($C42,paramètres!$B$4:$B$6,0)))</f>
        <v>33</v>
      </c>
      <c r="U42" s="85">
        <f>IF(MOD(COLUMN(),2)=0,INDEX(paramètres!$C$4:$C$6,MATCH($C42,paramètres!$B$4:$B$6,0)),INDEX(paramètres!$D$4:$D$6,MATCH($C42,paramètres!$B$4:$B$6,0)))</f>
        <v>41</v>
      </c>
      <c r="V42" s="85">
        <f>IF(MOD(COLUMN(),2)=0,INDEX(paramètres!$C$4:$C$6,MATCH($C42,paramètres!$B$4:$B$6,0)),INDEX(paramètres!$D$4:$D$6,MATCH($C42,paramètres!$B$4:$B$6,0)))</f>
        <v>33</v>
      </c>
      <c r="W42" s="85">
        <f>IF(MOD(COLUMN(),2)=0,INDEX(paramètres!$C$4:$C$6,MATCH($C42,paramètres!$B$4:$B$6,0)),INDEX(paramètres!$D$4:$D$6,MATCH($C42,paramètres!$B$4:$B$6,0)))</f>
        <v>41</v>
      </c>
      <c r="X42" s="85">
        <f>IF(MOD(COLUMN(),2)=0,INDEX(paramètres!$C$4:$C$6,MATCH($C42,paramètres!$B$4:$B$6,0)),INDEX(paramètres!$D$4:$D$6,MATCH($C42,paramètres!$B$4:$B$6,0)))</f>
        <v>33</v>
      </c>
      <c r="Y42" s="85">
        <f>IF(MOD(COLUMN(),2)=0,INDEX(paramètres!$C$4:$C$6,MATCH($C42,paramètres!$B$4:$B$6,0)),INDEX(paramètres!$D$4:$D$6,MATCH($C42,paramètres!$B$4:$B$6,0)))</f>
        <v>41</v>
      </c>
      <c r="Z42" s="85">
        <f>IF(MOD(COLUMN(),2)=0,INDEX(paramètres!$C$4:$C$6,MATCH($C42,paramètres!$B$4:$B$6,0)),INDEX(paramètres!$D$4:$D$6,MATCH($C42,paramètres!$B$4:$B$6,0)))</f>
        <v>33</v>
      </c>
      <c r="AA42" s="85">
        <f>IF(MOD(COLUMN(),2)=0,INDEX(paramètres!$C$4:$C$6,MATCH($C42,paramètres!$B$4:$B$6,0)),INDEX(paramètres!$D$4:$D$6,MATCH($C42,paramètres!$B$4:$B$6,0)))</f>
        <v>41</v>
      </c>
      <c r="AB42" s="86"/>
      <c r="AC42" s="85">
        <f t="shared" si="68"/>
        <v>-74</v>
      </c>
      <c r="AD42" s="85">
        <f t="shared" si="26"/>
        <v>0</v>
      </c>
      <c r="AE42" s="85">
        <f t="shared" si="69"/>
        <v>-74</v>
      </c>
      <c r="AF42" s="85">
        <f t="shared" si="27"/>
        <v>0</v>
      </c>
      <c r="AG42" s="85">
        <f t="shared" si="28"/>
        <v>-74</v>
      </c>
      <c r="AH42" s="85">
        <f t="shared" si="29"/>
        <v>0</v>
      </c>
      <c r="AI42" s="85">
        <f t="shared" si="30"/>
        <v>-74</v>
      </c>
      <c r="AJ42" s="85">
        <f t="shared" si="31"/>
        <v>0</v>
      </c>
      <c r="AK42" s="85">
        <f t="shared" si="32"/>
        <v>-74</v>
      </c>
      <c r="AL42" s="85">
        <f t="shared" si="33"/>
        <v>0</v>
      </c>
      <c r="AM42" s="85">
        <f t="shared" si="34"/>
        <v>-74</v>
      </c>
      <c r="AN42" s="85"/>
      <c r="AO42" s="85" t="str">
        <f t="shared" si="35"/>
        <v/>
      </c>
      <c r="AP42" s="85" t="str">
        <f t="shared" si="36"/>
        <v/>
      </c>
      <c r="AQ42" s="85" t="str">
        <f t="shared" si="37"/>
        <v/>
      </c>
      <c r="AR42" s="85" t="str">
        <f t="shared" si="38"/>
        <v/>
      </c>
      <c r="AS42" s="85" t="str">
        <f t="shared" si="39"/>
        <v/>
      </c>
      <c r="AT42" s="85" t="str">
        <f t="shared" si="40"/>
        <v/>
      </c>
      <c r="AU42" s="85" t="str">
        <f t="shared" si="41"/>
        <v/>
      </c>
      <c r="AV42" s="85" t="str">
        <f t="shared" si="42"/>
        <v/>
      </c>
      <c r="AW42" s="85" t="str">
        <f t="shared" si="43"/>
        <v/>
      </c>
      <c r="AX42" s="85" t="str">
        <f t="shared" si="44"/>
        <v/>
      </c>
      <c r="AY42" s="85" t="str">
        <f t="shared" si="45"/>
        <v/>
      </c>
      <c r="AZ42" s="85">
        <f t="shared" si="46"/>
        <v>0</v>
      </c>
      <c r="BA42" s="35"/>
      <c r="BB42" s="85" t="str" cm="1">
        <f t="array" ref="BB42">IF($C42&lt;&gt;"Production","",IFERROR(
_xlfn.IFS(AND(AC42&gt;0,AC42&lt;($BC$3-$D42)),AC42,
AND(AC42&gt;0,AC42&gt;($BC$3-$D42)),($BC$3-$D42)),""))</f>
        <v/>
      </c>
      <c r="BC42" s="85" t="str" cm="1">
        <f t="array" ref="BC42">IF($C42&lt;&gt;"Production","",IFERROR(
_xlfn.IFS(AND(AD42&gt;0,AD42&lt;($BC$3-$D42)),AD42,
AND(AD42&gt;0,AD42&gt;($BC$3-$D42)),($BC$3-$D42)),""))</f>
        <v/>
      </c>
      <c r="BD42" s="85" t="str" cm="1">
        <f t="array" ref="BD42">IF($C42&lt;&gt;"Production","",IFERROR(
_xlfn.IFS(AND(AE42&gt;0,AE42&lt;($BC$3-$D42)),AE42,
AND(AE42&gt;0,AE42&gt;($BC$3-$D42)),($BC$3-$D42)),""))</f>
        <v/>
      </c>
      <c r="BE42" s="85" t="str" cm="1">
        <f t="array" ref="BE42">IF($C42&lt;&gt;"Production","",IFERROR(
_xlfn.IFS(AND(AF42&gt;0,AF42&lt;($BC$3-$D42)),AF42,
AND(AF42&gt;0,AF42&gt;($BC$3-$D42)),($BC$3-$D42)),""))</f>
        <v/>
      </c>
      <c r="BF42" s="85" t="str" cm="1">
        <f t="array" ref="BF42">IF($C42&lt;&gt;"Production","",IFERROR(
_xlfn.IFS(AND(AG42&gt;0,AG42&lt;($BC$3-$D42)),AG42,
AND(AG42&gt;0,AG42&gt;($BC$3-$D42)),($BC$3-$D42)),""))</f>
        <v/>
      </c>
      <c r="BG42" s="85" t="str" cm="1">
        <f t="array" ref="BG42">IF($C42&lt;&gt;"Production","",IFERROR(
_xlfn.IFS(AND(AH42&gt;0,AH42&lt;($BC$3-$D42)),AH42,
AND(AH42&gt;0,AH42&gt;($BC$3-$D42)),($BC$3-$D42)),""))</f>
        <v/>
      </c>
      <c r="BH42" s="85" t="str" cm="1">
        <f t="array" ref="BH42">IF($C42&lt;&gt;"Production","",IFERROR(
_xlfn.IFS(AND(AI42&gt;0,AI42&lt;($BC$3-$D42)),AI42,
AND(AI42&gt;0,AI42&gt;($BC$3-$D42)),($BC$3-$D42)),""))</f>
        <v/>
      </c>
      <c r="BI42" s="85" t="str" cm="1">
        <f t="array" ref="BI42">IF($C42&lt;&gt;"Production","",IFERROR(
_xlfn.IFS(AND(AJ42&gt;0,AJ42&lt;($BC$3-$D42)),AJ42,
AND(AJ42&gt;0,AJ42&gt;($BC$3-$D42)),($BC$3-$D42)),""))</f>
        <v/>
      </c>
      <c r="BJ42" s="85" t="str" cm="1">
        <f t="array" ref="BJ42">IF($C42&lt;&gt;"Production","",IFERROR(
_xlfn.IFS(AND(AK42&gt;0,AK42&lt;($BC$3-$D42)),AK42,
AND(AK42&gt;0,AK42&gt;($BC$3-$D42)),($BC$3-$D42)),""))</f>
        <v/>
      </c>
      <c r="BK42" s="85" t="str" cm="1">
        <f t="array" ref="BK42">IF($C42&lt;&gt;"Production","",IFERROR(
_xlfn.IFS(AND(AL42&gt;0,AL42&lt;($BC$3-$D42)),AL42,
AND(AL42&gt;0,AL42&gt;($BC$3-$D42)),($BC$3-$D42)),""))</f>
        <v/>
      </c>
      <c r="BL42" s="85" t="str" cm="1">
        <f t="array" ref="BL42">IF($C42&lt;&gt;"Production","",IFERROR(
_xlfn.IFS(AND(AM42&gt;0,AM42&lt;($BC$3-$D42)),AM42,
AND(AM42&gt;0,AM42&gt;($BC$3-$D42)),($BC$3-$D42)),""))</f>
        <v/>
      </c>
      <c r="BM42" s="85">
        <f t="shared" si="47"/>
        <v>0</v>
      </c>
      <c r="BN42" s="81"/>
      <c r="BO42" s="85" t="str" cm="1">
        <f t="array" ref="BO42">IF($C42="Production","",IFERROR(
_xlfn.IFS(AND(AO42&gt;0,AO42&lt;($BC$3-$D42)),AO42,
AND(AO42&gt;0,AO42&gt;($BC$3-$D42)),($BC$3-$D42)),""))</f>
        <v/>
      </c>
      <c r="BP42" s="85" t="str" cm="1">
        <f t="array" ref="BP42">IF($C42="Production","",IFERROR(
_xlfn.IFS(AND(AP42&gt;0,AP42&lt;($BC$3-$D42)),AP42,
AND(AP42&gt;0,AP42&gt;($BC$3-$D42)),($BC$3-$D42)),""))</f>
        <v/>
      </c>
      <c r="BQ42" s="85" t="str" cm="1">
        <f t="array" ref="BQ42">IF($C42="Production","",IFERROR(
_xlfn.IFS(AND(AQ42&gt;0,AQ42&lt;($BC$3-$D42)),AQ42,
AND(AQ42&gt;0,AQ42&gt;($BC$3-$D42)),($BC$3-$D42)),""))</f>
        <v/>
      </c>
      <c r="BR42" s="85" t="str" cm="1">
        <f t="array" ref="BR42">IF($C42="Production","",IFERROR(
_xlfn.IFS(AND(AR42&gt;0,AR42&lt;($BC$3-$D42)),AR42,
AND(AR42&gt;0,AR42&gt;($BC$3-$D42)),($BC$3-$D42)),""))</f>
        <v/>
      </c>
      <c r="BS42" s="85" t="str" cm="1">
        <f t="array" ref="BS42">IF($C42="Production","",IFERROR(
_xlfn.IFS(AND(AS42&gt;0,AS42&lt;($BC$3-$D42)),AS42,
AND(AS42&gt;0,AS42&gt;($BC$3-$D42)),($BC$3-$D42)),""))</f>
        <v/>
      </c>
      <c r="BT42" s="85" t="str" cm="1">
        <f t="array" ref="BT42">IF($C42="Production","",IFERROR(
_xlfn.IFS(AND(AT42&gt;0,AT42&lt;($BC$3-$D42)),AT42,
AND(AT42&gt;0,AT42&gt;($BC$3-$D42)),($BC$3-$D42)),""))</f>
        <v/>
      </c>
      <c r="BU42" s="85" t="str" cm="1">
        <f t="array" ref="BU42">IF($C42="Production","",IFERROR(
_xlfn.IFS(AND(AU42&gt;0,AU42&lt;($BC$3-$D42)),AU42,
AND(AU42&gt;0,AU42&gt;($BC$3-$D42)),($BC$3-$D42)),""))</f>
        <v/>
      </c>
      <c r="BV42" s="85" t="str" cm="1">
        <f t="array" ref="BV42">IF($C42="Production","",IFERROR(
_xlfn.IFS(AND(AV42&gt;0,AV42&lt;($BC$3-$D42)),AV42,
AND(AV42&gt;0,AV42&gt;($BC$3-$D42)),($BC$3-$D42)),""))</f>
        <v/>
      </c>
      <c r="BW42" s="85" t="str" cm="1">
        <f t="array" ref="BW42">IF($C42="Production","",IFERROR(
_xlfn.IFS(AND(AW42&gt;0,AW42&lt;($BC$3-$D42)),AW42,
AND(AW42&gt;0,AW42&gt;($BC$3-$D42)),($BC$3-$D42)),""))</f>
        <v/>
      </c>
      <c r="BX42" s="85" t="str" cm="1">
        <f t="array" ref="BX42">IF($C42="Production","",IFERROR(
_xlfn.IFS(AND(AX42&gt;0,AX42&lt;($BC$3-$D42)),AX42,
AND(AX42&gt;0,AX42&gt;($BC$3-$D42)),($BC$3-$D42)),""))</f>
        <v/>
      </c>
      <c r="BY42" s="85" t="str" cm="1">
        <f t="array" ref="BY42">IF($C42="Production","",IFERROR(
_xlfn.IFS(AND(AY42&gt;0,AY42&lt;($BC$3-$D42)),AY42,
AND(AY42&gt;0,AY42&gt;($BC$3-$D42)),($BC$3-$D42)),""))</f>
        <v/>
      </c>
      <c r="BZ42" s="85">
        <f t="shared" si="48"/>
        <v>0</v>
      </c>
      <c r="CA42" s="81"/>
      <c r="CB42" s="85" t="str">
        <f t="shared" si="49"/>
        <v/>
      </c>
      <c r="CC42" s="85" t="str">
        <f t="shared" si="16"/>
        <v/>
      </c>
      <c r="CD42" s="85" t="str">
        <f t="shared" si="17"/>
        <v/>
      </c>
      <c r="CE42" s="85" t="str">
        <f t="shared" si="18"/>
        <v/>
      </c>
      <c r="CF42" s="85" t="str">
        <f t="shared" si="19"/>
        <v/>
      </c>
      <c r="CG42" s="85" t="str">
        <f t="shared" si="20"/>
        <v/>
      </c>
      <c r="CH42" s="85" t="str">
        <f t="shared" si="21"/>
        <v/>
      </c>
      <c r="CI42" s="85" t="str">
        <f t="shared" si="22"/>
        <v/>
      </c>
      <c r="CJ42" s="85" t="str">
        <f t="shared" si="23"/>
        <v/>
      </c>
      <c r="CK42" s="85" t="str">
        <f t="shared" si="24"/>
        <v/>
      </c>
      <c r="CL42" s="85" t="str">
        <f t="shared" si="25"/>
        <v/>
      </c>
      <c r="CM42" s="85">
        <f t="shared" si="50"/>
        <v>0</v>
      </c>
      <c r="CO42" s="80" t="str">
        <f t="shared" si="51"/>
        <v/>
      </c>
      <c r="CP42" s="80" t="str">
        <f t="shared" si="52"/>
        <v/>
      </c>
      <c r="CQ42" s="80" t="str">
        <f t="shared" si="53"/>
        <v/>
      </c>
      <c r="CR42" s="80" t="str">
        <f t="shared" si="54"/>
        <v/>
      </c>
      <c r="CS42" s="80" t="str">
        <f t="shared" si="55"/>
        <v/>
      </c>
      <c r="CT42" s="80" t="str">
        <f t="shared" si="56"/>
        <v/>
      </c>
      <c r="CU42" s="80" t="str">
        <f t="shared" si="57"/>
        <v/>
      </c>
      <c r="CV42" s="80" t="str">
        <f t="shared" si="58"/>
        <v/>
      </c>
      <c r="CW42" s="80" t="str">
        <f t="shared" si="59"/>
        <v/>
      </c>
      <c r="CX42" s="80" t="str">
        <f t="shared" si="60"/>
        <v/>
      </c>
      <c r="CY42" s="80" t="str">
        <f t="shared" si="61"/>
        <v/>
      </c>
      <c r="CZ42" s="80">
        <f t="shared" si="62"/>
        <v>0</v>
      </c>
      <c r="DB42" s="80">
        <f t="shared" si="63"/>
        <v>0</v>
      </c>
      <c r="DC42" s="80">
        <f t="shared" si="64"/>
        <v>0</v>
      </c>
      <c r="DD42" s="80">
        <f t="shared" si="65"/>
        <v>0</v>
      </c>
      <c r="DE42" s="80">
        <f t="shared" si="66"/>
        <v>-444</v>
      </c>
      <c r="DF42" s="80">
        <f t="shared" si="67"/>
        <v>-444</v>
      </c>
    </row>
    <row r="43" spans="2:110" x14ac:dyDescent="0.15">
      <c r="B43" s="83" t="str">
        <f>'MODU 2025'!B46</f>
        <v>VALENTI Dorian</v>
      </c>
      <c r="C43" s="83" t="str">
        <f>'MODU 2025'!C46</f>
        <v>Production</v>
      </c>
      <c r="D43" s="83">
        <f>'MODU 2025'!D46</f>
        <v>37</v>
      </c>
      <c r="E43" s="83">
        <f>'MODU 2025'!G46</f>
        <v>38</v>
      </c>
      <c r="F43" s="83">
        <f>'MODU 2025'!H46</f>
        <v>38</v>
      </c>
      <c r="G43" s="83">
        <f>'MODU 2025'!I46</f>
        <v>33</v>
      </c>
      <c r="H43" s="83">
        <f>'MODU 2025'!J46</f>
        <v>41</v>
      </c>
      <c r="I43" s="83">
        <f>'MODU 2025'!K46</f>
        <v>33</v>
      </c>
      <c r="J43" s="83">
        <f>'MODU 2025'!L46</f>
        <v>41</v>
      </c>
      <c r="K43" s="83">
        <f>'MODU 2025'!M46</f>
        <v>33</v>
      </c>
      <c r="L43" s="83">
        <f>'MODU 2025'!N46</f>
        <v>41</v>
      </c>
      <c r="M43" s="83">
        <f>'MODU 2025'!O46</f>
        <v>33</v>
      </c>
      <c r="N43" s="83">
        <f>'MODU 2025'!P46</f>
        <v>41</v>
      </c>
      <c r="O43" s="83">
        <f>'MODU 2025'!Q46</f>
        <v>33</v>
      </c>
      <c r="P43" s="85"/>
      <c r="Q43" s="85">
        <f>IF(MOD(COLUMN(),2)=0,INDEX(paramètres!$C$4:$C$6,MATCH($C43,paramètres!$B$4:$B$6,0)),INDEX(paramètres!$D$4:$D$6,MATCH($C43,paramètres!$B$4:$B$6,0)))</f>
        <v>41</v>
      </c>
      <c r="R43" s="85">
        <f>IF(MOD(COLUMN(),2)=0,INDEX(paramètres!$C$4:$C$6,MATCH($C43,paramètres!$B$4:$B$6,0)),INDEX(paramètres!$D$4:$D$6,MATCH($C43,paramètres!$B$4:$B$6,0)))</f>
        <v>33</v>
      </c>
      <c r="S43" s="85">
        <f>IF(MOD(COLUMN(),2)=0,INDEX(paramètres!$C$4:$C$6,MATCH($C43,paramètres!$B$4:$B$6,0)),INDEX(paramètres!$D$4:$D$6,MATCH($C43,paramètres!$B$4:$B$6,0)))</f>
        <v>41</v>
      </c>
      <c r="T43" s="85">
        <f>IF(MOD(COLUMN(),2)=0,INDEX(paramètres!$C$4:$C$6,MATCH($C43,paramètres!$B$4:$B$6,0)),INDEX(paramètres!$D$4:$D$6,MATCH($C43,paramètres!$B$4:$B$6,0)))</f>
        <v>33</v>
      </c>
      <c r="U43" s="85">
        <f>IF(MOD(COLUMN(),2)=0,INDEX(paramètres!$C$4:$C$6,MATCH($C43,paramètres!$B$4:$B$6,0)),INDEX(paramètres!$D$4:$D$6,MATCH($C43,paramètres!$B$4:$B$6,0)))</f>
        <v>41</v>
      </c>
      <c r="V43" s="85">
        <f>IF(MOD(COLUMN(),2)=0,INDEX(paramètres!$C$4:$C$6,MATCH($C43,paramètres!$B$4:$B$6,0)),INDEX(paramètres!$D$4:$D$6,MATCH($C43,paramètres!$B$4:$B$6,0)))</f>
        <v>33</v>
      </c>
      <c r="W43" s="85">
        <f>IF(MOD(COLUMN(),2)=0,INDEX(paramètres!$C$4:$C$6,MATCH($C43,paramètres!$B$4:$B$6,0)),INDEX(paramètres!$D$4:$D$6,MATCH($C43,paramètres!$B$4:$B$6,0)))</f>
        <v>41</v>
      </c>
      <c r="X43" s="85">
        <f>IF(MOD(COLUMN(),2)=0,INDEX(paramètres!$C$4:$C$6,MATCH($C43,paramètres!$B$4:$B$6,0)),INDEX(paramètres!$D$4:$D$6,MATCH($C43,paramètres!$B$4:$B$6,0)))</f>
        <v>33</v>
      </c>
      <c r="Y43" s="85">
        <f>IF(MOD(COLUMN(),2)=0,INDEX(paramètres!$C$4:$C$6,MATCH($C43,paramètres!$B$4:$B$6,0)),INDEX(paramètres!$D$4:$D$6,MATCH($C43,paramètres!$B$4:$B$6,0)))</f>
        <v>41</v>
      </c>
      <c r="Z43" s="85">
        <f>IF(MOD(COLUMN(),2)=0,INDEX(paramètres!$C$4:$C$6,MATCH($C43,paramètres!$B$4:$B$6,0)),INDEX(paramètres!$D$4:$D$6,MATCH($C43,paramètres!$B$4:$B$6,0)))</f>
        <v>33</v>
      </c>
      <c r="AA43" s="85">
        <f>IF(MOD(COLUMN(),2)=0,INDEX(paramètres!$C$4:$C$6,MATCH($C43,paramètres!$B$4:$B$6,0)),INDEX(paramètres!$D$4:$D$6,MATCH($C43,paramètres!$B$4:$B$6,0)))</f>
        <v>41</v>
      </c>
      <c r="AB43" s="86"/>
      <c r="AC43" s="85">
        <f t="shared" si="68"/>
        <v>2</v>
      </c>
      <c r="AD43" s="85">
        <f t="shared" si="26"/>
        <v>0</v>
      </c>
      <c r="AE43" s="85">
        <f t="shared" si="69"/>
        <v>0</v>
      </c>
      <c r="AF43" s="85">
        <f t="shared" si="27"/>
        <v>0</v>
      </c>
      <c r="AG43" s="85">
        <f t="shared" si="28"/>
        <v>0</v>
      </c>
      <c r="AH43" s="85">
        <f t="shared" si="29"/>
        <v>0</v>
      </c>
      <c r="AI43" s="85">
        <f t="shared" si="30"/>
        <v>0</v>
      </c>
      <c r="AJ43" s="85">
        <f t="shared" si="31"/>
        <v>0</v>
      </c>
      <c r="AK43" s="85">
        <f t="shared" si="32"/>
        <v>0</v>
      </c>
      <c r="AL43" s="85">
        <f t="shared" si="33"/>
        <v>0</v>
      </c>
      <c r="AM43" s="85">
        <f t="shared" si="34"/>
        <v>-41</v>
      </c>
      <c r="AN43" s="85"/>
      <c r="AO43" s="85" t="str">
        <f t="shared" si="35"/>
        <v/>
      </c>
      <c r="AP43" s="85" t="str">
        <f t="shared" si="36"/>
        <v/>
      </c>
      <c r="AQ43" s="85" t="str">
        <f t="shared" si="37"/>
        <v/>
      </c>
      <c r="AR43" s="85" t="str">
        <f t="shared" si="38"/>
        <v/>
      </c>
      <c r="AS43" s="85" t="str">
        <f t="shared" si="39"/>
        <v/>
      </c>
      <c r="AT43" s="85" t="str">
        <f t="shared" si="40"/>
        <v/>
      </c>
      <c r="AU43" s="85" t="str">
        <f t="shared" si="41"/>
        <v/>
      </c>
      <c r="AV43" s="85" t="str">
        <f t="shared" si="42"/>
        <v/>
      </c>
      <c r="AW43" s="85" t="str">
        <f t="shared" si="43"/>
        <v/>
      </c>
      <c r="AX43" s="85" t="str">
        <f t="shared" si="44"/>
        <v/>
      </c>
      <c r="AY43" s="85" t="str">
        <f t="shared" si="45"/>
        <v/>
      </c>
      <c r="AZ43" s="85">
        <f t="shared" si="46"/>
        <v>0</v>
      </c>
      <c r="BA43" s="35"/>
      <c r="BB43" s="85" cm="1">
        <f t="array" ref="BB43">IF($C43&lt;&gt;"Production","",IFERROR(
_xlfn.IFS(AND(AC43&gt;0,AC43&lt;($BC$3-$D43)),AC43,
AND(AC43&gt;0,AC43&gt;($BC$3-$D43)),($BC$3-$D43)),""))</f>
        <v>2</v>
      </c>
      <c r="BC43" s="85" t="str" cm="1">
        <f t="array" ref="BC43">IF($C43&lt;&gt;"Production","",IFERROR(
_xlfn.IFS(AND(AD43&gt;0,AD43&lt;($BC$3-$D43)),AD43,
AND(AD43&gt;0,AD43&gt;($BC$3-$D43)),($BC$3-$D43)),""))</f>
        <v/>
      </c>
      <c r="BD43" s="85" t="str" cm="1">
        <f t="array" ref="BD43">IF($C43&lt;&gt;"Production","",IFERROR(
_xlfn.IFS(AND(AE43&gt;0,AE43&lt;($BC$3-$D43)),AE43,
AND(AE43&gt;0,AE43&gt;($BC$3-$D43)),($BC$3-$D43)),""))</f>
        <v/>
      </c>
      <c r="BE43" s="85" t="str" cm="1">
        <f t="array" ref="BE43">IF($C43&lt;&gt;"Production","",IFERROR(
_xlfn.IFS(AND(AF43&gt;0,AF43&lt;($BC$3-$D43)),AF43,
AND(AF43&gt;0,AF43&gt;($BC$3-$D43)),($BC$3-$D43)),""))</f>
        <v/>
      </c>
      <c r="BF43" s="85" t="str" cm="1">
        <f t="array" ref="BF43">IF($C43&lt;&gt;"Production","",IFERROR(
_xlfn.IFS(AND(AG43&gt;0,AG43&lt;($BC$3-$D43)),AG43,
AND(AG43&gt;0,AG43&gt;($BC$3-$D43)),($BC$3-$D43)),""))</f>
        <v/>
      </c>
      <c r="BG43" s="85" t="str" cm="1">
        <f t="array" ref="BG43">IF($C43&lt;&gt;"Production","",IFERROR(
_xlfn.IFS(AND(AH43&gt;0,AH43&lt;($BC$3-$D43)),AH43,
AND(AH43&gt;0,AH43&gt;($BC$3-$D43)),($BC$3-$D43)),""))</f>
        <v/>
      </c>
      <c r="BH43" s="85" t="str" cm="1">
        <f t="array" ref="BH43">IF($C43&lt;&gt;"Production","",IFERROR(
_xlfn.IFS(AND(AI43&gt;0,AI43&lt;($BC$3-$D43)),AI43,
AND(AI43&gt;0,AI43&gt;($BC$3-$D43)),($BC$3-$D43)),""))</f>
        <v/>
      </c>
      <c r="BI43" s="85" t="str" cm="1">
        <f t="array" ref="BI43">IF($C43&lt;&gt;"Production","",IFERROR(
_xlfn.IFS(AND(AJ43&gt;0,AJ43&lt;($BC$3-$D43)),AJ43,
AND(AJ43&gt;0,AJ43&gt;($BC$3-$D43)),($BC$3-$D43)),""))</f>
        <v/>
      </c>
      <c r="BJ43" s="85" t="str" cm="1">
        <f t="array" ref="BJ43">IF($C43&lt;&gt;"Production","",IFERROR(
_xlfn.IFS(AND(AK43&gt;0,AK43&lt;($BC$3-$D43)),AK43,
AND(AK43&gt;0,AK43&gt;($BC$3-$D43)),($BC$3-$D43)),""))</f>
        <v/>
      </c>
      <c r="BK43" s="85" t="str" cm="1">
        <f t="array" ref="BK43">IF($C43&lt;&gt;"Production","",IFERROR(
_xlfn.IFS(AND(AL43&gt;0,AL43&lt;($BC$3-$D43)),AL43,
AND(AL43&gt;0,AL43&gt;($BC$3-$D43)),($BC$3-$D43)),""))</f>
        <v/>
      </c>
      <c r="BL43" s="85" t="str" cm="1">
        <f t="array" ref="BL43">IF($C43&lt;&gt;"Production","",IFERROR(
_xlfn.IFS(AND(AM43&gt;0,AM43&lt;($BC$3-$D43)),AM43,
AND(AM43&gt;0,AM43&gt;($BC$3-$D43)),($BC$3-$D43)),""))</f>
        <v/>
      </c>
      <c r="BM43" s="85">
        <f t="shared" si="47"/>
        <v>2</v>
      </c>
      <c r="BN43" s="81"/>
      <c r="BO43" s="85" t="str" cm="1">
        <f t="array" ref="BO43">IF($C43="Production","",IFERROR(
_xlfn.IFS(AND(AO43&gt;0,AO43&lt;($BC$3-$D43)),AO43,
AND(AO43&gt;0,AO43&gt;($BC$3-$D43)),($BC$3-$D43)),""))</f>
        <v/>
      </c>
      <c r="BP43" s="85" t="str" cm="1">
        <f t="array" ref="BP43">IF($C43="Production","",IFERROR(
_xlfn.IFS(AND(AP43&gt;0,AP43&lt;($BC$3-$D43)),AP43,
AND(AP43&gt;0,AP43&gt;($BC$3-$D43)),($BC$3-$D43)),""))</f>
        <v/>
      </c>
      <c r="BQ43" s="85" t="str" cm="1">
        <f t="array" ref="BQ43">IF($C43="Production","",IFERROR(
_xlfn.IFS(AND(AQ43&gt;0,AQ43&lt;($BC$3-$D43)),AQ43,
AND(AQ43&gt;0,AQ43&gt;($BC$3-$D43)),($BC$3-$D43)),""))</f>
        <v/>
      </c>
      <c r="BR43" s="85" t="str" cm="1">
        <f t="array" ref="BR43">IF($C43="Production","",IFERROR(
_xlfn.IFS(AND(AR43&gt;0,AR43&lt;($BC$3-$D43)),AR43,
AND(AR43&gt;0,AR43&gt;($BC$3-$D43)),($BC$3-$D43)),""))</f>
        <v/>
      </c>
      <c r="BS43" s="85" t="str" cm="1">
        <f t="array" ref="BS43">IF($C43="Production","",IFERROR(
_xlfn.IFS(AND(AS43&gt;0,AS43&lt;($BC$3-$D43)),AS43,
AND(AS43&gt;0,AS43&gt;($BC$3-$D43)),($BC$3-$D43)),""))</f>
        <v/>
      </c>
      <c r="BT43" s="85" t="str" cm="1">
        <f t="array" ref="BT43">IF($C43="Production","",IFERROR(
_xlfn.IFS(AND(AT43&gt;0,AT43&lt;($BC$3-$D43)),AT43,
AND(AT43&gt;0,AT43&gt;($BC$3-$D43)),($BC$3-$D43)),""))</f>
        <v/>
      </c>
      <c r="BU43" s="85" t="str" cm="1">
        <f t="array" ref="BU43">IF($C43="Production","",IFERROR(
_xlfn.IFS(AND(AU43&gt;0,AU43&lt;($BC$3-$D43)),AU43,
AND(AU43&gt;0,AU43&gt;($BC$3-$D43)),($BC$3-$D43)),""))</f>
        <v/>
      </c>
      <c r="BV43" s="85" t="str" cm="1">
        <f t="array" ref="BV43">IF($C43="Production","",IFERROR(
_xlfn.IFS(AND(AV43&gt;0,AV43&lt;($BC$3-$D43)),AV43,
AND(AV43&gt;0,AV43&gt;($BC$3-$D43)),($BC$3-$D43)),""))</f>
        <v/>
      </c>
      <c r="BW43" s="85" t="str" cm="1">
        <f t="array" ref="BW43">IF($C43="Production","",IFERROR(
_xlfn.IFS(AND(AW43&gt;0,AW43&lt;($BC$3-$D43)),AW43,
AND(AW43&gt;0,AW43&gt;($BC$3-$D43)),($BC$3-$D43)),""))</f>
        <v/>
      </c>
      <c r="BX43" s="85" t="str" cm="1">
        <f t="array" ref="BX43">IF($C43="Production","",IFERROR(
_xlfn.IFS(AND(AX43&gt;0,AX43&lt;($BC$3-$D43)),AX43,
AND(AX43&gt;0,AX43&gt;($BC$3-$D43)),($BC$3-$D43)),""))</f>
        <v/>
      </c>
      <c r="BY43" s="85" t="str" cm="1">
        <f t="array" ref="BY43">IF($C43="Production","",IFERROR(
_xlfn.IFS(AND(AY43&gt;0,AY43&lt;($BC$3-$D43)),AY43,
AND(AY43&gt;0,AY43&gt;($BC$3-$D43)),($BC$3-$D43)),""))</f>
        <v/>
      </c>
      <c r="BZ43" s="85">
        <f t="shared" si="48"/>
        <v>0</v>
      </c>
      <c r="CA43" s="81"/>
      <c r="CB43" s="85" t="str">
        <f t="shared" si="49"/>
        <v/>
      </c>
      <c r="CC43" s="85" t="str">
        <f t="shared" si="16"/>
        <v/>
      </c>
      <c r="CD43" s="85" t="str">
        <f t="shared" si="17"/>
        <v/>
      </c>
      <c r="CE43" s="85" t="str">
        <f t="shared" si="18"/>
        <v/>
      </c>
      <c r="CF43" s="85" t="str">
        <f t="shared" si="19"/>
        <v/>
      </c>
      <c r="CG43" s="85" t="str">
        <f t="shared" si="20"/>
        <v/>
      </c>
      <c r="CH43" s="85" t="str">
        <f t="shared" si="21"/>
        <v/>
      </c>
      <c r="CI43" s="85" t="str">
        <f t="shared" si="22"/>
        <v/>
      </c>
      <c r="CJ43" s="85" t="str">
        <f t="shared" si="23"/>
        <v/>
      </c>
      <c r="CK43" s="85" t="str">
        <f t="shared" si="24"/>
        <v/>
      </c>
      <c r="CL43" s="85" t="str">
        <f t="shared" si="25"/>
        <v/>
      </c>
      <c r="CM43" s="85">
        <f t="shared" si="50"/>
        <v>0</v>
      </c>
      <c r="CO43" s="80" t="str">
        <f t="shared" si="51"/>
        <v/>
      </c>
      <c r="CP43" s="80" t="str">
        <f t="shared" si="52"/>
        <v/>
      </c>
      <c r="CQ43" s="80" t="str">
        <f t="shared" si="53"/>
        <v/>
      </c>
      <c r="CR43" s="80" t="str">
        <f t="shared" si="54"/>
        <v/>
      </c>
      <c r="CS43" s="80" t="str">
        <f t="shared" si="55"/>
        <v/>
      </c>
      <c r="CT43" s="80" t="str">
        <f t="shared" si="56"/>
        <v/>
      </c>
      <c r="CU43" s="80" t="str">
        <f t="shared" si="57"/>
        <v/>
      </c>
      <c r="CV43" s="80" t="str">
        <f t="shared" si="58"/>
        <v/>
      </c>
      <c r="CW43" s="80" t="str">
        <f t="shared" si="59"/>
        <v/>
      </c>
      <c r="CX43" s="80" t="str">
        <f t="shared" si="60"/>
        <v/>
      </c>
      <c r="CY43" s="80" t="str">
        <f t="shared" si="61"/>
        <v/>
      </c>
      <c r="CZ43" s="80">
        <f t="shared" si="62"/>
        <v>0</v>
      </c>
      <c r="DB43" s="80">
        <f t="shared" si="63"/>
        <v>2</v>
      </c>
      <c r="DC43" s="80">
        <f t="shared" si="64"/>
        <v>0</v>
      </c>
      <c r="DD43" s="80">
        <f t="shared" si="65"/>
        <v>2.5</v>
      </c>
      <c r="DE43" s="80">
        <f t="shared" si="66"/>
        <v>-41</v>
      </c>
      <c r="DF43" s="80">
        <f t="shared" si="67"/>
        <v>-38.5</v>
      </c>
    </row>
    <row r="44" spans="2:110" x14ac:dyDescent="0.15">
      <c r="B44" s="83" t="str">
        <f>'MODU 2025'!B47</f>
        <v>WALCH Vanessa </v>
      </c>
      <c r="C44" s="83" t="str">
        <f>'MODU 2025'!C47</f>
        <v>Production</v>
      </c>
      <c r="D44" s="83">
        <f>'MODU 2025'!D47</f>
        <v>37</v>
      </c>
      <c r="E44" s="83">
        <f>'MODU 2025'!G47</f>
        <v>33</v>
      </c>
      <c r="F44" s="83">
        <f>'MODU 2025'!H47</f>
        <v>41</v>
      </c>
      <c r="G44" s="83">
        <f>'MODU 2025'!I47</f>
        <v>33</v>
      </c>
      <c r="H44" s="83">
        <f>'MODU 2025'!J47</f>
        <v>41</v>
      </c>
      <c r="I44" s="83">
        <f>'MODU 2025'!K47</f>
        <v>33</v>
      </c>
      <c r="J44" s="83">
        <f>'MODU 2025'!L47</f>
        <v>41</v>
      </c>
      <c r="K44" s="83">
        <f>'MODU 2025'!M47</f>
        <v>33</v>
      </c>
      <c r="L44" s="83">
        <f>'MODU 2025'!N47</f>
        <v>41</v>
      </c>
      <c r="M44" s="83">
        <f>'MODU 2025'!O47</f>
        <v>33</v>
      </c>
      <c r="N44" s="83">
        <f>'MODU 2025'!P47</f>
        <v>41</v>
      </c>
      <c r="O44" s="83">
        <f>'MODU 2025'!Q47</f>
        <v>33</v>
      </c>
      <c r="P44" s="85"/>
      <c r="Q44" s="85">
        <f>IF(MOD(COLUMN(),2)=0,INDEX(paramètres!$C$4:$C$6,MATCH($C44,paramètres!$B$4:$B$6,0)),INDEX(paramètres!$D$4:$D$6,MATCH($C44,paramètres!$B$4:$B$6,0)))</f>
        <v>41</v>
      </c>
      <c r="R44" s="85">
        <f>IF(MOD(COLUMN(),2)=0,INDEX(paramètres!$C$4:$C$6,MATCH($C44,paramètres!$B$4:$B$6,0)),INDEX(paramètres!$D$4:$D$6,MATCH($C44,paramètres!$B$4:$B$6,0)))</f>
        <v>33</v>
      </c>
      <c r="S44" s="85">
        <f>IF(MOD(COLUMN(),2)=0,INDEX(paramètres!$C$4:$C$6,MATCH($C44,paramètres!$B$4:$B$6,0)),INDEX(paramètres!$D$4:$D$6,MATCH($C44,paramètres!$B$4:$B$6,0)))</f>
        <v>41</v>
      </c>
      <c r="T44" s="85">
        <f>IF(MOD(COLUMN(),2)=0,INDEX(paramètres!$C$4:$C$6,MATCH($C44,paramètres!$B$4:$B$6,0)),INDEX(paramètres!$D$4:$D$6,MATCH($C44,paramètres!$B$4:$B$6,0)))</f>
        <v>33</v>
      </c>
      <c r="U44" s="85">
        <f>IF(MOD(COLUMN(),2)=0,INDEX(paramètres!$C$4:$C$6,MATCH($C44,paramètres!$B$4:$B$6,0)),INDEX(paramètres!$D$4:$D$6,MATCH($C44,paramètres!$B$4:$B$6,0)))</f>
        <v>41</v>
      </c>
      <c r="V44" s="85">
        <f>IF(MOD(COLUMN(),2)=0,INDEX(paramètres!$C$4:$C$6,MATCH($C44,paramètres!$B$4:$B$6,0)),INDEX(paramètres!$D$4:$D$6,MATCH($C44,paramètres!$B$4:$B$6,0)))</f>
        <v>33</v>
      </c>
      <c r="W44" s="85">
        <f>IF(MOD(COLUMN(),2)=0,INDEX(paramètres!$C$4:$C$6,MATCH($C44,paramètres!$B$4:$B$6,0)),INDEX(paramètres!$D$4:$D$6,MATCH($C44,paramètres!$B$4:$B$6,0)))</f>
        <v>41</v>
      </c>
      <c r="X44" s="85">
        <f>IF(MOD(COLUMN(),2)=0,INDEX(paramètres!$C$4:$C$6,MATCH($C44,paramètres!$B$4:$B$6,0)),INDEX(paramètres!$D$4:$D$6,MATCH($C44,paramètres!$B$4:$B$6,0)))</f>
        <v>33</v>
      </c>
      <c r="Y44" s="85">
        <f>IF(MOD(COLUMN(),2)=0,INDEX(paramètres!$C$4:$C$6,MATCH($C44,paramètres!$B$4:$B$6,0)),INDEX(paramètres!$D$4:$D$6,MATCH($C44,paramètres!$B$4:$B$6,0)))</f>
        <v>41</v>
      </c>
      <c r="Z44" s="85">
        <f>IF(MOD(COLUMN(),2)=0,INDEX(paramètres!$C$4:$C$6,MATCH($C44,paramètres!$B$4:$B$6,0)),INDEX(paramètres!$D$4:$D$6,MATCH($C44,paramètres!$B$4:$B$6,0)))</f>
        <v>33</v>
      </c>
      <c r="AA44" s="85">
        <f>IF(MOD(COLUMN(),2)=0,INDEX(paramètres!$C$4:$C$6,MATCH($C44,paramètres!$B$4:$B$6,0)),INDEX(paramètres!$D$4:$D$6,MATCH($C44,paramètres!$B$4:$B$6,0)))</f>
        <v>41</v>
      </c>
      <c r="AB44" s="86"/>
      <c r="AC44" s="85">
        <f t="shared" si="68"/>
        <v>0</v>
      </c>
      <c r="AD44" s="85">
        <f t="shared" si="26"/>
        <v>0</v>
      </c>
      <c r="AE44" s="85">
        <f t="shared" si="69"/>
        <v>0</v>
      </c>
      <c r="AF44" s="85">
        <f t="shared" si="27"/>
        <v>0</v>
      </c>
      <c r="AG44" s="85">
        <f t="shared" si="28"/>
        <v>0</v>
      </c>
      <c r="AH44" s="85">
        <f t="shared" si="29"/>
        <v>0</v>
      </c>
      <c r="AI44" s="85">
        <f t="shared" si="30"/>
        <v>0</v>
      </c>
      <c r="AJ44" s="85">
        <f t="shared" si="31"/>
        <v>0</v>
      </c>
      <c r="AK44" s="85">
        <f t="shared" si="32"/>
        <v>0</v>
      </c>
      <c r="AL44" s="85">
        <f t="shared" si="33"/>
        <v>0</v>
      </c>
      <c r="AM44" s="85">
        <f t="shared" si="34"/>
        <v>-41</v>
      </c>
      <c r="AN44" s="85"/>
      <c r="AO44" s="85" t="str">
        <f t="shared" si="35"/>
        <v/>
      </c>
      <c r="AP44" s="85" t="str">
        <f t="shared" si="36"/>
        <v/>
      </c>
      <c r="AQ44" s="85" t="str">
        <f t="shared" si="37"/>
        <v/>
      </c>
      <c r="AR44" s="85" t="str">
        <f t="shared" si="38"/>
        <v/>
      </c>
      <c r="AS44" s="85" t="str">
        <f t="shared" si="39"/>
        <v/>
      </c>
      <c r="AT44" s="85" t="str">
        <f t="shared" si="40"/>
        <v/>
      </c>
      <c r="AU44" s="85" t="str">
        <f t="shared" si="41"/>
        <v/>
      </c>
      <c r="AV44" s="85" t="str">
        <f t="shared" si="42"/>
        <v/>
      </c>
      <c r="AW44" s="85" t="str">
        <f t="shared" si="43"/>
        <v/>
      </c>
      <c r="AX44" s="85" t="str">
        <f t="shared" si="44"/>
        <v/>
      </c>
      <c r="AY44" s="85" t="str">
        <f t="shared" si="45"/>
        <v/>
      </c>
      <c r="AZ44" s="85">
        <f t="shared" si="46"/>
        <v>0</v>
      </c>
      <c r="BA44" s="35"/>
      <c r="BB44" s="85" t="str" cm="1">
        <f t="array" ref="BB44">IF($C44&lt;&gt;"Production","",IFERROR(
_xlfn.IFS(AND(AC44&gt;0,AC44&lt;($BC$3-$D44)),AC44,
AND(AC44&gt;0,AC44&gt;($BC$3-$D44)),($BC$3-$D44)),""))</f>
        <v/>
      </c>
      <c r="BC44" s="85" t="str" cm="1">
        <f t="array" ref="BC44">IF($C44&lt;&gt;"Production","",IFERROR(
_xlfn.IFS(AND(AD44&gt;0,AD44&lt;($BC$3-$D44)),AD44,
AND(AD44&gt;0,AD44&gt;($BC$3-$D44)),($BC$3-$D44)),""))</f>
        <v/>
      </c>
      <c r="BD44" s="85" t="str" cm="1">
        <f t="array" ref="BD44">IF($C44&lt;&gt;"Production","",IFERROR(
_xlfn.IFS(AND(AE44&gt;0,AE44&lt;($BC$3-$D44)),AE44,
AND(AE44&gt;0,AE44&gt;($BC$3-$D44)),($BC$3-$D44)),""))</f>
        <v/>
      </c>
      <c r="BE44" s="85" t="str" cm="1">
        <f t="array" ref="BE44">IF($C44&lt;&gt;"Production","",IFERROR(
_xlfn.IFS(AND(AF44&gt;0,AF44&lt;($BC$3-$D44)),AF44,
AND(AF44&gt;0,AF44&gt;($BC$3-$D44)),($BC$3-$D44)),""))</f>
        <v/>
      </c>
      <c r="BF44" s="85" t="str" cm="1">
        <f t="array" ref="BF44">IF($C44&lt;&gt;"Production","",IFERROR(
_xlfn.IFS(AND(AG44&gt;0,AG44&lt;($BC$3-$D44)),AG44,
AND(AG44&gt;0,AG44&gt;($BC$3-$D44)),($BC$3-$D44)),""))</f>
        <v/>
      </c>
      <c r="BG44" s="85" t="str" cm="1">
        <f t="array" ref="BG44">IF($C44&lt;&gt;"Production","",IFERROR(
_xlfn.IFS(AND(AH44&gt;0,AH44&lt;($BC$3-$D44)),AH44,
AND(AH44&gt;0,AH44&gt;($BC$3-$D44)),($BC$3-$D44)),""))</f>
        <v/>
      </c>
      <c r="BH44" s="85" t="str" cm="1">
        <f t="array" ref="BH44">IF($C44&lt;&gt;"Production","",IFERROR(
_xlfn.IFS(AND(AI44&gt;0,AI44&lt;($BC$3-$D44)),AI44,
AND(AI44&gt;0,AI44&gt;($BC$3-$D44)),($BC$3-$D44)),""))</f>
        <v/>
      </c>
      <c r="BI44" s="85" t="str" cm="1">
        <f t="array" ref="BI44">IF($C44&lt;&gt;"Production","",IFERROR(
_xlfn.IFS(AND(AJ44&gt;0,AJ44&lt;($BC$3-$D44)),AJ44,
AND(AJ44&gt;0,AJ44&gt;($BC$3-$D44)),($BC$3-$D44)),""))</f>
        <v/>
      </c>
      <c r="BJ44" s="85" t="str" cm="1">
        <f t="array" ref="BJ44">IF($C44&lt;&gt;"Production","",IFERROR(
_xlfn.IFS(AND(AK44&gt;0,AK44&lt;($BC$3-$D44)),AK44,
AND(AK44&gt;0,AK44&gt;($BC$3-$D44)),($BC$3-$D44)),""))</f>
        <v/>
      </c>
      <c r="BK44" s="85" t="str" cm="1">
        <f t="array" ref="BK44">IF($C44&lt;&gt;"Production","",IFERROR(
_xlfn.IFS(AND(AL44&gt;0,AL44&lt;($BC$3-$D44)),AL44,
AND(AL44&gt;0,AL44&gt;($BC$3-$D44)),($BC$3-$D44)),""))</f>
        <v/>
      </c>
      <c r="BL44" s="85" t="str" cm="1">
        <f t="array" ref="BL44">IF($C44&lt;&gt;"Production","",IFERROR(
_xlfn.IFS(AND(AM44&gt;0,AM44&lt;($BC$3-$D44)),AM44,
AND(AM44&gt;0,AM44&gt;($BC$3-$D44)),($BC$3-$D44)),""))</f>
        <v/>
      </c>
      <c r="BM44" s="85">
        <f t="shared" si="47"/>
        <v>0</v>
      </c>
      <c r="BN44" s="81"/>
      <c r="BO44" s="85" t="str" cm="1">
        <f t="array" ref="BO44">IF($C44="Production","",IFERROR(
_xlfn.IFS(AND(AO44&gt;0,AO44&lt;($BC$3-$D44)),AO44,
AND(AO44&gt;0,AO44&gt;($BC$3-$D44)),($BC$3-$D44)),""))</f>
        <v/>
      </c>
      <c r="BP44" s="85" t="str" cm="1">
        <f t="array" ref="BP44">IF($C44="Production","",IFERROR(
_xlfn.IFS(AND(AP44&gt;0,AP44&lt;($BC$3-$D44)),AP44,
AND(AP44&gt;0,AP44&gt;($BC$3-$D44)),($BC$3-$D44)),""))</f>
        <v/>
      </c>
      <c r="BQ44" s="85" t="str" cm="1">
        <f t="array" ref="BQ44">IF($C44="Production","",IFERROR(
_xlfn.IFS(AND(AQ44&gt;0,AQ44&lt;($BC$3-$D44)),AQ44,
AND(AQ44&gt;0,AQ44&gt;($BC$3-$D44)),($BC$3-$D44)),""))</f>
        <v/>
      </c>
      <c r="BR44" s="85" t="str" cm="1">
        <f t="array" ref="BR44">IF($C44="Production","",IFERROR(
_xlfn.IFS(AND(AR44&gt;0,AR44&lt;($BC$3-$D44)),AR44,
AND(AR44&gt;0,AR44&gt;($BC$3-$D44)),($BC$3-$D44)),""))</f>
        <v/>
      </c>
      <c r="BS44" s="85" t="str" cm="1">
        <f t="array" ref="BS44">IF($C44="Production","",IFERROR(
_xlfn.IFS(AND(AS44&gt;0,AS44&lt;($BC$3-$D44)),AS44,
AND(AS44&gt;0,AS44&gt;($BC$3-$D44)),($BC$3-$D44)),""))</f>
        <v/>
      </c>
      <c r="BT44" s="85" t="str" cm="1">
        <f t="array" ref="BT44">IF($C44="Production","",IFERROR(
_xlfn.IFS(AND(AT44&gt;0,AT44&lt;($BC$3-$D44)),AT44,
AND(AT44&gt;0,AT44&gt;($BC$3-$D44)),($BC$3-$D44)),""))</f>
        <v/>
      </c>
      <c r="BU44" s="85" t="str" cm="1">
        <f t="array" ref="BU44">IF($C44="Production","",IFERROR(
_xlfn.IFS(AND(AU44&gt;0,AU44&lt;($BC$3-$D44)),AU44,
AND(AU44&gt;0,AU44&gt;($BC$3-$D44)),($BC$3-$D44)),""))</f>
        <v/>
      </c>
      <c r="BV44" s="85" t="str" cm="1">
        <f t="array" ref="BV44">IF($C44="Production","",IFERROR(
_xlfn.IFS(AND(AV44&gt;0,AV44&lt;($BC$3-$D44)),AV44,
AND(AV44&gt;0,AV44&gt;($BC$3-$D44)),($BC$3-$D44)),""))</f>
        <v/>
      </c>
      <c r="BW44" s="85" t="str" cm="1">
        <f t="array" ref="BW44">IF($C44="Production","",IFERROR(
_xlfn.IFS(AND(AW44&gt;0,AW44&lt;($BC$3-$D44)),AW44,
AND(AW44&gt;0,AW44&gt;($BC$3-$D44)),($BC$3-$D44)),""))</f>
        <v/>
      </c>
      <c r="BX44" s="85" t="str" cm="1">
        <f t="array" ref="BX44">IF($C44="Production","",IFERROR(
_xlfn.IFS(AND(AX44&gt;0,AX44&lt;($BC$3-$D44)),AX44,
AND(AX44&gt;0,AX44&gt;($BC$3-$D44)),($BC$3-$D44)),""))</f>
        <v/>
      </c>
      <c r="BY44" s="85" t="str" cm="1">
        <f t="array" ref="BY44">IF($C44="Production","",IFERROR(
_xlfn.IFS(AND(AY44&gt;0,AY44&lt;($BC$3-$D44)),AY44,
AND(AY44&gt;0,AY44&gt;($BC$3-$D44)),($BC$3-$D44)),""))</f>
        <v/>
      </c>
      <c r="BZ44" s="85">
        <f t="shared" si="48"/>
        <v>0</v>
      </c>
      <c r="CA44" s="81"/>
      <c r="CB44" s="85" t="str">
        <f t="shared" si="49"/>
        <v/>
      </c>
      <c r="CC44" s="85" t="str">
        <f t="shared" si="16"/>
        <v/>
      </c>
      <c r="CD44" s="85" t="str">
        <f t="shared" si="17"/>
        <v/>
      </c>
      <c r="CE44" s="85" t="str">
        <f t="shared" si="18"/>
        <v/>
      </c>
      <c r="CF44" s="85" t="str">
        <f t="shared" si="19"/>
        <v/>
      </c>
      <c r="CG44" s="85" t="str">
        <f t="shared" si="20"/>
        <v/>
      </c>
      <c r="CH44" s="85" t="str">
        <f t="shared" si="21"/>
        <v/>
      </c>
      <c r="CI44" s="85" t="str">
        <f t="shared" si="22"/>
        <v/>
      </c>
      <c r="CJ44" s="85" t="str">
        <f t="shared" si="23"/>
        <v/>
      </c>
      <c r="CK44" s="85" t="str">
        <f t="shared" si="24"/>
        <v/>
      </c>
      <c r="CL44" s="85" t="str">
        <f t="shared" si="25"/>
        <v/>
      </c>
      <c r="CM44" s="85">
        <f t="shared" si="50"/>
        <v>0</v>
      </c>
      <c r="CO44" s="80" t="str">
        <f t="shared" si="51"/>
        <v/>
      </c>
      <c r="CP44" s="80" t="str">
        <f t="shared" si="52"/>
        <v/>
      </c>
      <c r="CQ44" s="80" t="str">
        <f t="shared" si="53"/>
        <v/>
      </c>
      <c r="CR44" s="80" t="str">
        <f t="shared" si="54"/>
        <v/>
      </c>
      <c r="CS44" s="80" t="str">
        <f t="shared" si="55"/>
        <v/>
      </c>
      <c r="CT44" s="80" t="str">
        <f t="shared" si="56"/>
        <v/>
      </c>
      <c r="CU44" s="80" t="str">
        <f t="shared" si="57"/>
        <v/>
      </c>
      <c r="CV44" s="80" t="str">
        <f t="shared" si="58"/>
        <v/>
      </c>
      <c r="CW44" s="80" t="str">
        <f t="shared" si="59"/>
        <v/>
      </c>
      <c r="CX44" s="80" t="str">
        <f t="shared" si="60"/>
        <v/>
      </c>
      <c r="CY44" s="80" t="str">
        <f t="shared" si="61"/>
        <v/>
      </c>
      <c r="CZ44" s="80">
        <f t="shared" si="62"/>
        <v>0</v>
      </c>
      <c r="DB44" s="80">
        <f t="shared" si="63"/>
        <v>0</v>
      </c>
      <c r="DC44" s="80">
        <f t="shared" si="64"/>
        <v>0</v>
      </c>
      <c r="DD44" s="80">
        <f t="shared" si="65"/>
        <v>0</v>
      </c>
      <c r="DE44" s="80">
        <f t="shared" si="66"/>
        <v>-41</v>
      </c>
      <c r="DF44" s="80">
        <f t="shared" si="67"/>
        <v>-41</v>
      </c>
    </row>
    <row r="45" spans="2:110" x14ac:dyDescent="0.15"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6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85"/>
      <c r="BA45" s="3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5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5"/>
      <c r="CC45" s="85"/>
      <c r="CD45" s="85"/>
      <c r="CE45" s="85"/>
      <c r="CF45" s="85"/>
      <c r="CG45" s="85"/>
      <c r="CH45" s="85"/>
      <c r="CI45" s="85"/>
      <c r="CJ45" s="85"/>
      <c r="CK45" s="85"/>
      <c r="CL45" s="85"/>
      <c r="CM45" s="85"/>
    </row>
  </sheetData>
  <mergeCells count="9">
    <mergeCell ref="DB1:DC1"/>
    <mergeCell ref="CO2:CZ2"/>
    <mergeCell ref="E2:O2"/>
    <mergeCell ref="Q2:AA2"/>
    <mergeCell ref="AC2:AM2"/>
    <mergeCell ref="CB2:CM2"/>
    <mergeCell ref="BB2:BM2"/>
    <mergeCell ref="AO2:AY2"/>
    <mergeCell ref="BO2:BZ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6056-EFB6-47A8-B5C2-98B4F65CC364}">
  <sheetPr codeName="Feuil10">
    <pageSetUpPr fitToPage="1"/>
  </sheetPr>
  <dimension ref="A1:BQ91"/>
  <sheetViews>
    <sheetView showGridLines="0" tabSelected="1" zoomScale="110" zoomScaleNormal="85" workbookViewId="0">
      <pane xSplit="2" ySplit="7" topLeftCell="C8" activePane="bottomRight" state="frozen"/>
      <selection activeCell="F3" sqref="F3"/>
      <selection pane="topRight" activeCell="F3" sqref="F3"/>
      <selection pane="bottomLeft" activeCell="F3" sqref="F3"/>
      <selection pane="bottomRight" activeCell="G10" sqref="G10"/>
    </sheetView>
  </sheetViews>
  <sheetFormatPr baseColWidth="10" defaultRowHeight="14" outlineLevelCol="1" x14ac:dyDescent="0.15"/>
  <cols>
    <col min="1" max="1" width="20.6640625" style="63" customWidth="1"/>
    <col min="2" max="2" width="32.33203125" customWidth="1"/>
    <col min="3" max="3" width="17.5" customWidth="1"/>
    <col min="4" max="4" width="13.6640625" customWidth="1"/>
    <col min="5" max="5" width="12.6640625" customWidth="1"/>
    <col min="6" max="6" width="12.6640625" hidden="1" customWidth="1" outlineLevel="1"/>
    <col min="7" max="7" width="12.6640625" customWidth="1" collapsed="1"/>
    <col min="8" max="10" width="12.6640625" customWidth="1"/>
    <col min="11" max="20" width="12.6640625" hidden="1" customWidth="1" outlineLevel="1"/>
    <col min="21" max="21" width="12.5" hidden="1" customWidth="1" outlineLevel="1"/>
    <col min="22" max="49" width="12.6640625" hidden="1" customWidth="1" outlineLevel="1"/>
    <col min="50" max="50" width="12.6640625" style="7" hidden="1" customWidth="1" outlineLevel="1"/>
    <col min="51" max="58" width="12.6640625" hidden="1" customWidth="1" outlineLevel="1"/>
    <col min="59" max="59" width="6.5" customWidth="1" collapsed="1"/>
    <col min="60" max="61" width="16.5" customWidth="1"/>
    <col min="62" max="64" width="11.5" customWidth="1"/>
    <col min="65" max="65" width="11.5" style="36" customWidth="1"/>
    <col min="66" max="66" width="11.5" customWidth="1"/>
    <col min="67" max="67" width="19.83203125" customWidth="1"/>
  </cols>
  <sheetData>
    <row r="1" spans="1:69" s="1" customFormat="1" ht="12.5" customHeight="1" thickBot="1" x14ac:dyDescent="0.2">
      <c r="A1" s="61"/>
      <c r="B1" s="149" t="s">
        <v>134</v>
      </c>
      <c r="C1" s="58"/>
      <c r="D1" s="151" t="s">
        <v>130</v>
      </c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M1" s="35"/>
    </row>
    <row r="2" spans="1:69" s="1" customFormat="1" ht="50.25" customHeight="1" thickBot="1" x14ac:dyDescent="0.2">
      <c r="A2" s="61"/>
      <c r="B2" s="150"/>
      <c r="C2" s="59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104" t="s">
        <v>131</v>
      </c>
      <c r="BK2" s="105"/>
      <c r="BL2" s="105"/>
      <c r="BM2" s="105"/>
      <c r="BN2" s="105"/>
      <c r="BO2" s="106"/>
    </row>
    <row r="3" spans="1:69" s="16" customFormat="1" ht="13" customHeight="1" x14ac:dyDescent="0.15">
      <c r="A3" s="61"/>
      <c r="E3" s="17"/>
      <c r="F3" s="17">
        <v>45656</v>
      </c>
      <c r="G3" s="17">
        <f t="shared" ref="G3:AH3" si="0">F4+1</f>
        <v>45663</v>
      </c>
      <c r="H3" s="17">
        <f t="shared" si="0"/>
        <v>45670</v>
      </c>
      <c r="I3" s="17">
        <f t="shared" si="0"/>
        <v>45677</v>
      </c>
      <c r="J3" s="17">
        <f t="shared" si="0"/>
        <v>45684</v>
      </c>
      <c r="K3" s="17">
        <f t="shared" si="0"/>
        <v>45691</v>
      </c>
      <c r="L3" s="17">
        <f t="shared" si="0"/>
        <v>45698</v>
      </c>
      <c r="M3" s="17">
        <f t="shared" si="0"/>
        <v>45705</v>
      </c>
      <c r="N3" s="17">
        <f t="shared" si="0"/>
        <v>45712</v>
      </c>
      <c r="O3" s="17">
        <f t="shared" si="0"/>
        <v>45719</v>
      </c>
      <c r="P3" s="17">
        <f t="shared" si="0"/>
        <v>45726</v>
      </c>
      <c r="Q3" s="17">
        <f t="shared" si="0"/>
        <v>45733</v>
      </c>
      <c r="R3" s="17">
        <f t="shared" si="0"/>
        <v>45740</v>
      </c>
      <c r="S3" s="17">
        <f t="shared" si="0"/>
        <v>45747</v>
      </c>
      <c r="T3" s="17">
        <f t="shared" si="0"/>
        <v>45754</v>
      </c>
      <c r="U3" s="17">
        <f t="shared" si="0"/>
        <v>45761</v>
      </c>
      <c r="V3" s="17">
        <f t="shared" si="0"/>
        <v>45768</v>
      </c>
      <c r="W3" s="17">
        <f t="shared" si="0"/>
        <v>45775</v>
      </c>
      <c r="X3" s="17">
        <f t="shared" si="0"/>
        <v>45782</v>
      </c>
      <c r="Y3" s="17">
        <f t="shared" si="0"/>
        <v>45789</v>
      </c>
      <c r="Z3" s="17">
        <f t="shared" si="0"/>
        <v>45796</v>
      </c>
      <c r="AA3" s="17">
        <f>Z4+1</f>
        <v>45803</v>
      </c>
      <c r="AB3" s="17">
        <f t="shared" si="0"/>
        <v>45810</v>
      </c>
      <c r="AC3" s="17">
        <f t="shared" si="0"/>
        <v>45817</v>
      </c>
      <c r="AD3" s="17">
        <f t="shared" si="0"/>
        <v>45824</v>
      </c>
      <c r="AE3" s="17">
        <f t="shared" si="0"/>
        <v>45831</v>
      </c>
      <c r="AF3" s="17">
        <f t="shared" si="0"/>
        <v>45838</v>
      </c>
      <c r="AG3" s="17">
        <f t="shared" si="0"/>
        <v>45845</v>
      </c>
      <c r="AH3" s="17">
        <f t="shared" si="0"/>
        <v>45852</v>
      </c>
      <c r="AI3" s="17">
        <f>AH4+1</f>
        <v>45859</v>
      </c>
      <c r="AJ3" s="17">
        <f t="shared" ref="AJ3:BD3" si="1">AI4+1</f>
        <v>45866</v>
      </c>
      <c r="AK3" s="17">
        <f t="shared" si="1"/>
        <v>45873</v>
      </c>
      <c r="AL3" s="17">
        <f t="shared" si="1"/>
        <v>45880</v>
      </c>
      <c r="AM3" s="17">
        <f t="shared" si="1"/>
        <v>45887</v>
      </c>
      <c r="AN3" s="17">
        <f t="shared" si="1"/>
        <v>45894</v>
      </c>
      <c r="AO3" s="17">
        <f t="shared" si="1"/>
        <v>45901</v>
      </c>
      <c r="AP3" s="17">
        <f t="shared" si="1"/>
        <v>45908</v>
      </c>
      <c r="AQ3" s="17">
        <f t="shared" si="1"/>
        <v>45915</v>
      </c>
      <c r="AR3" s="17">
        <f t="shared" si="1"/>
        <v>45922</v>
      </c>
      <c r="AS3" s="17">
        <f t="shared" si="1"/>
        <v>45929</v>
      </c>
      <c r="AT3" s="17">
        <f t="shared" si="1"/>
        <v>45936</v>
      </c>
      <c r="AU3" s="17">
        <f t="shared" si="1"/>
        <v>45943</v>
      </c>
      <c r="AV3" s="17">
        <f t="shared" si="1"/>
        <v>45950</v>
      </c>
      <c r="AW3" s="17">
        <f t="shared" si="1"/>
        <v>45957</v>
      </c>
      <c r="AX3" s="17">
        <f t="shared" si="1"/>
        <v>45964</v>
      </c>
      <c r="AY3" s="17">
        <f t="shared" si="1"/>
        <v>45971</v>
      </c>
      <c r="AZ3" s="17">
        <f t="shared" si="1"/>
        <v>45978</v>
      </c>
      <c r="BA3" s="17">
        <f t="shared" si="1"/>
        <v>45985</v>
      </c>
      <c r="BB3" s="17">
        <f t="shared" si="1"/>
        <v>45992</v>
      </c>
      <c r="BC3" s="17">
        <f t="shared" si="1"/>
        <v>45999</v>
      </c>
      <c r="BD3" s="17">
        <f t="shared" si="1"/>
        <v>46006</v>
      </c>
      <c r="BE3" s="17">
        <f>BD4+1</f>
        <v>46013</v>
      </c>
      <c r="BF3" s="17">
        <f>BE4+1</f>
        <v>46020</v>
      </c>
      <c r="BG3" s="19"/>
      <c r="BJ3" s="126" t="s">
        <v>107</v>
      </c>
      <c r="BK3" s="127"/>
      <c r="BL3" s="127"/>
      <c r="BM3" s="127"/>
      <c r="BN3" s="127"/>
      <c r="BO3" s="128"/>
    </row>
    <row r="4" spans="1:69" s="16" customFormat="1" ht="13" customHeight="1" x14ac:dyDescent="0.15">
      <c r="A4" s="61"/>
      <c r="E4" s="17"/>
      <c r="F4" s="17">
        <f>F3+6</f>
        <v>45662</v>
      </c>
      <c r="G4" s="17">
        <f t="shared" ref="G4:BF4" si="2">G3+6</f>
        <v>45669</v>
      </c>
      <c r="H4" s="17">
        <f t="shared" si="2"/>
        <v>45676</v>
      </c>
      <c r="I4" s="17">
        <f t="shared" si="2"/>
        <v>45683</v>
      </c>
      <c r="J4" s="17">
        <f t="shared" si="2"/>
        <v>45690</v>
      </c>
      <c r="K4" s="17">
        <f t="shared" si="2"/>
        <v>45697</v>
      </c>
      <c r="L4" s="17">
        <f t="shared" si="2"/>
        <v>45704</v>
      </c>
      <c r="M4" s="17">
        <f t="shared" si="2"/>
        <v>45711</v>
      </c>
      <c r="N4" s="17">
        <f t="shared" si="2"/>
        <v>45718</v>
      </c>
      <c r="O4" s="17">
        <f t="shared" si="2"/>
        <v>45725</v>
      </c>
      <c r="P4" s="17">
        <f t="shared" si="2"/>
        <v>45732</v>
      </c>
      <c r="Q4" s="17">
        <f t="shared" si="2"/>
        <v>45739</v>
      </c>
      <c r="R4" s="17">
        <f t="shared" si="2"/>
        <v>45746</v>
      </c>
      <c r="S4" s="17">
        <f t="shared" si="2"/>
        <v>45753</v>
      </c>
      <c r="T4" s="17">
        <f t="shared" si="2"/>
        <v>45760</v>
      </c>
      <c r="U4" s="17">
        <f t="shared" si="2"/>
        <v>45767</v>
      </c>
      <c r="V4" s="17">
        <f t="shared" si="2"/>
        <v>45774</v>
      </c>
      <c r="W4" s="17">
        <f t="shared" si="2"/>
        <v>45781</v>
      </c>
      <c r="X4" s="17">
        <f t="shared" si="2"/>
        <v>45788</v>
      </c>
      <c r="Y4" s="17">
        <f t="shared" si="2"/>
        <v>45795</v>
      </c>
      <c r="Z4" s="17">
        <f t="shared" si="2"/>
        <v>45802</v>
      </c>
      <c r="AA4" s="17">
        <f t="shared" si="2"/>
        <v>45809</v>
      </c>
      <c r="AB4" s="17">
        <f t="shared" si="2"/>
        <v>45816</v>
      </c>
      <c r="AC4" s="17">
        <f t="shared" si="2"/>
        <v>45823</v>
      </c>
      <c r="AD4" s="17">
        <f t="shared" si="2"/>
        <v>45830</v>
      </c>
      <c r="AE4" s="17">
        <f t="shared" si="2"/>
        <v>45837</v>
      </c>
      <c r="AF4" s="17">
        <f t="shared" si="2"/>
        <v>45844</v>
      </c>
      <c r="AG4" s="17">
        <f t="shared" si="2"/>
        <v>45851</v>
      </c>
      <c r="AH4" s="17">
        <f t="shared" si="2"/>
        <v>45858</v>
      </c>
      <c r="AI4" s="17">
        <f t="shared" si="2"/>
        <v>45865</v>
      </c>
      <c r="AJ4" s="17">
        <f t="shared" si="2"/>
        <v>45872</v>
      </c>
      <c r="AK4" s="17">
        <f t="shared" si="2"/>
        <v>45879</v>
      </c>
      <c r="AL4" s="17">
        <f t="shared" si="2"/>
        <v>45886</v>
      </c>
      <c r="AM4" s="17">
        <f t="shared" si="2"/>
        <v>45893</v>
      </c>
      <c r="AN4" s="17">
        <f t="shared" si="2"/>
        <v>45900</v>
      </c>
      <c r="AO4" s="17">
        <f t="shared" si="2"/>
        <v>45907</v>
      </c>
      <c r="AP4" s="17">
        <f t="shared" si="2"/>
        <v>45914</v>
      </c>
      <c r="AQ4" s="17">
        <f t="shared" si="2"/>
        <v>45921</v>
      </c>
      <c r="AR4" s="17">
        <f t="shared" si="2"/>
        <v>45928</v>
      </c>
      <c r="AS4" s="17">
        <f t="shared" si="2"/>
        <v>45935</v>
      </c>
      <c r="AT4" s="17">
        <f t="shared" si="2"/>
        <v>45942</v>
      </c>
      <c r="AU4" s="17">
        <f t="shared" si="2"/>
        <v>45949</v>
      </c>
      <c r="AV4" s="17">
        <f t="shared" si="2"/>
        <v>45956</v>
      </c>
      <c r="AW4" s="17">
        <f t="shared" si="2"/>
        <v>45963</v>
      </c>
      <c r="AX4" s="17">
        <f t="shared" si="2"/>
        <v>45970</v>
      </c>
      <c r="AY4" s="17">
        <f t="shared" si="2"/>
        <v>45977</v>
      </c>
      <c r="AZ4" s="17">
        <f t="shared" si="2"/>
        <v>45984</v>
      </c>
      <c r="BA4" s="17">
        <f t="shared" si="2"/>
        <v>45991</v>
      </c>
      <c r="BB4" s="17">
        <f t="shared" si="2"/>
        <v>45998</v>
      </c>
      <c r="BC4" s="17">
        <f t="shared" si="2"/>
        <v>46005</v>
      </c>
      <c r="BD4" s="17">
        <f t="shared" si="2"/>
        <v>46012</v>
      </c>
      <c r="BE4" s="17">
        <f t="shared" si="2"/>
        <v>46019</v>
      </c>
      <c r="BF4" s="17">
        <f t="shared" si="2"/>
        <v>46026</v>
      </c>
      <c r="BG4" s="19"/>
      <c r="BJ4" s="126"/>
      <c r="BK4" s="127"/>
      <c r="BL4" s="127"/>
      <c r="BM4" s="127"/>
      <c r="BN4" s="127"/>
      <c r="BO4" s="128"/>
    </row>
    <row r="5" spans="1:69" s="16" customFormat="1" ht="13" customHeight="1" x14ac:dyDescent="0.15">
      <c r="A5" s="61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9"/>
      <c r="BJ5" s="126"/>
      <c r="BK5" s="127"/>
      <c r="BL5" s="127"/>
      <c r="BM5" s="127"/>
      <c r="BN5" s="127"/>
      <c r="BO5" s="128"/>
    </row>
    <row r="6" spans="1:69" s="1" customFormat="1" ht="8.5" customHeight="1" thickBot="1" x14ac:dyDescent="0.25">
      <c r="A6" s="61"/>
      <c r="B6" s="4"/>
      <c r="C6" s="4"/>
      <c r="D6" s="4"/>
      <c r="E6" s="9"/>
      <c r="F6" s="9">
        <f t="shared" ref="F6:AK6" ca="1" si="3">IF(AND(TODAY()&gt;=F3,TODAY()&lt;=F4),1,0)</f>
        <v>0</v>
      </c>
      <c r="G6" s="9">
        <f t="shared" ca="1" si="3"/>
        <v>0</v>
      </c>
      <c r="H6" s="9">
        <f t="shared" ca="1" si="3"/>
        <v>0</v>
      </c>
      <c r="I6" s="9">
        <f t="shared" ca="1" si="3"/>
        <v>0</v>
      </c>
      <c r="J6" s="9">
        <f t="shared" ca="1" si="3"/>
        <v>0</v>
      </c>
      <c r="K6" s="9">
        <f t="shared" ca="1" si="3"/>
        <v>0</v>
      </c>
      <c r="L6" s="9">
        <f t="shared" ca="1" si="3"/>
        <v>0</v>
      </c>
      <c r="M6" s="9">
        <f t="shared" ca="1" si="3"/>
        <v>1</v>
      </c>
      <c r="N6" s="9">
        <f t="shared" ca="1" si="3"/>
        <v>0</v>
      </c>
      <c r="O6" s="9">
        <f t="shared" ca="1" si="3"/>
        <v>0</v>
      </c>
      <c r="P6" s="9">
        <f t="shared" ca="1" si="3"/>
        <v>0</v>
      </c>
      <c r="Q6" s="9">
        <f t="shared" ca="1" si="3"/>
        <v>0</v>
      </c>
      <c r="R6" s="9">
        <f t="shared" ca="1" si="3"/>
        <v>0</v>
      </c>
      <c r="S6" s="9">
        <f t="shared" ca="1" si="3"/>
        <v>0</v>
      </c>
      <c r="T6" s="9">
        <f t="shared" ca="1" si="3"/>
        <v>0</v>
      </c>
      <c r="U6" s="9">
        <f t="shared" ca="1" si="3"/>
        <v>0</v>
      </c>
      <c r="V6" s="9">
        <f t="shared" ca="1" si="3"/>
        <v>0</v>
      </c>
      <c r="W6" s="9">
        <f t="shared" ca="1" si="3"/>
        <v>0</v>
      </c>
      <c r="X6" s="9">
        <f t="shared" ca="1" si="3"/>
        <v>0</v>
      </c>
      <c r="Y6" s="9">
        <f t="shared" ca="1" si="3"/>
        <v>0</v>
      </c>
      <c r="Z6" s="9">
        <f t="shared" ca="1" si="3"/>
        <v>0</v>
      </c>
      <c r="AA6" s="9">
        <f t="shared" ca="1" si="3"/>
        <v>0</v>
      </c>
      <c r="AB6" s="9">
        <f t="shared" ca="1" si="3"/>
        <v>0</v>
      </c>
      <c r="AC6" s="9">
        <f t="shared" ca="1" si="3"/>
        <v>0</v>
      </c>
      <c r="AD6" s="9">
        <f t="shared" ca="1" si="3"/>
        <v>0</v>
      </c>
      <c r="AE6" s="9">
        <f t="shared" ca="1" si="3"/>
        <v>0</v>
      </c>
      <c r="AF6" s="9">
        <f t="shared" ca="1" si="3"/>
        <v>0</v>
      </c>
      <c r="AG6" s="9">
        <f t="shared" ca="1" si="3"/>
        <v>0</v>
      </c>
      <c r="AH6" s="9">
        <f t="shared" ca="1" si="3"/>
        <v>0</v>
      </c>
      <c r="AI6" s="14">
        <f t="shared" ca="1" si="3"/>
        <v>0</v>
      </c>
      <c r="AJ6" s="14">
        <f t="shared" ca="1" si="3"/>
        <v>0</v>
      </c>
      <c r="AK6" s="14">
        <f t="shared" ca="1" si="3"/>
        <v>0</v>
      </c>
      <c r="AL6" s="14">
        <f t="shared" ref="AL6:BD6" ca="1" si="4">IF(AND(TODAY()&gt;=AL3,TODAY()&lt;=AL4),1,0)</f>
        <v>0</v>
      </c>
      <c r="AM6" s="14">
        <f t="shared" ca="1" si="4"/>
        <v>0</v>
      </c>
      <c r="AN6" s="14">
        <f t="shared" ca="1" si="4"/>
        <v>0</v>
      </c>
      <c r="AO6" s="14">
        <f t="shared" ca="1" si="4"/>
        <v>0</v>
      </c>
      <c r="AP6" s="14">
        <f t="shared" ca="1" si="4"/>
        <v>0</v>
      </c>
      <c r="AQ6" s="14">
        <f t="shared" ca="1" si="4"/>
        <v>0</v>
      </c>
      <c r="AR6" s="14">
        <f t="shared" ca="1" si="4"/>
        <v>0</v>
      </c>
      <c r="AS6" s="14">
        <f t="shared" ca="1" si="4"/>
        <v>0</v>
      </c>
      <c r="AT6" s="14">
        <f t="shared" ca="1" si="4"/>
        <v>0</v>
      </c>
      <c r="AU6" s="14">
        <f t="shared" ca="1" si="4"/>
        <v>0</v>
      </c>
      <c r="AV6" s="14">
        <f t="shared" ca="1" si="4"/>
        <v>0</v>
      </c>
      <c r="AW6" s="14">
        <f t="shared" ca="1" si="4"/>
        <v>0</v>
      </c>
      <c r="AX6" s="14">
        <f t="shared" ca="1" si="4"/>
        <v>0</v>
      </c>
      <c r="AY6" s="14">
        <f t="shared" ca="1" si="4"/>
        <v>0</v>
      </c>
      <c r="AZ6" s="14">
        <f t="shared" ca="1" si="4"/>
        <v>0</v>
      </c>
      <c r="BA6" s="14">
        <f t="shared" ca="1" si="4"/>
        <v>0</v>
      </c>
      <c r="BB6" s="14">
        <f t="shared" ca="1" si="4"/>
        <v>0</v>
      </c>
      <c r="BC6" s="14">
        <f t="shared" ca="1" si="4"/>
        <v>0</v>
      </c>
      <c r="BD6" s="14">
        <f t="shared" ca="1" si="4"/>
        <v>0</v>
      </c>
      <c r="BE6" s="14"/>
      <c r="BF6" s="14">
        <f ca="1">IF(AND(TODAY()&gt;=BF3,TODAY()&lt;=BF4),1,0)</f>
        <v>0</v>
      </c>
      <c r="BG6" s="13"/>
      <c r="BH6" s="12"/>
      <c r="BI6" s="12"/>
      <c r="BJ6" s="129"/>
      <c r="BK6" s="130"/>
      <c r="BL6" s="130"/>
      <c r="BM6" s="130"/>
      <c r="BN6" s="130"/>
      <c r="BO6" s="131"/>
    </row>
    <row r="7" spans="1:69" s="2" customFormat="1" ht="130.5" customHeight="1" thickBot="1" x14ac:dyDescent="0.2">
      <c r="A7" s="62" t="s">
        <v>119</v>
      </c>
      <c r="B7" s="48"/>
      <c r="C7" s="45" t="s">
        <v>81</v>
      </c>
      <c r="D7" s="24" t="s">
        <v>83</v>
      </c>
      <c r="E7" s="40">
        <v>2024</v>
      </c>
      <c r="F7" s="79" t="s">
        <v>38</v>
      </c>
      <c r="G7" s="30" t="s">
        <v>0</v>
      </c>
      <c r="H7" s="30" t="s">
        <v>1</v>
      </c>
      <c r="I7" s="30" t="s">
        <v>2</v>
      </c>
      <c r="J7" s="30" t="s">
        <v>3</v>
      </c>
      <c r="K7" s="30" t="s">
        <v>4</v>
      </c>
      <c r="L7" s="30" t="s">
        <v>5</v>
      </c>
      <c r="M7" s="30" t="s">
        <v>6</v>
      </c>
      <c r="N7" s="30" t="s">
        <v>7</v>
      </c>
      <c r="O7" s="30" t="s">
        <v>8</v>
      </c>
      <c r="P7" s="30" t="s">
        <v>9</v>
      </c>
      <c r="Q7" s="30" t="s">
        <v>10</v>
      </c>
      <c r="R7" s="30" t="s">
        <v>55</v>
      </c>
      <c r="S7" s="30" t="s">
        <v>34</v>
      </c>
      <c r="T7" s="30" t="s">
        <v>56</v>
      </c>
      <c r="U7" s="30" t="s">
        <v>11</v>
      </c>
      <c r="V7" s="30" t="s">
        <v>57</v>
      </c>
      <c r="W7" s="30" t="s">
        <v>58</v>
      </c>
      <c r="X7" s="30" t="s">
        <v>59</v>
      </c>
      <c r="Y7" s="30" t="s">
        <v>60</v>
      </c>
      <c r="Z7" s="30" t="s">
        <v>61</v>
      </c>
      <c r="AA7" s="30" t="s">
        <v>62</v>
      </c>
      <c r="AB7" s="30" t="s">
        <v>63</v>
      </c>
      <c r="AC7" s="30" t="s">
        <v>64</v>
      </c>
      <c r="AD7" s="30" t="s">
        <v>12</v>
      </c>
      <c r="AE7" s="30" t="s">
        <v>13</v>
      </c>
      <c r="AF7" s="30" t="s">
        <v>14</v>
      </c>
      <c r="AG7" s="30" t="s">
        <v>51</v>
      </c>
      <c r="AH7" s="30" t="s">
        <v>36</v>
      </c>
      <c r="AI7" s="30" t="s">
        <v>15</v>
      </c>
      <c r="AJ7" s="26" t="s">
        <v>16</v>
      </c>
      <c r="AK7" s="30" t="s">
        <v>17</v>
      </c>
      <c r="AL7" s="30" t="s">
        <v>65</v>
      </c>
      <c r="AM7" s="30" t="s">
        <v>18</v>
      </c>
      <c r="AN7" s="30" t="s">
        <v>19</v>
      </c>
      <c r="AO7" s="30" t="s">
        <v>20</v>
      </c>
      <c r="AP7" s="30" t="s">
        <v>21</v>
      </c>
      <c r="AQ7" s="30" t="s">
        <v>22</v>
      </c>
      <c r="AR7" s="30" t="s">
        <v>23</v>
      </c>
      <c r="AS7" s="30" t="s">
        <v>24</v>
      </c>
      <c r="AT7" s="30" t="s">
        <v>25</v>
      </c>
      <c r="AU7" s="30" t="s">
        <v>26</v>
      </c>
      <c r="AV7" s="30" t="s">
        <v>27</v>
      </c>
      <c r="AW7" s="30" t="s">
        <v>52</v>
      </c>
      <c r="AX7" s="30" t="s">
        <v>39</v>
      </c>
      <c r="AY7" s="30" t="s">
        <v>66</v>
      </c>
      <c r="AZ7" s="30" t="s">
        <v>28</v>
      </c>
      <c r="BA7" s="30" t="s">
        <v>29</v>
      </c>
      <c r="BB7" s="30" t="s">
        <v>30</v>
      </c>
      <c r="BC7" s="30" t="s">
        <v>31</v>
      </c>
      <c r="BD7" s="30" t="s">
        <v>32</v>
      </c>
      <c r="BE7" s="30" t="s">
        <v>67</v>
      </c>
      <c r="BF7" s="78" t="s">
        <v>133</v>
      </c>
      <c r="BG7" s="37"/>
      <c r="BH7" s="37"/>
      <c r="BI7" s="158"/>
      <c r="BJ7" s="39" t="s">
        <v>147</v>
      </c>
      <c r="BK7" s="88" t="s">
        <v>148</v>
      </c>
      <c r="BL7" s="88" t="s">
        <v>105</v>
      </c>
      <c r="BM7" s="88" t="s">
        <v>116</v>
      </c>
      <c r="BN7" s="88" t="s">
        <v>109</v>
      </c>
      <c r="BO7" s="89" t="s">
        <v>108</v>
      </c>
      <c r="BQ7" s="68" t="s">
        <v>120</v>
      </c>
    </row>
    <row r="8" spans="1:69" s="1" customFormat="1" ht="24.75" customHeight="1" x14ac:dyDescent="0.2">
      <c r="A8" s="62"/>
      <c r="B8" s="10" t="s">
        <v>104</v>
      </c>
      <c r="C8" s="46" t="s">
        <v>106</v>
      </c>
      <c r="D8" s="33">
        <v>39</v>
      </c>
      <c r="E8" s="73">
        <v>0</v>
      </c>
      <c r="F8" s="31">
        <v>39</v>
      </c>
      <c r="G8" s="31">
        <v>42</v>
      </c>
      <c r="H8" s="31">
        <v>42</v>
      </c>
      <c r="I8" s="31">
        <v>42</v>
      </c>
      <c r="J8" s="31">
        <v>42</v>
      </c>
      <c r="K8" s="31">
        <v>39</v>
      </c>
      <c r="L8" s="31">
        <v>39</v>
      </c>
      <c r="M8" s="31">
        <v>39</v>
      </c>
      <c r="N8" s="31">
        <v>39</v>
      </c>
      <c r="O8" s="31">
        <v>39</v>
      </c>
      <c r="P8" s="31">
        <v>39</v>
      </c>
      <c r="Q8" s="31">
        <v>39</v>
      </c>
      <c r="R8" s="31">
        <v>39</v>
      </c>
      <c r="S8" s="31">
        <v>39</v>
      </c>
      <c r="T8" s="31">
        <v>39</v>
      </c>
      <c r="U8" s="31">
        <v>39</v>
      </c>
      <c r="V8" s="31">
        <v>39</v>
      </c>
      <c r="W8" s="31">
        <v>39</v>
      </c>
      <c r="X8" s="31">
        <v>39</v>
      </c>
      <c r="Y8" s="31">
        <v>39</v>
      </c>
      <c r="Z8" s="31">
        <v>39</v>
      </c>
      <c r="AA8" s="31">
        <v>39</v>
      </c>
      <c r="AB8" s="31">
        <v>39</v>
      </c>
      <c r="AC8" s="31">
        <v>39</v>
      </c>
      <c r="AD8" s="31">
        <v>39</v>
      </c>
      <c r="AE8" s="31">
        <v>39</v>
      </c>
      <c r="AF8" s="31">
        <v>39</v>
      </c>
      <c r="AG8" s="31">
        <v>39</v>
      </c>
      <c r="AH8" s="31">
        <v>39</v>
      </c>
      <c r="AI8" s="31">
        <v>39</v>
      </c>
      <c r="AJ8" s="31">
        <v>39</v>
      </c>
      <c r="AK8" s="31">
        <v>39</v>
      </c>
      <c r="AL8" s="31">
        <v>39</v>
      </c>
      <c r="AM8" s="31">
        <v>39</v>
      </c>
      <c r="AN8" s="31">
        <v>39</v>
      </c>
      <c r="AO8" s="31">
        <v>39</v>
      </c>
      <c r="AP8" s="31">
        <v>39</v>
      </c>
      <c r="AQ8" s="31">
        <v>39</v>
      </c>
      <c r="AR8" s="31">
        <v>39</v>
      </c>
      <c r="AS8" s="31">
        <v>39</v>
      </c>
      <c r="AT8" s="31">
        <v>39</v>
      </c>
      <c r="AU8" s="31">
        <v>39</v>
      </c>
      <c r="AV8" s="31">
        <v>39</v>
      </c>
      <c r="AW8" s="31">
        <v>39</v>
      </c>
      <c r="AX8" s="31">
        <v>39</v>
      </c>
      <c r="AY8" s="31">
        <v>39</v>
      </c>
      <c r="AZ8" s="31">
        <v>39</v>
      </c>
      <c r="BA8" s="31">
        <v>39</v>
      </c>
      <c r="BB8" s="31">
        <v>39</v>
      </c>
      <c r="BC8" s="31">
        <v>39</v>
      </c>
      <c r="BD8" s="31">
        <v>39</v>
      </c>
      <c r="BE8" s="31">
        <v>39</v>
      </c>
      <c r="BF8" s="75">
        <v>39</v>
      </c>
      <c r="BG8" s="12"/>
      <c r="BH8" s="152" t="str">
        <f>+B8</f>
        <v>ALVES Sylvie</v>
      </c>
      <c r="BI8" s="153"/>
      <c r="BJ8" s="107">
        <f>'detail par semaine'!BM5+'detail par semaine'!BZ5</f>
        <v>12</v>
      </c>
      <c r="BK8" s="65">
        <f>'detail par semaine'!CZ5+'detail par semaine'!CM5</f>
        <v>0</v>
      </c>
      <c r="BL8" s="65">
        <f>'detail par semaine'!DD5</f>
        <v>15</v>
      </c>
      <c r="BM8" s="65"/>
      <c r="BN8" s="65">
        <f>'detail par semaine'!DE5</f>
        <v>0</v>
      </c>
      <c r="BO8" s="67">
        <f t="shared" ref="BO8:BO48" si="5">BL8+E8+BN8-BM8</f>
        <v>15</v>
      </c>
      <c r="BQ8" s="69">
        <f>(52-5)*2+BJ8+BK8</f>
        <v>106</v>
      </c>
    </row>
    <row r="9" spans="1:69" s="1" customFormat="1" ht="24.75" customHeight="1" x14ac:dyDescent="0.2">
      <c r="A9" s="62"/>
      <c r="B9" s="10" t="s">
        <v>125</v>
      </c>
      <c r="C9" s="41" t="s">
        <v>82</v>
      </c>
      <c r="D9" s="56">
        <v>37</v>
      </c>
      <c r="E9" s="77">
        <v>5.625</v>
      </c>
      <c r="F9" s="23">
        <v>33</v>
      </c>
      <c r="G9" s="23">
        <v>41.25</v>
      </c>
      <c r="H9" s="23">
        <v>33</v>
      </c>
      <c r="I9" s="23">
        <v>41</v>
      </c>
      <c r="J9" s="23">
        <v>33</v>
      </c>
      <c r="K9" s="23">
        <v>41</v>
      </c>
      <c r="L9" s="23">
        <v>33</v>
      </c>
      <c r="M9" s="23">
        <v>41</v>
      </c>
      <c r="N9" s="23">
        <v>33</v>
      </c>
      <c r="O9" s="23">
        <v>41</v>
      </c>
      <c r="P9" s="23">
        <v>33</v>
      </c>
      <c r="Q9" s="23">
        <v>41</v>
      </c>
      <c r="R9" s="23">
        <v>33</v>
      </c>
      <c r="S9" s="23">
        <v>41</v>
      </c>
      <c r="T9" s="23">
        <v>33</v>
      </c>
      <c r="U9" s="23">
        <v>41</v>
      </c>
      <c r="V9" s="23">
        <v>33</v>
      </c>
      <c r="W9" s="23">
        <v>41</v>
      </c>
      <c r="X9" s="23">
        <v>33</v>
      </c>
      <c r="Y9" s="23">
        <v>41</v>
      </c>
      <c r="Z9" s="23">
        <v>33</v>
      </c>
      <c r="AA9" s="23">
        <v>41</v>
      </c>
      <c r="AB9" s="23">
        <v>33</v>
      </c>
      <c r="AC9" s="23">
        <v>41</v>
      </c>
      <c r="AD9" s="23">
        <v>33</v>
      </c>
      <c r="AE9" s="23">
        <v>41</v>
      </c>
      <c r="AF9" s="23">
        <v>33</v>
      </c>
      <c r="AG9" s="23">
        <v>41</v>
      </c>
      <c r="AH9" s="23">
        <v>33</v>
      </c>
      <c r="AI9" s="23">
        <v>41</v>
      </c>
      <c r="AJ9" s="23">
        <v>33</v>
      </c>
      <c r="AK9" s="23">
        <v>41</v>
      </c>
      <c r="AL9" s="23">
        <v>33</v>
      </c>
      <c r="AM9" s="23">
        <v>41</v>
      </c>
      <c r="AN9" s="23">
        <v>33</v>
      </c>
      <c r="AO9" s="23">
        <v>41</v>
      </c>
      <c r="AP9" s="23">
        <v>33</v>
      </c>
      <c r="AQ9" s="23">
        <v>41</v>
      </c>
      <c r="AR9" s="23">
        <v>33</v>
      </c>
      <c r="AS9" s="23">
        <v>41</v>
      </c>
      <c r="AT9" s="23">
        <v>33</v>
      </c>
      <c r="AU9" s="23">
        <v>41</v>
      </c>
      <c r="AV9" s="23">
        <v>33</v>
      </c>
      <c r="AW9" s="23">
        <v>41</v>
      </c>
      <c r="AX9" s="23">
        <v>33</v>
      </c>
      <c r="AY9" s="23">
        <v>41</v>
      </c>
      <c r="AZ9" s="23">
        <v>33</v>
      </c>
      <c r="BA9" s="23">
        <v>41</v>
      </c>
      <c r="BB9" s="23">
        <v>33</v>
      </c>
      <c r="BC9" s="23">
        <v>41</v>
      </c>
      <c r="BD9" s="23">
        <v>33</v>
      </c>
      <c r="BE9" s="15">
        <v>41</v>
      </c>
      <c r="BF9" s="76">
        <v>33</v>
      </c>
      <c r="BG9" s="12"/>
      <c r="BH9" s="145" t="s">
        <v>125</v>
      </c>
      <c r="BI9" s="146"/>
      <c r="BJ9" s="107">
        <f>'detail par semaine'!BM6+'detail par semaine'!BZ6</f>
        <v>0.25</v>
      </c>
      <c r="BK9" s="65">
        <f>'detail par semaine'!CZ6+'detail par semaine'!CM6</f>
        <v>0</v>
      </c>
      <c r="BL9" s="65">
        <f>'detail par semaine'!DD6</f>
        <v>0.3125</v>
      </c>
      <c r="BM9" s="65"/>
      <c r="BN9" s="65">
        <f>'detail par semaine'!DE6</f>
        <v>-33</v>
      </c>
      <c r="BO9" s="67">
        <f t="shared" si="5"/>
        <v>-27.0625</v>
      </c>
      <c r="BQ9" s="70">
        <f t="shared" ref="BQ9:BQ48" si="6">(52-5)*2+BJ9+BK9</f>
        <v>94.25</v>
      </c>
    </row>
    <row r="10" spans="1:69" s="1" customFormat="1" ht="25.25" customHeight="1" x14ac:dyDescent="0.2">
      <c r="A10" s="62"/>
      <c r="B10" s="10" t="s">
        <v>118</v>
      </c>
      <c r="C10" s="41" t="s">
        <v>82</v>
      </c>
      <c r="D10" s="32">
        <v>37</v>
      </c>
      <c r="E10" s="38">
        <v>2.88</v>
      </c>
      <c r="F10" s="23">
        <v>32.25</v>
      </c>
      <c r="G10" s="23">
        <v>41</v>
      </c>
      <c r="H10" s="23">
        <v>33</v>
      </c>
      <c r="I10" s="23">
        <v>41</v>
      </c>
      <c r="J10" s="23">
        <v>33</v>
      </c>
      <c r="K10" s="23">
        <v>41</v>
      </c>
      <c r="L10" s="23">
        <v>33</v>
      </c>
      <c r="M10" s="23">
        <v>41</v>
      </c>
      <c r="N10" s="23">
        <v>33</v>
      </c>
      <c r="O10" s="23">
        <v>41</v>
      </c>
      <c r="P10" s="23">
        <v>33</v>
      </c>
      <c r="Q10" s="23">
        <v>41</v>
      </c>
      <c r="R10" s="23">
        <v>33</v>
      </c>
      <c r="S10" s="23">
        <v>41</v>
      </c>
      <c r="T10" s="23">
        <v>33</v>
      </c>
      <c r="U10" s="23">
        <v>41</v>
      </c>
      <c r="V10" s="23">
        <v>33</v>
      </c>
      <c r="W10" s="23">
        <v>41</v>
      </c>
      <c r="X10" s="23">
        <v>33</v>
      </c>
      <c r="Y10" s="23">
        <v>41</v>
      </c>
      <c r="Z10" s="23">
        <v>33</v>
      </c>
      <c r="AA10" s="23">
        <v>41</v>
      </c>
      <c r="AB10" s="23">
        <v>33</v>
      </c>
      <c r="AC10" s="23">
        <v>41</v>
      </c>
      <c r="AD10" s="23">
        <v>33</v>
      </c>
      <c r="AE10" s="23">
        <v>41</v>
      </c>
      <c r="AF10" s="23">
        <v>33</v>
      </c>
      <c r="AG10" s="23">
        <v>41</v>
      </c>
      <c r="AH10" s="23">
        <v>33</v>
      </c>
      <c r="AI10" s="23">
        <v>41</v>
      </c>
      <c r="AJ10" s="23">
        <v>33</v>
      </c>
      <c r="AK10" s="23">
        <v>41</v>
      </c>
      <c r="AL10" s="23">
        <v>33</v>
      </c>
      <c r="AM10" s="23">
        <v>41</v>
      </c>
      <c r="AN10" s="23">
        <v>33</v>
      </c>
      <c r="AO10" s="23">
        <v>41</v>
      </c>
      <c r="AP10" s="23">
        <v>33</v>
      </c>
      <c r="AQ10" s="23">
        <v>41</v>
      </c>
      <c r="AR10" s="23">
        <v>33</v>
      </c>
      <c r="AS10" s="23">
        <v>41</v>
      </c>
      <c r="AT10" s="23">
        <v>33</v>
      </c>
      <c r="AU10" s="23">
        <v>41</v>
      </c>
      <c r="AV10" s="23">
        <v>33</v>
      </c>
      <c r="AW10" s="23">
        <v>41</v>
      </c>
      <c r="AX10" s="23">
        <v>33</v>
      </c>
      <c r="AY10" s="23">
        <v>41</v>
      </c>
      <c r="AZ10" s="23">
        <v>33</v>
      </c>
      <c r="BA10" s="23">
        <v>41</v>
      </c>
      <c r="BB10" s="23">
        <v>33</v>
      </c>
      <c r="BC10" s="23">
        <v>41</v>
      </c>
      <c r="BD10" s="23">
        <v>33</v>
      </c>
      <c r="BE10" s="15">
        <v>41</v>
      </c>
      <c r="BF10" s="76">
        <v>33</v>
      </c>
      <c r="BG10" s="12"/>
      <c r="BH10" s="145" t="s">
        <v>118</v>
      </c>
      <c r="BI10" s="146"/>
      <c r="BJ10" s="107">
        <f>'detail par semaine'!BM7+'detail par semaine'!BZ7</f>
        <v>0</v>
      </c>
      <c r="BK10" s="65">
        <f>'detail par semaine'!CZ7+'detail par semaine'!CM7</f>
        <v>0</v>
      </c>
      <c r="BL10" s="65">
        <f>'detail par semaine'!DD7</f>
        <v>0</v>
      </c>
      <c r="BM10" s="65"/>
      <c r="BN10" s="65">
        <f>'detail par semaine'!DE7</f>
        <v>-33</v>
      </c>
      <c r="BO10" s="67">
        <f t="shared" si="5"/>
        <v>-30.12</v>
      </c>
      <c r="BQ10" s="69">
        <f t="shared" si="6"/>
        <v>94</v>
      </c>
    </row>
    <row r="11" spans="1:69" s="1" customFormat="1" ht="25.25" customHeight="1" x14ac:dyDescent="0.2">
      <c r="A11" s="62"/>
      <c r="B11" s="10" t="s">
        <v>40</v>
      </c>
      <c r="C11" s="41" t="s">
        <v>82</v>
      </c>
      <c r="D11" s="32">
        <v>37</v>
      </c>
      <c r="E11" s="38">
        <v>0</v>
      </c>
      <c r="F11" s="23">
        <v>40</v>
      </c>
      <c r="G11" s="23">
        <v>33</v>
      </c>
      <c r="H11" s="23">
        <v>41</v>
      </c>
      <c r="I11" s="23">
        <v>33</v>
      </c>
      <c r="J11" s="23">
        <v>41</v>
      </c>
      <c r="K11" s="23">
        <v>33</v>
      </c>
      <c r="L11" s="23">
        <v>41</v>
      </c>
      <c r="M11" s="23">
        <v>33</v>
      </c>
      <c r="N11" s="23">
        <v>41</v>
      </c>
      <c r="O11" s="23">
        <v>33</v>
      </c>
      <c r="P11" s="23">
        <v>41</v>
      </c>
      <c r="Q11" s="23">
        <v>33</v>
      </c>
      <c r="R11" s="23">
        <v>41</v>
      </c>
      <c r="S11" s="23">
        <v>33</v>
      </c>
      <c r="T11" s="23">
        <v>41</v>
      </c>
      <c r="U11" s="23">
        <v>33</v>
      </c>
      <c r="V11" s="23">
        <v>41</v>
      </c>
      <c r="W11" s="23">
        <v>33</v>
      </c>
      <c r="X11" s="23">
        <v>41</v>
      </c>
      <c r="Y11" s="23">
        <v>33</v>
      </c>
      <c r="Z11" s="23">
        <v>41</v>
      </c>
      <c r="AA11" s="23">
        <v>33</v>
      </c>
      <c r="AB11" s="23">
        <v>41</v>
      </c>
      <c r="AC11" s="23">
        <v>33</v>
      </c>
      <c r="AD11" s="23">
        <v>41</v>
      </c>
      <c r="AE11" s="23">
        <v>33</v>
      </c>
      <c r="AF11" s="23">
        <v>41</v>
      </c>
      <c r="AG11" s="23">
        <v>33</v>
      </c>
      <c r="AH11" s="23">
        <v>41</v>
      </c>
      <c r="AI11" s="23">
        <v>33</v>
      </c>
      <c r="AJ11" s="23">
        <v>41</v>
      </c>
      <c r="AK11" s="23">
        <v>33</v>
      </c>
      <c r="AL11" s="23">
        <v>41</v>
      </c>
      <c r="AM11" s="23">
        <v>33</v>
      </c>
      <c r="AN11" s="23">
        <v>41</v>
      </c>
      <c r="AO11" s="23">
        <v>33</v>
      </c>
      <c r="AP11" s="23">
        <v>41</v>
      </c>
      <c r="AQ11" s="23">
        <v>33</v>
      </c>
      <c r="AR11" s="23">
        <v>41</v>
      </c>
      <c r="AS11" s="23">
        <v>33</v>
      </c>
      <c r="AT11" s="23">
        <v>41</v>
      </c>
      <c r="AU11" s="23">
        <v>33</v>
      </c>
      <c r="AV11" s="23">
        <v>41</v>
      </c>
      <c r="AW11" s="23">
        <v>33</v>
      </c>
      <c r="AX11" s="23">
        <v>41</v>
      </c>
      <c r="AY11" s="23">
        <v>33</v>
      </c>
      <c r="AZ11" s="23">
        <v>41</v>
      </c>
      <c r="BA11" s="23">
        <v>33</v>
      </c>
      <c r="BB11" s="23">
        <v>41</v>
      </c>
      <c r="BC11" s="23">
        <v>33</v>
      </c>
      <c r="BD11" s="23">
        <v>41</v>
      </c>
      <c r="BE11" s="23">
        <v>33</v>
      </c>
      <c r="BF11" s="76">
        <v>41</v>
      </c>
      <c r="BG11" s="12"/>
      <c r="BH11" s="143" t="s">
        <v>40</v>
      </c>
      <c r="BI11" s="144"/>
      <c r="BJ11" s="107">
        <f>'detail par semaine'!BM8+'detail par semaine'!BZ8</f>
        <v>0</v>
      </c>
      <c r="BK11" s="65">
        <f>'detail par semaine'!CZ8+'detail par semaine'!CM8</f>
        <v>0</v>
      </c>
      <c r="BL11" s="65">
        <f>'detail par semaine'!DD8</f>
        <v>0</v>
      </c>
      <c r="BM11" s="65"/>
      <c r="BN11" s="65">
        <f>'detail par semaine'!DE8</f>
        <v>-41</v>
      </c>
      <c r="BO11" s="67">
        <f t="shared" si="5"/>
        <v>-41</v>
      </c>
      <c r="BQ11" s="70">
        <f t="shared" si="6"/>
        <v>94</v>
      </c>
    </row>
    <row r="12" spans="1:69" s="1" customFormat="1" ht="25.25" customHeight="1" x14ac:dyDescent="0.2">
      <c r="A12" s="62"/>
      <c r="B12" s="10" t="s">
        <v>78</v>
      </c>
      <c r="C12" s="41" t="s">
        <v>82</v>
      </c>
      <c r="D12" s="32">
        <v>37</v>
      </c>
      <c r="E12" s="38">
        <v>6.3249999999999886</v>
      </c>
      <c r="F12" s="23">
        <v>8.5</v>
      </c>
      <c r="G12" s="23">
        <v>41</v>
      </c>
      <c r="H12" s="23">
        <v>33</v>
      </c>
      <c r="I12" s="23">
        <v>41</v>
      </c>
      <c r="J12" s="23">
        <v>33</v>
      </c>
      <c r="K12" s="23">
        <v>41</v>
      </c>
      <c r="L12" s="23">
        <v>33</v>
      </c>
      <c r="M12" s="23">
        <v>41</v>
      </c>
      <c r="N12" s="23">
        <v>33</v>
      </c>
      <c r="O12" s="23">
        <v>41</v>
      </c>
      <c r="P12" s="23">
        <v>33</v>
      </c>
      <c r="Q12" s="23">
        <v>41</v>
      </c>
      <c r="R12" s="23">
        <v>33</v>
      </c>
      <c r="S12" s="23">
        <v>41</v>
      </c>
      <c r="T12" s="23">
        <v>33</v>
      </c>
      <c r="U12" s="23">
        <v>41</v>
      </c>
      <c r="V12" s="23">
        <v>33</v>
      </c>
      <c r="W12" s="23">
        <v>41</v>
      </c>
      <c r="X12" s="23">
        <v>33</v>
      </c>
      <c r="Y12" s="23">
        <v>41</v>
      </c>
      <c r="Z12" s="23">
        <v>33</v>
      </c>
      <c r="AA12" s="23">
        <v>41</v>
      </c>
      <c r="AB12" s="23">
        <v>33</v>
      </c>
      <c r="AC12" s="23">
        <v>41</v>
      </c>
      <c r="AD12" s="23">
        <v>33</v>
      </c>
      <c r="AE12" s="23">
        <v>41</v>
      </c>
      <c r="AF12" s="23">
        <v>33</v>
      </c>
      <c r="AG12" s="23">
        <v>41</v>
      </c>
      <c r="AH12" s="23">
        <v>33</v>
      </c>
      <c r="AI12" s="23">
        <v>41</v>
      </c>
      <c r="AJ12" s="23">
        <v>33</v>
      </c>
      <c r="AK12" s="23">
        <v>41</v>
      </c>
      <c r="AL12" s="23">
        <v>33</v>
      </c>
      <c r="AM12" s="23">
        <v>41</v>
      </c>
      <c r="AN12" s="23">
        <v>33</v>
      </c>
      <c r="AO12" s="23">
        <v>41</v>
      </c>
      <c r="AP12" s="23">
        <v>33</v>
      </c>
      <c r="AQ12" s="23">
        <v>41</v>
      </c>
      <c r="AR12" s="23">
        <v>33</v>
      </c>
      <c r="AS12" s="23">
        <v>41</v>
      </c>
      <c r="AT12" s="23">
        <v>33</v>
      </c>
      <c r="AU12" s="23">
        <v>41</v>
      </c>
      <c r="AV12" s="23">
        <v>33</v>
      </c>
      <c r="AW12" s="23">
        <v>41</v>
      </c>
      <c r="AX12" s="23">
        <v>33</v>
      </c>
      <c r="AY12" s="23">
        <v>41</v>
      </c>
      <c r="AZ12" s="23">
        <v>33</v>
      </c>
      <c r="BA12" s="23">
        <v>41</v>
      </c>
      <c r="BB12" s="23">
        <v>33</v>
      </c>
      <c r="BC12" s="23">
        <v>41</v>
      </c>
      <c r="BD12" s="23">
        <v>33</v>
      </c>
      <c r="BE12" s="15">
        <v>41</v>
      </c>
      <c r="BF12" s="76">
        <v>33</v>
      </c>
      <c r="BG12" s="12"/>
      <c r="BH12" s="145" t="s">
        <v>78</v>
      </c>
      <c r="BI12" s="146"/>
      <c r="BJ12" s="107">
        <f>'detail par semaine'!BM9+'detail par semaine'!BZ9</f>
        <v>0</v>
      </c>
      <c r="BK12" s="65">
        <f>'detail par semaine'!CZ9+'detail par semaine'!CM9</f>
        <v>0</v>
      </c>
      <c r="BL12" s="65">
        <f>'detail par semaine'!DD9</f>
        <v>0</v>
      </c>
      <c r="BM12" s="65"/>
      <c r="BN12" s="65">
        <f>'detail par semaine'!DE9</f>
        <v>-33</v>
      </c>
      <c r="BO12" s="67">
        <f t="shared" si="5"/>
        <v>-26.675000000000011</v>
      </c>
      <c r="BQ12" s="70">
        <f t="shared" si="6"/>
        <v>94</v>
      </c>
    </row>
    <row r="13" spans="1:69" s="1" customFormat="1" ht="25.25" customHeight="1" x14ac:dyDescent="0.2">
      <c r="A13" s="62"/>
      <c r="B13" s="10" t="s">
        <v>43</v>
      </c>
      <c r="C13" s="41" t="s">
        <v>82</v>
      </c>
      <c r="D13" s="32">
        <v>37</v>
      </c>
      <c r="E13" s="38">
        <v>12.81</v>
      </c>
      <c r="F13" s="23">
        <v>41</v>
      </c>
      <c r="G13" s="23">
        <v>33</v>
      </c>
      <c r="H13" s="60">
        <v>36.75</v>
      </c>
      <c r="I13" s="23">
        <v>33</v>
      </c>
      <c r="J13" s="23">
        <v>41</v>
      </c>
      <c r="K13" s="23">
        <v>33</v>
      </c>
      <c r="L13" s="23">
        <v>41</v>
      </c>
      <c r="M13" s="23">
        <v>33</v>
      </c>
      <c r="N13" s="23">
        <v>41</v>
      </c>
      <c r="O13" s="23">
        <v>33</v>
      </c>
      <c r="P13" s="23">
        <v>41</v>
      </c>
      <c r="Q13" s="23">
        <v>33</v>
      </c>
      <c r="R13" s="23">
        <v>41</v>
      </c>
      <c r="S13" s="23">
        <v>33</v>
      </c>
      <c r="T13" s="23">
        <v>41</v>
      </c>
      <c r="U13" s="23">
        <v>33</v>
      </c>
      <c r="V13" s="23">
        <v>41</v>
      </c>
      <c r="W13" s="23">
        <v>33</v>
      </c>
      <c r="X13" s="23">
        <v>41</v>
      </c>
      <c r="Y13" s="23">
        <v>33</v>
      </c>
      <c r="Z13" s="23">
        <v>41</v>
      </c>
      <c r="AA13" s="23">
        <v>33</v>
      </c>
      <c r="AB13" s="23">
        <v>41</v>
      </c>
      <c r="AC13" s="23">
        <v>33</v>
      </c>
      <c r="AD13" s="23">
        <v>41</v>
      </c>
      <c r="AE13" s="23">
        <v>33</v>
      </c>
      <c r="AF13" s="23">
        <v>41</v>
      </c>
      <c r="AG13" s="23">
        <v>33</v>
      </c>
      <c r="AH13" s="23">
        <v>41</v>
      </c>
      <c r="AI13" s="23">
        <v>33</v>
      </c>
      <c r="AJ13" s="23">
        <v>41</v>
      </c>
      <c r="AK13" s="23">
        <v>33</v>
      </c>
      <c r="AL13" s="23">
        <v>41</v>
      </c>
      <c r="AM13" s="23">
        <v>33</v>
      </c>
      <c r="AN13" s="23">
        <v>41</v>
      </c>
      <c r="AO13" s="23">
        <v>33</v>
      </c>
      <c r="AP13" s="23">
        <v>41</v>
      </c>
      <c r="AQ13" s="23">
        <v>33</v>
      </c>
      <c r="AR13" s="23">
        <v>41</v>
      </c>
      <c r="AS13" s="23">
        <v>33</v>
      </c>
      <c r="AT13" s="23">
        <v>41</v>
      </c>
      <c r="AU13" s="23">
        <v>33</v>
      </c>
      <c r="AV13" s="23">
        <v>41</v>
      </c>
      <c r="AW13" s="23">
        <v>33</v>
      </c>
      <c r="AX13" s="23">
        <v>41</v>
      </c>
      <c r="AY13" s="23">
        <v>33</v>
      </c>
      <c r="AZ13" s="23">
        <v>41</v>
      </c>
      <c r="BA13" s="23">
        <v>33</v>
      </c>
      <c r="BB13" s="23">
        <v>41</v>
      </c>
      <c r="BC13" s="23">
        <v>33</v>
      </c>
      <c r="BD13" s="23">
        <v>41</v>
      </c>
      <c r="BE13" s="23">
        <v>33</v>
      </c>
      <c r="BF13" s="76">
        <v>41</v>
      </c>
      <c r="BG13" s="12"/>
      <c r="BH13" s="143" t="s">
        <v>43</v>
      </c>
      <c r="BI13" s="144"/>
      <c r="BJ13" s="107">
        <f>'detail par semaine'!BM10+'detail par semaine'!BZ10</f>
        <v>0</v>
      </c>
      <c r="BK13" s="65">
        <f>'detail par semaine'!CZ10+'detail par semaine'!CM10</f>
        <v>0</v>
      </c>
      <c r="BL13" s="65">
        <f>'detail par semaine'!DD10</f>
        <v>0</v>
      </c>
      <c r="BM13" s="65"/>
      <c r="BN13" s="65">
        <f>'detail par semaine'!DE10</f>
        <v>-45.25</v>
      </c>
      <c r="BO13" s="67">
        <f t="shared" si="5"/>
        <v>-32.44</v>
      </c>
      <c r="BQ13" s="70">
        <f t="shared" si="6"/>
        <v>94</v>
      </c>
    </row>
    <row r="14" spans="1:69" s="1" customFormat="1" ht="25.25" customHeight="1" x14ac:dyDescent="0.2">
      <c r="A14" s="62"/>
      <c r="B14" s="10" t="s">
        <v>54</v>
      </c>
      <c r="C14" s="41" t="s">
        <v>82</v>
      </c>
      <c r="D14" s="32">
        <v>37</v>
      </c>
      <c r="E14" s="38">
        <v>5.87</v>
      </c>
      <c r="F14" s="23">
        <v>41</v>
      </c>
      <c r="G14" s="23">
        <v>33</v>
      </c>
      <c r="H14" s="23">
        <v>41</v>
      </c>
      <c r="I14" s="23">
        <v>33</v>
      </c>
      <c r="J14" s="23">
        <v>41</v>
      </c>
      <c r="K14" s="23">
        <v>33</v>
      </c>
      <c r="L14" s="23">
        <v>41</v>
      </c>
      <c r="M14" s="23">
        <v>33</v>
      </c>
      <c r="N14" s="23">
        <v>41</v>
      </c>
      <c r="O14" s="23">
        <v>33</v>
      </c>
      <c r="P14" s="23">
        <v>41</v>
      </c>
      <c r="Q14" s="23">
        <v>33</v>
      </c>
      <c r="R14" s="23">
        <v>41</v>
      </c>
      <c r="S14" s="23">
        <v>33</v>
      </c>
      <c r="T14" s="23">
        <v>41</v>
      </c>
      <c r="U14" s="23">
        <v>33</v>
      </c>
      <c r="V14" s="23">
        <v>41</v>
      </c>
      <c r="W14" s="23">
        <v>33</v>
      </c>
      <c r="X14" s="23">
        <v>41</v>
      </c>
      <c r="Y14" s="23">
        <v>33</v>
      </c>
      <c r="Z14" s="23">
        <v>41</v>
      </c>
      <c r="AA14" s="23">
        <v>33</v>
      </c>
      <c r="AB14" s="23">
        <v>41</v>
      </c>
      <c r="AC14" s="23">
        <v>33</v>
      </c>
      <c r="AD14" s="23">
        <v>41</v>
      </c>
      <c r="AE14" s="23">
        <v>33</v>
      </c>
      <c r="AF14" s="23">
        <v>41</v>
      </c>
      <c r="AG14" s="23">
        <v>33</v>
      </c>
      <c r="AH14" s="23">
        <v>41</v>
      </c>
      <c r="AI14" s="23">
        <v>33</v>
      </c>
      <c r="AJ14" s="23">
        <v>41</v>
      </c>
      <c r="AK14" s="23">
        <v>33</v>
      </c>
      <c r="AL14" s="23">
        <v>41</v>
      </c>
      <c r="AM14" s="23">
        <v>33</v>
      </c>
      <c r="AN14" s="23">
        <v>41</v>
      </c>
      <c r="AO14" s="23">
        <v>33</v>
      </c>
      <c r="AP14" s="23">
        <v>41</v>
      </c>
      <c r="AQ14" s="23">
        <v>33</v>
      </c>
      <c r="AR14" s="23">
        <v>41</v>
      </c>
      <c r="AS14" s="23">
        <v>33</v>
      </c>
      <c r="AT14" s="23">
        <v>41</v>
      </c>
      <c r="AU14" s="23">
        <v>33</v>
      </c>
      <c r="AV14" s="23">
        <v>41</v>
      </c>
      <c r="AW14" s="23">
        <v>33</v>
      </c>
      <c r="AX14" s="23">
        <v>41</v>
      </c>
      <c r="AY14" s="23">
        <v>33</v>
      </c>
      <c r="AZ14" s="23">
        <v>41</v>
      </c>
      <c r="BA14" s="23">
        <v>33</v>
      </c>
      <c r="BB14" s="23">
        <v>41</v>
      </c>
      <c r="BC14" s="23">
        <v>33</v>
      </c>
      <c r="BD14" s="23">
        <v>41</v>
      </c>
      <c r="BE14" s="23">
        <v>33</v>
      </c>
      <c r="BF14" s="76">
        <v>41</v>
      </c>
      <c r="BG14" s="12"/>
      <c r="BH14" s="143" t="s">
        <v>54</v>
      </c>
      <c r="BI14" s="144"/>
      <c r="BJ14" s="107">
        <f>'detail par semaine'!BM11+'detail par semaine'!BZ11</f>
        <v>0</v>
      </c>
      <c r="BK14" s="65">
        <f>'detail par semaine'!CZ11+'detail par semaine'!CM11</f>
        <v>0</v>
      </c>
      <c r="BL14" s="65">
        <f>'detail par semaine'!DD11</f>
        <v>0</v>
      </c>
      <c r="BM14" s="65"/>
      <c r="BN14" s="65">
        <f>'detail par semaine'!DE11</f>
        <v>-41</v>
      </c>
      <c r="BO14" s="67">
        <f t="shared" si="5"/>
        <v>-35.130000000000003</v>
      </c>
      <c r="BQ14" s="70">
        <f t="shared" si="6"/>
        <v>94</v>
      </c>
    </row>
    <row r="15" spans="1:69" s="1" customFormat="1" ht="25.25" customHeight="1" x14ac:dyDescent="0.2">
      <c r="A15" s="62"/>
      <c r="B15" s="10" t="s">
        <v>74</v>
      </c>
      <c r="C15" s="41" t="s">
        <v>82</v>
      </c>
      <c r="D15" s="32">
        <v>37</v>
      </c>
      <c r="E15" s="38">
        <v>0</v>
      </c>
      <c r="F15" s="23">
        <v>41</v>
      </c>
      <c r="G15" s="23">
        <v>33</v>
      </c>
      <c r="H15" s="23">
        <v>41</v>
      </c>
      <c r="I15" s="23">
        <v>29.25</v>
      </c>
      <c r="J15" s="23">
        <v>41</v>
      </c>
      <c r="K15" s="23">
        <v>33</v>
      </c>
      <c r="L15" s="23">
        <v>41</v>
      </c>
      <c r="M15" s="23">
        <v>33</v>
      </c>
      <c r="N15" s="23">
        <v>41</v>
      </c>
      <c r="O15" s="23">
        <v>33</v>
      </c>
      <c r="P15" s="23">
        <v>41</v>
      </c>
      <c r="Q15" s="23">
        <v>33</v>
      </c>
      <c r="R15" s="23">
        <v>41</v>
      </c>
      <c r="S15" s="23">
        <v>33</v>
      </c>
      <c r="T15" s="23">
        <v>41</v>
      </c>
      <c r="U15" s="23">
        <v>33</v>
      </c>
      <c r="V15" s="23">
        <v>41</v>
      </c>
      <c r="W15" s="23">
        <v>33</v>
      </c>
      <c r="X15" s="23">
        <v>41</v>
      </c>
      <c r="Y15" s="23">
        <v>33</v>
      </c>
      <c r="Z15" s="23">
        <v>41</v>
      </c>
      <c r="AA15" s="23">
        <v>33</v>
      </c>
      <c r="AB15" s="23">
        <v>41</v>
      </c>
      <c r="AC15" s="23">
        <v>33</v>
      </c>
      <c r="AD15" s="23">
        <v>41</v>
      </c>
      <c r="AE15" s="23">
        <v>33</v>
      </c>
      <c r="AF15" s="23">
        <v>41</v>
      </c>
      <c r="AG15" s="23">
        <v>33</v>
      </c>
      <c r="AH15" s="23">
        <v>41</v>
      </c>
      <c r="AI15" s="23">
        <v>33</v>
      </c>
      <c r="AJ15" s="23">
        <v>41</v>
      </c>
      <c r="AK15" s="23">
        <v>33</v>
      </c>
      <c r="AL15" s="23">
        <v>41</v>
      </c>
      <c r="AM15" s="23">
        <v>33</v>
      </c>
      <c r="AN15" s="23">
        <v>41</v>
      </c>
      <c r="AO15" s="23">
        <v>33</v>
      </c>
      <c r="AP15" s="23">
        <v>41</v>
      </c>
      <c r="AQ15" s="23">
        <v>33</v>
      </c>
      <c r="AR15" s="23">
        <v>41</v>
      </c>
      <c r="AS15" s="23">
        <v>33</v>
      </c>
      <c r="AT15" s="23">
        <v>41</v>
      </c>
      <c r="AU15" s="23">
        <v>33</v>
      </c>
      <c r="AV15" s="23">
        <v>41</v>
      </c>
      <c r="AW15" s="23">
        <v>33</v>
      </c>
      <c r="AX15" s="23">
        <v>41</v>
      </c>
      <c r="AY15" s="23">
        <v>33</v>
      </c>
      <c r="AZ15" s="23">
        <v>41</v>
      </c>
      <c r="BA15" s="23">
        <v>33</v>
      </c>
      <c r="BB15" s="23">
        <v>41</v>
      </c>
      <c r="BC15" s="23">
        <v>33</v>
      </c>
      <c r="BD15" s="23">
        <v>41</v>
      </c>
      <c r="BE15" s="23">
        <v>33</v>
      </c>
      <c r="BF15" s="76">
        <v>41</v>
      </c>
      <c r="BG15" s="12"/>
      <c r="BH15" s="147" t="s">
        <v>74</v>
      </c>
      <c r="BI15" s="148"/>
      <c r="BJ15" s="107">
        <f>'detail par semaine'!BM12+'detail par semaine'!BZ12</f>
        <v>0</v>
      </c>
      <c r="BK15" s="65">
        <f>'detail par semaine'!CZ12+'detail par semaine'!CM12</f>
        <v>0</v>
      </c>
      <c r="BL15" s="65">
        <f>'detail par semaine'!DD12</f>
        <v>0</v>
      </c>
      <c r="BM15" s="65"/>
      <c r="BN15" s="65">
        <f>'detail par semaine'!DE12</f>
        <v>-44.75</v>
      </c>
      <c r="BO15" s="67">
        <f t="shared" si="5"/>
        <v>-44.75</v>
      </c>
      <c r="BQ15" s="69">
        <f t="shared" si="6"/>
        <v>94</v>
      </c>
    </row>
    <row r="16" spans="1:69" s="1" customFormat="1" ht="25.25" customHeight="1" x14ac:dyDescent="0.2">
      <c r="A16" s="62"/>
      <c r="B16" s="10" t="s">
        <v>76</v>
      </c>
      <c r="C16" s="41" t="s">
        <v>82</v>
      </c>
      <c r="D16" s="32">
        <v>37</v>
      </c>
      <c r="E16" s="38">
        <v>0</v>
      </c>
      <c r="F16" s="23">
        <v>41</v>
      </c>
      <c r="G16" s="23">
        <v>33</v>
      </c>
      <c r="H16" s="23">
        <v>41</v>
      </c>
      <c r="I16" s="23">
        <v>33</v>
      </c>
      <c r="J16" s="23">
        <v>41</v>
      </c>
      <c r="K16" s="23">
        <v>33</v>
      </c>
      <c r="L16" s="23">
        <v>41</v>
      </c>
      <c r="M16" s="23">
        <v>33</v>
      </c>
      <c r="N16" s="23">
        <v>41</v>
      </c>
      <c r="O16" s="23">
        <v>33</v>
      </c>
      <c r="P16" s="23">
        <v>41</v>
      </c>
      <c r="Q16" s="23">
        <v>33</v>
      </c>
      <c r="R16" s="23">
        <v>41</v>
      </c>
      <c r="S16" s="23">
        <v>33</v>
      </c>
      <c r="T16" s="23">
        <v>41</v>
      </c>
      <c r="U16" s="23">
        <v>33</v>
      </c>
      <c r="V16" s="23">
        <v>41</v>
      </c>
      <c r="W16" s="23">
        <v>33</v>
      </c>
      <c r="X16" s="23">
        <v>41</v>
      </c>
      <c r="Y16" s="23">
        <v>33</v>
      </c>
      <c r="Z16" s="23">
        <v>41</v>
      </c>
      <c r="AA16" s="23">
        <v>33</v>
      </c>
      <c r="AB16" s="23">
        <v>41</v>
      </c>
      <c r="AC16" s="23">
        <v>33</v>
      </c>
      <c r="AD16" s="23">
        <v>41</v>
      </c>
      <c r="AE16" s="23">
        <v>33</v>
      </c>
      <c r="AF16" s="23">
        <v>41</v>
      </c>
      <c r="AG16" s="23">
        <v>33</v>
      </c>
      <c r="AH16" s="23">
        <v>41</v>
      </c>
      <c r="AI16" s="23">
        <v>33</v>
      </c>
      <c r="AJ16" s="23">
        <v>41</v>
      </c>
      <c r="AK16" s="23">
        <v>33</v>
      </c>
      <c r="AL16" s="23">
        <v>41</v>
      </c>
      <c r="AM16" s="23">
        <v>33</v>
      </c>
      <c r="AN16" s="23">
        <v>41</v>
      </c>
      <c r="AO16" s="23">
        <v>33</v>
      </c>
      <c r="AP16" s="23">
        <v>41</v>
      </c>
      <c r="AQ16" s="23">
        <v>33</v>
      </c>
      <c r="AR16" s="23">
        <v>41</v>
      </c>
      <c r="AS16" s="23">
        <v>33</v>
      </c>
      <c r="AT16" s="23">
        <v>41</v>
      </c>
      <c r="AU16" s="23">
        <v>33</v>
      </c>
      <c r="AV16" s="23">
        <v>41</v>
      </c>
      <c r="AW16" s="23">
        <v>33</v>
      </c>
      <c r="AX16" s="23">
        <v>41</v>
      </c>
      <c r="AY16" s="23">
        <v>33</v>
      </c>
      <c r="AZ16" s="23">
        <v>41</v>
      </c>
      <c r="BA16" s="23">
        <v>33</v>
      </c>
      <c r="BB16" s="23">
        <v>41</v>
      </c>
      <c r="BC16" s="23">
        <v>33</v>
      </c>
      <c r="BD16" s="23">
        <v>41</v>
      </c>
      <c r="BE16" s="23">
        <v>33</v>
      </c>
      <c r="BF16" s="76">
        <v>41</v>
      </c>
      <c r="BG16" s="12"/>
      <c r="BH16" s="143" t="s">
        <v>76</v>
      </c>
      <c r="BI16" s="144"/>
      <c r="BJ16" s="107">
        <f>'detail par semaine'!BM13+'detail par semaine'!BZ13</f>
        <v>0</v>
      </c>
      <c r="BK16" s="65">
        <f>'detail par semaine'!CZ13+'detail par semaine'!CM13</f>
        <v>0</v>
      </c>
      <c r="BL16" s="65">
        <f>'detail par semaine'!DD13</f>
        <v>0</v>
      </c>
      <c r="BM16" s="65"/>
      <c r="BN16" s="65">
        <f>'detail par semaine'!DE13</f>
        <v>-41</v>
      </c>
      <c r="BO16" s="67">
        <f t="shared" si="5"/>
        <v>-41</v>
      </c>
      <c r="BQ16" s="70">
        <f t="shared" si="6"/>
        <v>94</v>
      </c>
    </row>
    <row r="17" spans="1:69" s="1" customFormat="1" ht="25.25" customHeight="1" x14ac:dyDescent="0.2">
      <c r="A17" s="62"/>
      <c r="B17" s="10" t="s">
        <v>41</v>
      </c>
      <c r="C17" s="41" t="s">
        <v>111</v>
      </c>
      <c r="D17" s="32">
        <v>39</v>
      </c>
      <c r="E17" s="38">
        <v>8.125</v>
      </c>
      <c r="F17" s="23">
        <v>39</v>
      </c>
      <c r="G17" s="23">
        <v>40</v>
      </c>
      <c r="H17" s="23">
        <v>40</v>
      </c>
      <c r="I17" s="23">
        <v>40.5</v>
      </c>
      <c r="J17" s="23">
        <v>39</v>
      </c>
      <c r="K17" s="23">
        <v>39</v>
      </c>
      <c r="L17" s="23">
        <v>39</v>
      </c>
      <c r="M17" s="23">
        <v>39</v>
      </c>
      <c r="N17" s="23">
        <v>39</v>
      </c>
      <c r="O17" s="23">
        <v>39</v>
      </c>
      <c r="P17" s="23">
        <v>39</v>
      </c>
      <c r="Q17" s="23">
        <v>39</v>
      </c>
      <c r="R17" s="23">
        <v>39</v>
      </c>
      <c r="S17" s="23">
        <v>39</v>
      </c>
      <c r="T17" s="23">
        <v>39</v>
      </c>
      <c r="U17" s="23">
        <v>39</v>
      </c>
      <c r="V17" s="23">
        <v>39</v>
      </c>
      <c r="W17" s="23">
        <v>39</v>
      </c>
      <c r="X17" s="23">
        <v>39</v>
      </c>
      <c r="Y17" s="23">
        <v>39</v>
      </c>
      <c r="Z17" s="23">
        <v>39</v>
      </c>
      <c r="AA17" s="23">
        <v>39</v>
      </c>
      <c r="AB17" s="23">
        <v>39</v>
      </c>
      <c r="AC17" s="23">
        <v>39</v>
      </c>
      <c r="AD17" s="23">
        <v>39</v>
      </c>
      <c r="AE17" s="23">
        <v>39</v>
      </c>
      <c r="AF17" s="23">
        <v>39</v>
      </c>
      <c r="AG17" s="23">
        <v>39</v>
      </c>
      <c r="AH17" s="23">
        <v>39</v>
      </c>
      <c r="AI17" s="23">
        <v>39</v>
      </c>
      <c r="AJ17" s="23">
        <v>39</v>
      </c>
      <c r="AK17" s="23">
        <v>39</v>
      </c>
      <c r="AL17" s="23">
        <v>39</v>
      </c>
      <c r="AM17" s="23">
        <v>39</v>
      </c>
      <c r="AN17" s="23">
        <v>39</v>
      </c>
      <c r="AO17" s="23">
        <v>39</v>
      </c>
      <c r="AP17" s="23">
        <v>39</v>
      </c>
      <c r="AQ17" s="23">
        <v>39</v>
      </c>
      <c r="AR17" s="23">
        <v>39</v>
      </c>
      <c r="AS17" s="23">
        <v>39</v>
      </c>
      <c r="AT17" s="23">
        <v>39</v>
      </c>
      <c r="AU17" s="23">
        <v>39</v>
      </c>
      <c r="AV17" s="23">
        <v>39</v>
      </c>
      <c r="AW17" s="23">
        <v>39</v>
      </c>
      <c r="AX17" s="23">
        <v>39</v>
      </c>
      <c r="AY17" s="23">
        <v>39</v>
      </c>
      <c r="AZ17" s="23">
        <v>39</v>
      </c>
      <c r="BA17" s="23">
        <v>39</v>
      </c>
      <c r="BB17" s="23">
        <v>39</v>
      </c>
      <c r="BC17" s="23">
        <v>39</v>
      </c>
      <c r="BD17" s="23">
        <v>39</v>
      </c>
      <c r="BE17" s="23">
        <v>39</v>
      </c>
      <c r="BF17" s="76">
        <v>39</v>
      </c>
      <c r="BG17" s="12"/>
      <c r="BH17" s="145" t="s">
        <v>41</v>
      </c>
      <c r="BI17" s="146"/>
      <c r="BJ17" s="107">
        <f>'detail par semaine'!BM14+'detail par semaine'!BZ14</f>
        <v>3.5</v>
      </c>
      <c r="BK17" s="65">
        <f>'detail par semaine'!CZ14+'detail par semaine'!CM14</f>
        <v>0</v>
      </c>
      <c r="BL17" s="65">
        <f>'detail par semaine'!DD14</f>
        <v>4.375</v>
      </c>
      <c r="BM17" s="65"/>
      <c r="BN17" s="65">
        <f>'detail par semaine'!DE14</f>
        <v>0</v>
      </c>
      <c r="BO17" s="67">
        <f t="shared" si="5"/>
        <v>12.5</v>
      </c>
      <c r="BQ17" s="70">
        <f t="shared" si="6"/>
        <v>97.5</v>
      </c>
    </row>
    <row r="18" spans="1:69" s="1" customFormat="1" ht="25.25" customHeight="1" x14ac:dyDescent="0.2">
      <c r="A18" s="62"/>
      <c r="B18" s="10" t="s">
        <v>112</v>
      </c>
      <c r="C18" s="41" t="s">
        <v>82</v>
      </c>
      <c r="D18" s="32">
        <v>37</v>
      </c>
      <c r="E18" s="38">
        <v>1</v>
      </c>
      <c r="F18" s="23">
        <v>41</v>
      </c>
      <c r="G18" s="23">
        <v>33</v>
      </c>
      <c r="H18" s="23">
        <v>41</v>
      </c>
      <c r="I18" s="23">
        <v>33</v>
      </c>
      <c r="J18" s="23">
        <v>41</v>
      </c>
      <c r="K18" s="23">
        <v>33</v>
      </c>
      <c r="L18" s="23">
        <v>41</v>
      </c>
      <c r="M18" s="23">
        <v>33</v>
      </c>
      <c r="N18" s="23">
        <v>41</v>
      </c>
      <c r="O18" s="23">
        <v>33</v>
      </c>
      <c r="P18" s="23">
        <v>41</v>
      </c>
      <c r="Q18" s="23">
        <v>33</v>
      </c>
      <c r="R18" s="23">
        <v>41</v>
      </c>
      <c r="S18" s="23">
        <v>33</v>
      </c>
      <c r="T18" s="23">
        <v>41</v>
      </c>
      <c r="U18" s="23">
        <v>33</v>
      </c>
      <c r="V18" s="23">
        <v>41</v>
      </c>
      <c r="W18" s="23">
        <v>33</v>
      </c>
      <c r="X18" s="23">
        <v>41</v>
      </c>
      <c r="Y18" s="23">
        <v>33</v>
      </c>
      <c r="Z18" s="23">
        <v>41</v>
      </c>
      <c r="AA18" s="23">
        <v>33</v>
      </c>
      <c r="AB18" s="23">
        <v>41</v>
      </c>
      <c r="AC18" s="23">
        <v>33</v>
      </c>
      <c r="AD18" s="23">
        <v>41</v>
      </c>
      <c r="AE18" s="23">
        <v>33</v>
      </c>
      <c r="AF18" s="23">
        <v>41</v>
      </c>
      <c r="AG18" s="23">
        <v>33</v>
      </c>
      <c r="AH18" s="23">
        <v>41</v>
      </c>
      <c r="AI18" s="23">
        <v>33</v>
      </c>
      <c r="AJ18" s="23">
        <v>41</v>
      </c>
      <c r="AK18" s="23">
        <v>33</v>
      </c>
      <c r="AL18" s="23">
        <v>41</v>
      </c>
      <c r="AM18" s="23">
        <v>33</v>
      </c>
      <c r="AN18" s="23">
        <v>41</v>
      </c>
      <c r="AO18" s="23">
        <v>33</v>
      </c>
      <c r="AP18" s="23">
        <v>41</v>
      </c>
      <c r="AQ18" s="23">
        <v>33</v>
      </c>
      <c r="AR18" s="23">
        <v>41</v>
      </c>
      <c r="AS18" s="23">
        <v>33</v>
      </c>
      <c r="AT18" s="23">
        <v>41</v>
      </c>
      <c r="AU18" s="23">
        <v>33</v>
      </c>
      <c r="AV18" s="23">
        <v>41</v>
      </c>
      <c r="AW18" s="23">
        <v>33</v>
      </c>
      <c r="AX18" s="23">
        <v>41</v>
      </c>
      <c r="AY18" s="23">
        <v>33</v>
      </c>
      <c r="AZ18" s="23">
        <v>41</v>
      </c>
      <c r="BA18" s="23">
        <v>33</v>
      </c>
      <c r="BB18" s="23">
        <v>41</v>
      </c>
      <c r="BC18" s="23">
        <v>33</v>
      </c>
      <c r="BD18" s="23">
        <v>41</v>
      </c>
      <c r="BE18" s="23">
        <v>33</v>
      </c>
      <c r="BF18" s="76">
        <v>41</v>
      </c>
      <c r="BG18" s="12"/>
      <c r="BH18" s="145" t="s">
        <v>112</v>
      </c>
      <c r="BI18" s="146"/>
      <c r="BJ18" s="107">
        <f>'detail par semaine'!BM15+'detail par semaine'!BZ15</f>
        <v>0</v>
      </c>
      <c r="BK18" s="65">
        <f>'detail par semaine'!CZ15+'detail par semaine'!CM15</f>
        <v>0</v>
      </c>
      <c r="BL18" s="65">
        <f>'detail par semaine'!DD15</f>
        <v>0</v>
      </c>
      <c r="BM18" s="64"/>
      <c r="BN18" s="65">
        <f>'detail par semaine'!DE15</f>
        <v>-41</v>
      </c>
      <c r="BO18" s="67">
        <f t="shared" si="5"/>
        <v>-40</v>
      </c>
      <c r="BQ18" s="69">
        <f t="shared" si="6"/>
        <v>94</v>
      </c>
    </row>
    <row r="19" spans="1:69" s="1" customFormat="1" ht="25.25" customHeight="1" x14ac:dyDescent="0.2">
      <c r="A19" s="62"/>
      <c r="B19" s="10" t="s">
        <v>44</v>
      </c>
      <c r="C19" s="41" t="s">
        <v>82</v>
      </c>
      <c r="D19" s="32">
        <v>37</v>
      </c>
      <c r="E19" s="38">
        <v>10.137500000000003</v>
      </c>
      <c r="F19" s="23">
        <v>41</v>
      </c>
      <c r="G19" s="23">
        <v>33</v>
      </c>
      <c r="H19" s="23">
        <v>41</v>
      </c>
      <c r="I19" s="23">
        <v>33</v>
      </c>
      <c r="J19" s="23">
        <v>41</v>
      </c>
      <c r="K19" s="23">
        <v>33</v>
      </c>
      <c r="L19" s="23">
        <v>41</v>
      </c>
      <c r="M19" s="23">
        <v>33</v>
      </c>
      <c r="N19" s="23">
        <v>41</v>
      </c>
      <c r="O19" s="23">
        <v>33</v>
      </c>
      <c r="P19" s="23">
        <v>41</v>
      </c>
      <c r="Q19" s="23">
        <v>33</v>
      </c>
      <c r="R19" s="23">
        <v>41</v>
      </c>
      <c r="S19" s="23">
        <v>33</v>
      </c>
      <c r="T19" s="23">
        <v>41</v>
      </c>
      <c r="U19" s="23">
        <v>33</v>
      </c>
      <c r="V19" s="23">
        <v>41</v>
      </c>
      <c r="W19" s="23">
        <v>33</v>
      </c>
      <c r="X19" s="23">
        <v>41</v>
      </c>
      <c r="Y19" s="23">
        <v>33</v>
      </c>
      <c r="Z19" s="23">
        <v>41</v>
      </c>
      <c r="AA19" s="23">
        <v>33</v>
      </c>
      <c r="AB19" s="23">
        <v>41</v>
      </c>
      <c r="AC19" s="23">
        <v>33</v>
      </c>
      <c r="AD19" s="23">
        <v>41</v>
      </c>
      <c r="AE19" s="23">
        <v>33</v>
      </c>
      <c r="AF19" s="23">
        <v>41</v>
      </c>
      <c r="AG19" s="23">
        <v>33</v>
      </c>
      <c r="AH19" s="23">
        <v>41</v>
      </c>
      <c r="AI19" s="23">
        <v>33</v>
      </c>
      <c r="AJ19" s="23">
        <v>41</v>
      </c>
      <c r="AK19" s="23">
        <v>33</v>
      </c>
      <c r="AL19" s="23">
        <v>41</v>
      </c>
      <c r="AM19" s="23">
        <v>33</v>
      </c>
      <c r="AN19" s="23">
        <v>41</v>
      </c>
      <c r="AO19" s="23">
        <v>33</v>
      </c>
      <c r="AP19" s="23">
        <v>41</v>
      </c>
      <c r="AQ19" s="23">
        <v>33</v>
      </c>
      <c r="AR19" s="23">
        <v>41</v>
      </c>
      <c r="AS19" s="23">
        <v>33</v>
      </c>
      <c r="AT19" s="23">
        <v>41</v>
      </c>
      <c r="AU19" s="23">
        <v>33</v>
      </c>
      <c r="AV19" s="23">
        <v>41</v>
      </c>
      <c r="AW19" s="23">
        <v>33</v>
      </c>
      <c r="AX19" s="23">
        <v>41</v>
      </c>
      <c r="AY19" s="23">
        <v>33</v>
      </c>
      <c r="AZ19" s="23">
        <v>41</v>
      </c>
      <c r="BA19" s="23">
        <v>33</v>
      </c>
      <c r="BB19" s="23">
        <v>41</v>
      </c>
      <c r="BC19" s="23">
        <v>33</v>
      </c>
      <c r="BD19" s="23">
        <v>41</v>
      </c>
      <c r="BE19" s="23">
        <v>33</v>
      </c>
      <c r="BF19" s="76">
        <v>41</v>
      </c>
      <c r="BG19" s="12"/>
      <c r="BH19" s="145" t="s">
        <v>44</v>
      </c>
      <c r="BI19" s="146"/>
      <c r="BJ19" s="107">
        <f>'detail par semaine'!BM16+'detail par semaine'!BZ16</f>
        <v>0</v>
      </c>
      <c r="BK19" s="65">
        <f>'detail par semaine'!CZ16+'detail par semaine'!CM16</f>
        <v>0</v>
      </c>
      <c r="BL19" s="65">
        <f>'detail par semaine'!DD16</f>
        <v>0</v>
      </c>
      <c r="BM19" s="65"/>
      <c r="BN19" s="65">
        <f>'detail par semaine'!DE16</f>
        <v>-41</v>
      </c>
      <c r="BO19" s="67">
        <f t="shared" si="5"/>
        <v>-30.862499999999997</v>
      </c>
      <c r="BQ19" s="70">
        <f t="shared" si="6"/>
        <v>94</v>
      </c>
    </row>
    <row r="20" spans="1:69" s="1" customFormat="1" ht="25.25" customHeight="1" x14ac:dyDescent="0.2">
      <c r="A20" s="62"/>
      <c r="B20" s="10" t="s">
        <v>110</v>
      </c>
      <c r="C20" s="41" t="s">
        <v>111</v>
      </c>
      <c r="D20" s="32">
        <v>39</v>
      </c>
      <c r="E20" s="38">
        <v>0</v>
      </c>
      <c r="F20" s="23">
        <v>39</v>
      </c>
      <c r="G20" s="23">
        <v>39</v>
      </c>
      <c r="H20" s="23">
        <v>39</v>
      </c>
      <c r="I20" s="23">
        <v>40</v>
      </c>
      <c r="J20" s="23">
        <v>39</v>
      </c>
      <c r="K20" s="23">
        <v>39</v>
      </c>
      <c r="L20" s="23">
        <v>39</v>
      </c>
      <c r="M20" s="23">
        <v>39</v>
      </c>
      <c r="N20" s="23">
        <v>39</v>
      </c>
      <c r="O20" s="23">
        <v>39</v>
      </c>
      <c r="P20" s="23">
        <v>39</v>
      </c>
      <c r="Q20" s="23">
        <v>39</v>
      </c>
      <c r="R20" s="23">
        <v>39</v>
      </c>
      <c r="S20" s="23">
        <v>39</v>
      </c>
      <c r="T20" s="23">
        <v>39</v>
      </c>
      <c r="U20" s="23">
        <v>39</v>
      </c>
      <c r="V20" s="23">
        <v>39</v>
      </c>
      <c r="W20" s="23">
        <v>39</v>
      </c>
      <c r="X20" s="23">
        <v>39</v>
      </c>
      <c r="Y20" s="23">
        <v>39</v>
      </c>
      <c r="Z20" s="23">
        <v>39</v>
      </c>
      <c r="AA20" s="23">
        <v>39</v>
      </c>
      <c r="AB20" s="23">
        <v>39</v>
      </c>
      <c r="AC20" s="23">
        <v>39</v>
      </c>
      <c r="AD20" s="23">
        <v>39</v>
      </c>
      <c r="AE20" s="23">
        <v>39</v>
      </c>
      <c r="AF20" s="23">
        <v>39</v>
      </c>
      <c r="AG20" s="23">
        <v>39</v>
      </c>
      <c r="AH20" s="23">
        <v>39</v>
      </c>
      <c r="AI20" s="23">
        <v>39</v>
      </c>
      <c r="AJ20" s="23">
        <v>39</v>
      </c>
      <c r="AK20" s="23">
        <v>39</v>
      </c>
      <c r="AL20" s="23">
        <v>39</v>
      </c>
      <c r="AM20" s="23">
        <v>39</v>
      </c>
      <c r="AN20" s="23">
        <v>39</v>
      </c>
      <c r="AO20" s="23">
        <v>39</v>
      </c>
      <c r="AP20" s="23">
        <v>39</v>
      </c>
      <c r="AQ20" s="23">
        <v>39</v>
      </c>
      <c r="AR20" s="23">
        <v>39</v>
      </c>
      <c r="AS20" s="23">
        <v>39</v>
      </c>
      <c r="AT20" s="23">
        <v>39</v>
      </c>
      <c r="AU20" s="23">
        <v>39</v>
      </c>
      <c r="AV20" s="23">
        <v>39</v>
      </c>
      <c r="AW20" s="23">
        <v>39</v>
      </c>
      <c r="AX20" s="23">
        <v>39</v>
      </c>
      <c r="AY20" s="23">
        <v>39</v>
      </c>
      <c r="AZ20" s="23">
        <v>39</v>
      </c>
      <c r="BA20" s="23">
        <v>39</v>
      </c>
      <c r="BB20" s="23">
        <v>39</v>
      </c>
      <c r="BC20" s="23">
        <v>39</v>
      </c>
      <c r="BD20" s="23">
        <v>39</v>
      </c>
      <c r="BE20" s="23">
        <v>39</v>
      </c>
      <c r="BF20" s="76">
        <v>39</v>
      </c>
      <c r="BG20" s="12"/>
      <c r="BH20" s="145" t="s">
        <v>110</v>
      </c>
      <c r="BI20" s="146"/>
      <c r="BJ20" s="107">
        <f>'detail par semaine'!BM17+'detail par semaine'!BZ17</f>
        <v>1</v>
      </c>
      <c r="BK20" s="65">
        <f>'detail par semaine'!CZ17+'detail par semaine'!CM17</f>
        <v>0</v>
      </c>
      <c r="BL20" s="65">
        <f>'detail par semaine'!DD17</f>
        <v>1.25</v>
      </c>
      <c r="BM20" s="65"/>
      <c r="BN20" s="65">
        <f>'detail par semaine'!DE17</f>
        <v>0</v>
      </c>
      <c r="BO20" s="67">
        <f t="shared" si="5"/>
        <v>1.25</v>
      </c>
      <c r="BQ20" s="70">
        <f t="shared" si="6"/>
        <v>95</v>
      </c>
    </row>
    <row r="21" spans="1:69" s="1" customFormat="1" ht="24.75" customHeight="1" x14ac:dyDescent="0.2">
      <c r="A21" s="62"/>
      <c r="B21" s="10" t="s">
        <v>45</v>
      </c>
      <c r="C21" s="41" t="s">
        <v>82</v>
      </c>
      <c r="D21" s="32">
        <v>37</v>
      </c>
      <c r="E21" s="38">
        <v>8.9950000000000045</v>
      </c>
      <c r="F21" s="23">
        <v>33</v>
      </c>
      <c r="G21" s="23">
        <v>41</v>
      </c>
      <c r="H21" s="23">
        <v>28</v>
      </c>
      <c r="I21" s="23">
        <v>41</v>
      </c>
      <c r="J21" s="23">
        <v>33</v>
      </c>
      <c r="K21" s="23">
        <v>41</v>
      </c>
      <c r="L21" s="23">
        <v>33</v>
      </c>
      <c r="M21" s="23">
        <v>41</v>
      </c>
      <c r="N21" s="23">
        <v>33</v>
      </c>
      <c r="O21" s="23">
        <v>41</v>
      </c>
      <c r="P21" s="23">
        <v>33</v>
      </c>
      <c r="Q21" s="23">
        <v>41</v>
      </c>
      <c r="R21" s="23">
        <v>33</v>
      </c>
      <c r="S21" s="23">
        <v>41</v>
      </c>
      <c r="T21" s="23">
        <v>33</v>
      </c>
      <c r="U21" s="23">
        <v>41</v>
      </c>
      <c r="V21" s="23">
        <v>33</v>
      </c>
      <c r="W21" s="23">
        <v>41</v>
      </c>
      <c r="X21" s="23">
        <v>33</v>
      </c>
      <c r="Y21" s="23">
        <v>41</v>
      </c>
      <c r="Z21" s="23">
        <v>33</v>
      </c>
      <c r="AA21" s="23">
        <v>41</v>
      </c>
      <c r="AB21" s="23">
        <v>33</v>
      </c>
      <c r="AC21" s="23">
        <v>41</v>
      </c>
      <c r="AD21" s="23">
        <v>33</v>
      </c>
      <c r="AE21" s="23">
        <v>41</v>
      </c>
      <c r="AF21" s="23">
        <v>33</v>
      </c>
      <c r="AG21" s="23">
        <v>41</v>
      </c>
      <c r="AH21" s="23">
        <v>33</v>
      </c>
      <c r="AI21" s="23">
        <v>41</v>
      </c>
      <c r="AJ21" s="23">
        <v>33</v>
      </c>
      <c r="AK21" s="23">
        <v>41</v>
      </c>
      <c r="AL21" s="23">
        <v>33</v>
      </c>
      <c r="AM21" s="23">
        <v>41</v>
      </c>
      <c r="AN21" s="23">
        <v>33</v>
      </c>
      <c r="AO21" s="23">
        <v>41</v>
      </c>
      <c r="AP21" s="23">
        <v>33</v>
      </c>
      <c r="AQ21" s="23">
        <v>41</v>
      </c>
      <c r="AR21" s="23">
        <v>33</v>
      </c>
      <c r="AS21" s="23">
        <v>41</v>
      </c>
      <c r="AT21" s="23">
        <v>33</v>
      </c>
      <c r="AU21" s="23">
        <v>41</v>
      </c>
      <c r="AV21" s="23">
        <v>33</v>
      </c>
      <c r="AW21" s="23">
        <v>41</v>
      </c>
      <c r="AX21" s="23">
        <v>33</v>
      </c>
      <c r="AY21" s="23">
        <v>41</v>
      </c>
      <c r="AZ21" s="23">
        <v>33</v>
      </c>
      <c r="BA21" s="23">
        <v>41</v>
      </c>
      <c r="BB21" s="23">
        <v>33</v>
      </c>
      <c r="BC21" s="23">
        <v>41</v>
      </c>
      <c r="BD21" s="23">
        <v>33</v>
      </c>
      <c r="BE21" s="15">
        <v>41</v>
      </c>
      <c r="BF21" s="76">
        <v>33</v>
      </c>
      <c r="BG21" s="12"/>
      <c r="BH21" s="143" t="s">
        <v>45</v>
      </c>
      <c r="BI21" s="144"/>
      <c r="BJ21" s="107">
        <f>'detail par semaine'!BM18+'detail par semaine'!BZ18</f>
        <v>0</v>
      </c>
      <c r="BK21" s="65">
        <f>'detail par semaine'!CZ18+'detail par semaine'!CM18</f>
        <v>0</v>
      </c>
      <c r="BL21" s="65">
        <f>'detail par semaine'!DD18</f>
        <v>0</v>
      </c>
      <c r="BM21" s="65"/>
      <c r="BN21" s="65">
        <f>'detail par semaine'!DE18</f>
        <v>-38</v>
      </c>
      <c r="BO21" s="67">
        <f t="shared" si="5"/>
        <v>-29.004999999999995</v>
      </c>
      <c r="BQ21" s="70">
        <f t="shared" si="6"/>
        <v>94</v>
      </c>
    </row>
    <row r="22" spans="1:69" s="1" customFormat="1" ht="24.75" customHeight="1" x14ac:dyDescent="0.2">
      <c r="A22" s="62"/>
      <c r="B22" s="10" t="s">
        <v>126</v>
      </c>
      <c r="C22" s="41" t="s">
        <v>82</v>
      </c>
      <c r="D22" s="32">
        <v>37</v>
      </c>
      <c r="E22" s="38">
        <v>5.25</v>
      </c>
      <c r="F22" s="23">
        <v>33</v>
      </c>
      <c r="G22" s="23">
        <v>41</v>
      </c>
      <c r="H22" s="23">
        <v>33</v>
      </c>
      <c r="I22" s="23">
        <v>41</v>
      </c>
      <c r="J22" s="23">
        <v>33</v>
      </c>
      <c r="K22" s="23">
        <v>41</v>
      </c>
      <c r="L22" s="23">
        <v>33</v>
      </c>
      <c r="M22" s="23">
        <v>41</v>
      </c>
      <c r="N22" s="23">
        <v>33</v>
      </c>
      <c r="O22" s="23">
        <v>41</v>
      </c>
      <c r="P22" s="23">
        <v>33</v>
      </c>
      <c r="Q22" s="23">
        <v>41</v>
      </c>
      <c r="R22" s="23">
        <v>33</v>
      </c>
      <c r="S22" s="23">
        <v>41</v>
      </c>
      <c r="T22" s="23">
        <v>33</v>
      </c>
      <c r="U22" s="23">
        <v>41</v>
      </c>
      <c r="V22" s="23">
        <v>33</v>
      </c>
      <c r="W22" s="23">
        <v>41</v>
      </c>
      <c r="X22" s="23">
        <v>33</v>
      </c>
      <c r="Y22" s="23">
        <v>41</v>
      </c>
      <c r="Z22" s="23">
        <v>33</v>
      </c>
      <c r="AA22" s="23">
        <v>41</v>
      </c>
      <c r="AB22" s="23">
        <v>33</v>
      </c>
      <c r="AC22" s="23">
        <v>41</v>
      </c>
      <c r="AD22" s="23">
        <v>33</v>
      </c>
      <c r="AE22" s="23">
        <v>41</v>
      </c>
      <c r="AF22" s="23">
        <v>33</v>
      </c>
      <c r="AG22" s="23">
        <v>41</v>
      </c>
      <c r="AH22" s="23">
        <v>33</v>
      </c>
      <c r="AI22" s="23">
        <v>41</v>
      </c>
      <c r="AJ22" s="23">
        <v>33</v>
      </c>
      <c r="AK22" s="23">
        <v>41</v>
      </c>
      <c r="AL22" s="23">
        <v>33</v>
      </c>
      <c r="AM22" s="23">
        <v>41</v>
      </c>
      <c r="AN22" s="23">
        <v>33</v>
      </c>
      <c r="AO22" s="23">
        <v>41</v>
      </c>
      <c r="AP22" s="23">
        <v>33</v>
      </c>
      <c r="AQ22" s="23">
        <v>41</v>
      </c>
      <c r="AR22" s="23">
        <v>33</v>
      </c>
      <c r="AS22" s="23">
        <v>41</v>
      </c>
      <c r="AT22" s="23">
        <v>33</v>
      </c>
      <c r="AU22" s="23">
        <v>41</v>
      </c>
      <c r="AV22" s="23">
        <v>33</v>
      </c>
      <c r="AW22" s="23">
        <v>41</v>
      </c>
      <c r="AX22" s="23">
        <v>33</v>
      </c>
      <c r="AY22" s="23">
        <v>41</v>
      </c>
      <c r="AZ22" s="23">
        <v>33</v>
      </c>
      <c r="BA22" s="23">
        <v>41</v>
      </c>
      <c r="BB22" s="23">
        <v>33</v>
      </c>
      <c r="BC22" s="23">
        <v>41</v>
      </c>
      <c r="BD22" s="23">
        <v>33</v>
      </c>
      <c r="BE22" s="15">
        <v>41</v>
      </c>
      <c r="BF22" s="76">
        <v>33</v>
      </c>
      <c r="BG22" s="12"/>
      <c r="BH22" s="145" t="s">
        <v>126</v>
      </c>
      <c r="BI22" s="146"/>
      <c r="BJ22" s="107">
        <f>'detail par semaine'!BM19+'detail par semaine'!BZ19</f>
        <v>0</v>
      </c>
      <c r="BK22" s="65">
        <f>'detail par semaine'!CZ19+'detail par semaine'!CM19</f>
        <v>0</v>
      </c>
      <c r="BL22" s="65">
        <f>'detail par semaine'!DD19</f>
        <v>0</v>
      </c>
      <c r="BM22" s="65"/>
      <c r="BN22" s="65">
        <f>'detail par semaine'!DE19</f>
        <v>-33</v>
      </c>
      <c r="BO22" s="67">
        <f t="shared" si="5"/>
        <v>-27.75</v>
      </c>
      <c r="BQ22" s="70">
        <f t="shared" si="6"/>
        <v>94</v>
      </c>
    </row>
    <row r="23" spans="1:69" s="1" customFormat="1" ht="25.25" customHeight="1" x14ac:dyDescent="0.2">
      <c r="A23" s="62"/>
      <c r="B23" s="10" t="s">
        <v>113</v>
      </c>
      <c r="C23" s="41" t="s">
        <v>82</v>
      </c>
      <c r="D23" s="32">
        <v>37</v>
      </c>
      <c r="E23" s="38">
        <v>16.48</v>
      </c>
      <c r="F23" s="23">
        <v>33</v>
      </c>
      <c r="G23" s="23">
        <v>41</v>
      </c>
      <c r="H23" s="23">
        <v>33</v>
      </c>
      <c r="I23" s="23">
        <v>41</v>
      </c>
      <c r="J23" s="23">
        <v>33</v>
      </c>
      <c r="K23" s="60">
        <v>32.75</v>
      </c>
      <c r="L23" s="23">
        <v>33</v>
      </c>
      <c r="M23" s="23">
        <v>41</v>
      </c>
      <c r="N23" s="23">
        <v>33</v>
      </c>
      <c r="O23" s="23">
        <v>41</v>
      </c>
      <c r="P23" s="23">
        <v>33</v>
      </c>
      <c r="Q23" s="23">
        <v>41</v>
      </c>
      <c r="R23" s="23">
        <v>33</v>
      </c>
      <c r="S23" s="23">
        <v>41</v>
      </c>
      <c r="T23" s="23">
        <v>33</v>
      </c>
      <c r="U23" s="23">
        <v>41</v>
      </c>
      <c r="V23" s="23">
        <v>33</v>
      </c>
      <c r="W23" s="23">
        <v>41</v>
      </c>
      <c r="X23" s="23">
        <v>33</v>
      </c>
      <c r="Y23" s="23">
        <v>41</v>
      </c>
      <c r="Z23" s="23">
        <v>33</v>
      </c>
      <c r="AA23" s="23">
        <v>41</v>
      </c>
      <c r="AB23" s="23">
        <v>33</v>
      </c>
      <c r="AC23" s="23">
        <v>41</v>
      </c>
      <c r="AD23" s="23">
        <v>33</v>
      </c>
      <c r="AE23" s="23">
        <v>41</v>
      </c>
      <c r="AF23" s="23">
        <v>33</v>
      </c>
      <c r="AG23" s="23">
        <v>41</v>
      </c>
      <c r="AH23" s="23">
        <v>33</v>
      </c>
      <c r="AI23" s="23">
        <v>41</v>
      </c>
      <c r="AJ23" s="23">
        <v>33</v>
      </c>
      <c r="AK23" s="23">
        <v>41</v>
      </c>
      <c r="AL23" s="23">
        <v>33</v>
      </c>
      <c r="AM23" s="23">
        <v>41</v>
      </c>
      <c r="AN23" s="23">
        <v>33</v>
      </c>
      <c r="AO23" s="23">
        <v>41</v>
      </c>
      <c r="AP23" s="23">
        <v>33</v>
      </c>
      <c r="AQ23" s="23">
        <v>41</v>
      </c>
      <c r="AR23" s="23">
        <v>33</v>
      </c>
      <c r="AS23" s="23">
        <v>41</v>
      </c>
      <c r="AT23" s="23">
        <v>33</v>
      </c>
      <c r="AU23" s="23">
        <v>41</v>
      </c>
      <c r="AV23" s="23">
        <v>33</v>
      </c>
      <c r="AW23" s="23">
        <v>41</v>
      </c>
      <c r="AX23" s="23">
        <v>33</v>
      </c>
      <c r="AY23" s="23">
        <v>41</v>
      </c>
      <c r="AZ23" s="23">
        <v>33</v>
      </c>
      <c r="BA23" s="23">
        <v>41</v>
      </c>
      <c r="BB23" s="23">
        <v>33</v>
      </c>
      <c r="BC23" s="23">
        <v>41</v>
      </c>
      <c r="BD23" s="23">
        <v>33</v>
      </c>
      <c r="BE23" s="15">
        <v>41</v>
      </c>
      <c r="BF23" s="76">
        <v>33</v>
      </c>
      <c r="BG23" s="12"/>
      <c r="BH23" s="145" t="s">
        <v>113</v>
      </c>
      <c r="BI23" s="146"/>
      <c r="BJ23" s="107">
        <f>'detail par semaine'!BM20+'detail par semaine'!BZ20</f>
        <v>0</v>
      </c>
      <c r="BK23" s="65">
        <f>'detail par semaine'!CZ20+'detail par semaine'!CM20</f>
        <v>0</v>
      </c>
      <c r="BL23" s="65">
        <f>'detail par semaine'!DD20</f>
        <v>0</v>
      </c>
      <c r="BM23" s="65"/>
      <c r="BN23" s="65">
        <f>'detail par semaine'!DE20</f>
        <v>-41.25</v>
      </c>
      <c r="BO23" s="67">
        <f t="shared" si="5"/>
        <v>-24.77</v>
      </c>
      <c r="BQ23" s="70">
        <f t="shared" si="6"/>
        <v>94</v>
      </c>
    </row>
    <row r="24" spans="1:69" s="1" customFormat="1" ht="25.25" customHeight="1" x14ac:dyDescent="0.2">
      <c r="A24" s="62"/>
      <c r="B24" s="10" t="s">
        <v>46</v>
      </c>
      <c r="C24" s="41" t="s">
        <v>82</v>
      </c>
      <c r="D24" s="32">
        <v>37</v>
      </c>
      <c r="E24" s="38">
        <v>5.522500000000008</v>
      </c>
      <c r="F24" s="23">
        <v>33</v>
      </c>
      <c r="G24" s="23">
        <v>41</v>
      </c>
      <c r="H24" s="60">
        <v>32.75</v>
      </c>
      <c r="I24" s="23">
        <v>42</v>
      </c>
      <c r="J24" s="23">
        <v>33</v>
      </c>
      <c r="K24" s="23">
        <v>41</v>
      </c>
      <c r="L24" s="23">
        <v>33</v>
      </c>
      <c r="M24" s="23">
        <v>41</v>
      </c>
      <c r="N24" s="23">
        <v>33</v>
      </c>
      <c r="O24" s="23">
        <v>41</v>
      </c>
      <c r="P24" s="23">
        <v>33</v>
      </c>
      <c r="Q24" s="23">
        <v>41</v>
      </c>
      <c r="R24" s="23">
        <v>33</v>
      </c>
      <c r="S24" s="23">
        <v>41</v>
      </c>
      <c r="T24" s="23">
        <v>33</v>
      </c>
      <c r="U24" s="23">
        <v>41</v>
      </c>
      <c r="V24" s="23">
        <v>33</v>
      </c>
      <c r="W24" s="23">
        <v>41</v>
      </c>
      <c r="X24" s="23">
        <v>33</v>
      </c>
      <c r="Y24" s="23">
        <v>41</v>
      </c>
      <c r="Z24" s="23">
        <v>33</v>
      </c>
      <c r="AA24" s="23">
        <v>41</v>
      </c>
      <c r="AB24" s="23">
        <v>33</v>
      </c>
      <c r="AC24" s="23">
        <v>41</v>
      </c>
      <c r="AD24" s="23">
        <v>33</v>
      </c>
      <c r="AE24" s="23">
        <v>41</v>
      </c>
      <c r="AF24" s="23">
        <v>33</v>
      </c>
      <c r="AG24" s="23">
        <v>41</v>
      </c>
      <c r="AH24" s="23">
        <v>33</v>
      </c>
      <c r="AI24" s="23">
        <v>41</v>
      </c>
      <c r="AJ24" s="23">
        <v>33</v>
      </c>
      <c r="AK24" s="23">
        <v>41</v>
      </c>
      <c r="AL24" s="23">
        <v>33</v>
      </c>
      <c r="AM24" s="23">
        <v>41</v>
      </c>
      <c r="AN24" s="23">
        <v>33</v>
      </c>
      <c r="AO24" s="23">
        <v>41</v>
      </c>
      <c r="AP24" s="23">
        <v>33</v>
      </c>
      <c r="AQ24" s="23">
        <v>41</v>
      </c>
      <c r="AR24" s="23">
        <v>33</v>
      </c>
      <c r="AS24" s="23">
        <v>41</v>
      </c>
      <c r="AT24" s="23">
        <v>33</v>
      </c>
      <c r="AU24" s="23">
        <v>41</v>
      </c>
      <c r="AV24" s="23">
        <v>33</v>
      </c>
      <c r="AW24" s="23">
        <v>41</v>
      </c>
      <c r="AX24" s="23">
        <v>33</v>
      </c>
      <c r="AY24" s="23">
        <v>41</v>
      </c>
      <c r="AZ24" s="23">
        <v>33</v>
      </c>
      <c r="BA24" s="23">
        <v>41</v>
      </c>
      <c r="BB24" s="23">
        <v>33</v>
      </c>
      <c r="BC24" s="23">
        <v>41</v>
      </c>
      <c r="BD24" s="23">
        <v>33</v>
      </c>
      <c r="BE24" s="15">
        <v>41</v>
      </c>
      <c r="BF24" s="76">
        <v>33</v>
      </c>
      <c r="BG24" s="12"/>
      <c r="BH24" s="143" t="s">
        <v>46</v>
      </c>
      <c r="BI24" s="144"/>
      <c r="BJ24" s="107">
        <f>'detail par semaine'!BM21+'detail par semaine'!BZ21</f>
        <v>1</v>
      </c>
      <c r="BK24" s="65">
        <f>'detail par semaine'!CZ21+'detail par semaine'!CM21</f>
        <v>0</v>
      </c>
      <c r="BL24" s="65">
        <f>'detail par semaine'!DD21</f>
        <v>1.25</v>
      </c>
      <c r="BM24" s="65"/>
      <c r="BN24" s="65">
        <f>'detail par semaine'!DE21</f>
        <v>-33.25</v>
      </c>
      <c r="BO24" s="67">
        <f t="shared" si="5"/>
        <v>-26.477499999999992</v>
      </c>
      <c r="BQ24" s="70">
        <f t="shared" si="6"/>
        <v>95</v>
      </c>
    </row>
    <row r="25" spans="1:69" s="1" customFormat="1" ht="25.25" customHeight="1" x14ac:dyDescent="0.2">
      <c r="A25" s="62"/>
      <c r="B25" s="10" t="s">
        <v>50</v>
      </c>
      <c r="C25" s="41" t="s">
        <v>82</v>
      </c>
      <c r="D25" s="32">
        <v>37</v>
      </c>
      <c r="E25" s="38">
        <v>0.54500000000001236</v>
      </c>
      <c r="F25" s="23">
        <v>33</v>
      </c>
      <c r="G25" s="23">
        <v>41</v>
      </c>
      <c r="H25" s="23">
        <v>33</v>
      </c>
      <c r="I25" s="23">
        <v>41</v>
      </c>
      <c r="J25" s="23">
        <v>33</v>
      </c>
      <c r="K25" s="23">
        <v>41</v>
      </c>
      <c r="L25" s="23">
        <v>33</v>
      </c>
      <c r="M25" s="23">
        <v>41</v>
      </c>
      <c r="N25" s="23">
        <v>33</v>
      </c>
      <c r="O25" s="23">
        <v>41</v>
      </c>
      <c r="P25" s="23">
        <v>33</v>
      </c>
      <c r="Q25" s="23">
        <v>41</v>
      </c>
      <c r="R25" s="23">
        <v>33</v>
      </c>
      <c r="S25" s="23">
        <v>41</v>
      </c>
      <c r="T25" s="23">
        <v>33</v>
      </c>
      <c r="U25" s="23">
        <v>41</v>
      </c>
      <c r="V25" s="23">
        <v>33</v>
      </c>
      <c r="W25" s="23">
        <v>41</v>
      </c>
      <c r="X25" s="23">
        <v>33</v>
      </c>
      <c r="Y25" s="23">
        <v>41</v>
      </c>
      <c r="Z25" s="23">
        <v>33</v>
      </c>
      <c r="AA25" s="23">
        <v>41</v>
      </c>
      <c r="AB25" s="23">
        <v>33</v>
      </c>
      <c r="AC25" s="23">
        <v>41</v>
      </c>
      <c r="AD25" s="23">
        <v>33</v>
      </c>
      <c r="AE25" s="23">
        <v>41</v>
      </c>
      <c r="AF25" s="23">
        <v>33</v>
      </c>
      <c r="AG25" s="23">
        <v>41</v>
      </c>
      <c r="AH25" s="23">
        <v>33</v>
      </c>
      <c r="AI25" s="23">
        <v>41</v>
      </c>
      <c r="AJ25" s="23">
        <v>33</v>
      </c>
      <c r="AK25" s="23">
        <v>41</v>
      </c>
      <c r="AL25" s="23">
        <v>33</v>
      </c>
      <c r="AM25" s="23">
        <v>41</v>
      </c>
      <c r="AN25" s="23">
        <v>33</v>
      </c>
      <c r="AO25" s="23">
        <v>41</v>
      </c>
      <c r="AP25" s="23">
        <v>33</v>
      </c>
      <c r="AQ25" s="23">
        <v>41</v>
      </c>
      <c r="AR25" s="23">
        <v>33</v>
      </c>
      <c r="AS25" s="23">
        <v>41</v>
      </c>
      <c r="AT25" s="23">
        <v>33</v>
      </c>
      <c r="AU25" s="23">
        <v>41</v>
      </c>
      <c r="AV25" s="23">
        <v>33</v>
      </c>
      <c r="AW25" s="23">
        <v>41</v>
      </c>
      <c r="AX25" s="23">
        <v>33</v>
      </c>
      <c r="AY25" s="23">
        <v>41</v>
      </c>
      <c r="AZ25" s="23">
        <v>33</v>
      </c>
      <c r="BA25" s="23">
        <v>41</v>
      </c>
      <c r="BB25" s="23">
        <v>33</v>
      </c>
      <c r="BC25" s="23">
        <v>41</v>
      </c>
      <c r="BD25" s="23">
        <v>33</v>
      </c>
      <c r="BE25" s="15">
        <v>41</v>
      </c>
      <c r="BF25" s="76">
        <v>33</v>
      </c>
      <c r="BG25" s="12"/>
      <c r="BH25" s="143" t="s">
        <v>50</v>
      </c>
      <c r="BI25" s="144"/>
      <c r="BJ25" s="107">
        <f>'detail par semaine'!BM22+'detail par semaine'!BZ22</f>
        <v>0</v>
      </c>
      <c r="BK25" s="65">
        <f>'detail par semaine'!CZ22+'detail par semaine'!CM22</f>
        <v>0</v>
      </c>
      <c r="BL25" s="65">
        <f>'detail par semaine'!DD22</f>
        <v>0</v>
      </c>
      <c r="BM25" s="65"/>
      <c r="BN25" s="65">
        <f>'detail par semaine'!DE22</f>
        <v>-33</v>
      </c>
      <c r="BO25" s="67">
        <f t="shared" si="5"/>
        <v>-32.454999999999984</v>
      </c>
      <c r="BQ25" s="70">
        <f t="shared" si="6"/>
        <v>94</v>
      </c>
    </row>
    <row r="26" spans="1:69" s="1" customFormat="1" ht="25.25" customHeight="1" x14ac:dyDescent="0.2">
      <c r="A26" s="62"/>
      <c r="B26" s="10" t="s">
        <v>47</v>
      </c>
      <c r="C26" s="41" t="s">
        <v>82</v>
      </c>
      <c r="D26" s="32">
        <v>37</v>
      </c>
      <c r="E26" s="38">
        <v>14.125</v>
      </c>
      <c r="F26" s="23">
        <v>33</v>
      </c>
      <c r="G26" s="60">
        <v>38</v>
      </c>
      <c r="H26" s="23">
        <v>33</v>
      </c>
      <c r="I26" s="23">
        <v>41</v>
      </c>
      <c r="J26" s="23">
        <v>33</v>
      </c>
      <c r="K26" s="23">
        <v>41</v>
      </c>
      <c r="L26" s="23">
        <v>33</v>
      </c>
      <c r="M26" s="23">
        <v>41</v>
      </c>
      <c r="N26" s="23">
        <v>33</v>
      </c>
      <c r="O26" s="23">
        <v>41</v>
      </c>
      <c r="P26" s="23">
        <v>33</v>
      </c>
      <c r="Q26" s="23">
        <v>41</v>
      </c>
      <c r="R26" s="23">
        <v>33</v>
      </c>
      <c r="S26" s="23">
        <v>41</v>
      </c>
      <c r="T26" s="23">
        <v>33</v>
      </c>
      <c r="U26" s="23">
        <v>41</v>
      </c>
      <c r="V26" s="23">
        <v>33</v>
      </c>
      <c r="W26" s="23">
        <v>41</v>
      </c>
      <c r="X26" s="23">
        <v>33</v>
      </c>
      <c r="Y26" s="23">
        <v>41</v>
      </c>
      <c r="Z26" s="23">
        <v>33</v>
      </c>
      <c r="AA26" s="23">
        <v>41</v>
      </c>
      <c r="AB26" s="23">
        <v>33</v>
      </c>
      <c r="AC26" s="23">
        <v>41</v>
      </c>
      <c r="AD26" s="23">
        <v>33</v>
      </c>
      <c r="AE26" s="23">
        <v>41</v>
      </c>
      <c r="AF26" s="23">
        <v>33</v>
      </c>
      <c r="AG26" s="23">
        <v>41</v>
      </c>
      <c r="AH26" s="23">
        <v>33</v>
      </c>
      <c r="AI26" s="23">
        <v>41</v>
      </c>
      <c r="AJ26" s="23">
        <v>33</v>
      </c>
      <c r="AK26" s="23">
        <v>41</v>
      </c>
      <c r="AL26" s="23">
        <v>33</v>
      </c>
      <c r="AM26" s="23">
        <v>41</v>
      </c>
      <c r="AN26" s="23">
        <v>33</v>
      </c>
      <c r="AO26" s="23">
        <v>41</v>
      </c>
      <c r="AP26" s="23">
        <v>33</v>
      </c>
      <c r="AQ26" s="23">
        <v>41</v>
      </c>
      <c r="AR26" s="23">
        <v>33</v>
      </c>
      <c r="AS26" s="23">
        <v>41</v>
      </c>
      <c r="AT26" s="23">
        <v>33</v>
      </c>
      <c r="AU26" s="23">
        <v>41</v>
      </c>
      <c r="AV26" s="23">
        <v>33</v>
      </c>
      <c r="AW26" s="23">
        <v>41</v>
      </c>
      <c r="AX26" s="23">
        <v>33</v>
      </c>
      <c r="AY26" s="23">
        <v>41</v>
      </c>
      <c r="AZ26" s="23">
        <v>33</v>
      </c>
      <c r="BA26" s="23">
        <v>41</v>
      </c>
      <c r="BB26" s="23">
        <v>33</v>
      </c>
      <c r="BC26" s="23">
        <v>41</v>
      </c>
      <c r="BD26" s="23">
        <v>33</v>
      </c>
      <c r="BE26" s="15">
        <v>41</v>
      </c>
      <c r="BF26" s="76">
        <v>33</v>
      </c>
      <c r="BG26" s="12"/>
      <c r="BH26" s="143" t="s">
        <v>47</v>
      </c>
      <c r="BI26" s="144"/>
      <c r="BJ26" s="107">
        <f>'detail par semaine'!BM23+'detail par semaine'!BZ23</f>
        <v>0</v>
      </c>
      <c r="BK26" s="65">
        <f>'detail par semaine'!CZ23+'detail par semaine'!CM23</f>
        <v>0</v>
      </c>
      <c r="BL26" s="65">
        <f>'detail par semaine'!DD23</f>
        <v>0</v>
      </c>
      <c r="BM26" s="65"/>
      <c r="BN26" s="65">
        <f>'detail par semaine'!DE23</f>
        <v>-36</v>
      </c>
      <c r="BO26" s="67">
        <f t="shared" si="5"/>
        <v>-21.875</v>
      </c>
      <c r="BQ26" s="69">
        <f t="shared" si="6"/>
        <v>94</v>
      </c>
    </row>
    <row r="27" spans="1:69" s="1" customFormat="1" ht="25.25" customHeight="1" x14ac:dyDescent="0.2">
      <c r="A27" s="62"/>
      <c r="B27" s="10" t="s">
        <v>33</v>
      </c>
      <c r="C27" s="41" t="s">
        <v>82</v>
      </c>
      <c r="D27" s="32">
        <v>37</v>
      </c>
      <c r="E27" s="38">
        <v>14.997499999999999</v>
      </c>
      <c r="F27" s="23">
        <v>33</v>
      </c>
      <c r="G27" s="23">
        <v>41</v>
      </c>
      <c r="H27" s="23">
        <v>33</v>
      </c>
      <c r="I27" s="23">
        <v>41</v>
      </c>
      <c r="J27" s="23">
        <v>33</v>
      </c>
      <c r="K27" s="23">
        <v>41</v>
      </c>
      <c r="L27" s="23">
        <v>33</v>
      </c>
      <c r="M27" s="23">
        <v>41</v>
      </c>
      <c r="N27" s="23">
        <v>33</v>
      </c>
      <c r="O27" s="23">
        <v>41</v>
      </c>
      <c r="P27" s="23">
        <v>33</v>
      </c>
      <c r="Q27" s="23">
        <v>41</v>
      </c>
      <c r="R27" s="23">
        <v>33</v>
      </c>
      <c r="S27" s="23">
        <v>41</v>
      </c>
      <c r="T27" s="23">
        <v>33</v>
      </c>
      <c r="U27" s="23">
        <v>41</v>
      </c>
      <c r="V27" s="23">
        <v>33</v>
      </c>
      <c r="W27" s="23">
        <v>41</v>
      </c>
      <c r="X27" s="23">
        <v>33</v>
      </c>
      <c r="Y27" s="23">
        <v>41</v>
      </c>
      <c r="Z27" s="23">
        <v>33</v>
      </c>
      <c r="AA27" s="23">
        <v>41</v>
      </c>
      <c r="AB27" s="23">
        <v>33</v>
      </c>
      <c r="AC27" s="23">
        <v>41</v>
      </c>
      <c r="AD27" s="23">
        <v>33</v>
      </c>
      <c r="AE27" s="23">
        <v>41</v>
      </c>
      <c r="AF27" s="23">
        <v>33</v>
      </c>
      <c r="AG27" s="23">
        <v>41</v>
      </c>
      <c r="AH27" s="23">
        <v>33</v>
      </c>
      <c r="AI27" s="23">
        <v>41</v>
      </c>
      <c r="AJ27" s="23">
        <v>33</v>
      </c>
      <c r="AK27" s="23">
        <v>41</v>
      </c>
      <c r="AL27" s="23">
        <v>33</v>
      </c>
      <c r="AM27" s="23">
        <v>41</v>
      </c>
      <c r="AN27" s="23">
        <v>33</v>
      </c>
      <c r="AO27" s="23">
        <v>41</v>
      </c>
      <c r="AP27" s="23">
        <v>33</v>
      </c>
      <c r="AQ27" s="23">
        <v>41</v>
      </c>
      <c r="AR27" s="23">
        <v>33</v>
      </c>
      <c r="AS27" s="23">
        <v>41</v>
      </c>
      <c r="AT27" s="23">
        <v>33</v>
      </c>
      <c r="AU27" s="23">
        <v>41</v>
      </c>
      <c r="AV27" s="23">
        <v>33</v>
      </c>
      <c r="AW27" s="23">
        <v>41</v>
      </c>
      <c r="AX27" s="23">
        <v>33</v>
      </c>
      <c r="AY27" s="23">
        <v>41</v>
      </c>
      <c r="AZ27" s="23">
        <v>33</v>
      </c>
      <c r="BA27" s="23">
        <v>41</v>
      </c>
      <c r="BB27" s="23">
        <v>33</v>
      </c>
      <c r="BC27" s="23">
        <v>41</v>
      </c>
      <c r="BD27" s="23">
        <v>33</v>
      </c>
      <c r="BE27" s="15">
        <v>41</v>
      </c>
      <c r="BF27" s="76">
        <v>33</v>
      </c>
      <c r="BG27" s="12"/>
      <c r="BH27" s="143" t="s">
        <v>33</v>
      </c>
      <c r="BI27" s="144"/>
      <c r="BJ27" s="107">
        <f>'detail par semaine'!BM24+'detail par semaine'!BZ24</f>
        <v>0</v>
      </c>
      <c r="BK27" s="65">
        <f>'detail par semaine'!CZ24+'detail par semaine'!CM24</f>
        <v>0</v>
      </c>
      <c r="BL27" s="65">
        <f>'detail par semaine'!DD24</f>
        <v>0</v>
      </c>
      <c r="BM27" s="65"/>
      <c r="BN27" s="65">
        <f>'detail par semaine'!DE24</f>
        <v>-33</v>
      </c>
      <c r="BO27" s="67">
        <f t="shared" si="5"/>
        <v>-18.002500000000001</v>
      </c>
      <c r="BQ27" s="70">
        <f t="shared" si="6"/>
        <v>94</v>
      </c>
    </row>
    <row r="28" spans="1:69" s="1" customFormat="1" ht="25.25" customHeight="1" x14ac:dyDescent="0.2">
      <c r="A28" s="62"/>
      <c r="B28" s="10" t="s">
        <v>122</v>
      </c>
      <c r="C28" s="41" t="s">
        <v>82</v>
      </c>
      <c r="D28" s="32">
        <v>37</v>
      </c>
      <c r="E28" s="38">
        <v>0</v>
      </c>
      <c r="F28" s="23">
        <v>41</v>
      </c>
      <c r="G28" s="23">
        <v>33</v>
      </c>
      <c r="H28" s="60">
        <v>39.5</v>
      </c>
      <c r="I28" s="23">
        <v>33</v>
      </c>
      <c r="J28" s="23">
        <v>41</v>
      </c>
      <c r="K28" s="23">
        <v>33</v>
      </c>
      <c r="L28" s="23">
        <v>41</v>
      </c>
      <c r="M28" s="23">
        <v>33</v>
      </c>
      <c r="N28" s="23">
        <v>41</v>
      </c>
      <c r="O28" s="23">
        <v>33</v>
      </c>
      <c r="P28" s="23">
        <v>41</v>
      </c>
      <c r="Q28" s="23">
        <v>33</v>
      </c>
      <c r="R28" s="23">
        <v>41</v>
      </c>
      <c r="S28" s="23">
        <v>33</v>
      </c>
      <c r="T28" s="23">
        <v>41</v>
      </c>
      <c r="U28" s="23">
        <v>33</v>
      </c>
      <c r="V28" s="23">
        <v>41</v>
      </c>
      <c r="W28" s="23">
        <v>33</v>
      </c>
      <c r="X28" s="23">
        <v>41</v>
      </c>
      <c r="Y28" s="23">
        <v>33</v>
      </c>
      <c r="Z28" s="23">
        <v>41</v>
      </c>
      <c r="AA28" s="23">
        <v>33</v>
      </c>
      <c r="AB28" s="23">
        <v>41</v>
      </c>
      <c r="AC28" s="23">
        <v>33</v>
      </c>
      <c r="AD28" s="23">
        <v>41</v>
      </c>
      <c r="AE28" s="23">
        <v>33</v>
      </c>
      <c r="AF28" s="23">
        <v>41</v>
      </c>
      <c r="AG28" s="23">
        <v>33</v>
      </c>
      <c r="AH28" s="23">
        <v>41</v>
      </c>
      <c r="AI28" s="23">
        <v>33</v>
      </c>
      <c r="AJ28" s="23">
        <v>41</v>
      </c>
      <c r="AK28" s="23">
        <v>33</v>
      </c>
      <c r="AL28" s="23">
        <v>41</v>
      </c>
      <c r="AM28" s="23">
        <v>33</v>
      </c>
      <c r="AN28" s="23">
        <v>41</v>
      </c>
      <c r="AO28" s="23">
        <v>33</v>
      </c>
      <c r="AP28" s="23">
        <v>41</v>
      </c>
      <c r="AQ28" s="23">
        <v>33</v>
      </c>
      <c r="AR28" s="23">
        <v>41</v>
      </c>
      <c r="AS28" s="23">
        <v>33</v>
      </c>
      <c r="AT28" s="23">
        <v>41</v>
      </c>
      <c r="AU28" s="23">
        <v>33</v>
      </c>
      <c r="AV28" s="23">
        <v>41</v>
      </c>
      <c r="AW28" s="23">
        <v>33</v>
      </c>
      <c r="AX28" s="23">
        <v>41</v>
      </c>
      <c r="AY28" s="23">
        <v>33</v>
      </c>
      <c r="AZ28" s="23">
        <v>41</v>
      </c>
      <c r="BA28" s="23">
        <v>33</v>
      </c>
      <c r="BB28" s="23">
        <v>41</v>
      </c>
      <c r="BC28" s="23">
        <v>33</v>
      </c>
      <c r="BD28" s="23">
        <v>41</v>
      </c>
      <c r="BE28" s="23">
        <v>33</v>
      </c>
      <c r="BF28" s="76">
        <v>41</v>
      </c>
      <c r="BG28" s="12"/>
      <c r="BH28" s="145" t="s">
        <v>122</v>
      </c>
      <c r="BI28" s="146"/>
      <c r="BJ28" s="107">
        <f>'detail par semaine'!BM25+'detail par semaine'!BZ25</f>
        <v>0</v>
      </c>
      <c r="BK28" s="65">
        <f>'detail par semaine'!CZ25+'detail par semaine'!CM25</f>
        <v>0</v>
      </c>
      <c r="BL28" s="65">
        <f>'detail par semaine'!DD25</f>
        <v>0</v>
      </c>
      <c r="BM28" s="65"/>
      <c r="BN28" s="65">
        <f>'detail par semaine'!DE25</f>
        <v>-42.5</v>
      </c>
      <c r="BO28" s="67">
        <f t="shared" si="5"/>
        <v>-42.5</v>
      </c>
      <c r="BQ28" s="70">
        <f t="shared" si="6"/>
        <v>94</v>
      </c>
    </row>
    <row r="29" spans="1:69" s="1" customFormat="1" ht="25.25" customHeight="1" x14ac:dyDescent="0.2">
      <c r="A29" s="62"/>
      <c r="B29" s="10" t="s">
        <v>114</v>
      </c>
      <c r="C29" s="41" t="s">
        <v>82</v>
      </c>
      <c r="D29" s="32">
        <v>37</v>
      </c>
      <c r="E29" s="38">
        <v>8.36</v>
      </c>
      <c r="F29" s="23">
        <v>41</v>
      </c>
      <c r="G29" s="23">
        <v>33</v>
      </c>
      <c r="H29" s="23">
        <v>41</v>
      </c>
      <c r="I29" s="23">
        <v>33</v>
      </c>
      <c r="J29" s="23">
        <v>41</v>
      </c>
      <c r="K29" s="23">
        <v>33</v>
      </c>
      <c r="L29" s="23">
        <v>41</v>
      </c>
      <c r="M29" s="23">
        <v>33</v>
      </c>
      <c r="N29" s="23">
        <v>41</v>
      </c>
      <c r="O29" s="23">
        <v>33</v>
      </c>
      <c r="P29" s="23">
        <v>41</v>
      </c>
      <c r="Q29" s="23">
        <v>33</v>
      </c>
      <c r="R29" s="23">
        <v>41</v>
      </c>
      <c r="S29" s="23">
        <v>33</v>
      </c>
      <c r="T29" s="23">
        <v>41</v>
      </c>
      <c r="U29" s="23">
        <v>33</v>
      </c>
      <c r="V29" s="23">
        <v>41</v>
      </c>
      <c r="W29" s="23">
        <v>33</v>
      </c>
      <c r="X29" s="23">
        <v>41</v>
      </c>
      <c r="Y29" s="23">
        <v>33</v>
      </c>
      <c r="Z29" s="23">
        <v>41</v>
      </c>
      <c r="AA29" s="23">
        <v>33</v>
      </c>
      <c r="AB29" s="23">
        <v>41</v>
      </c>
      <c r="AC29" s="23">
        <v>33</v>
      </c>
      <c r="AD29" s="23">
        <v>41</v>
      </c>
      <c r="AE29" s="23">
        <v>33</v>
      </c>
      <c r="AF29" s="23">
        <v>41</v>
      </c>
      <c r="AG29" s="23">
        <v>33</v>
      </c>
      <c r="AH29" s="23">
        <v>41</v>
      </c>
      <c r="AI29" s="23">
        <v>33</v>
      </c>
      <c r="AJ29" s="23">
        <v>41</v>
      </c>
      <c r="AK29" s="23">
        <v>33</v>
      </c>
      <c r="AL29" s="23">
        <v>41</v>
      </c>
      <c r="AM29" s="23">
        <v>33</v>
      </c>
      <c r="AN29" s="23">
        <v>41</v>
      </c>
      <c r="AO29" s="23">
        <v>33</v>
      </c>
      <c r="AP29" s="23">
        <v>41</v>
      </c>
      <c r="AQ29" s="23">
        <v>33</v>
      </c>
      <c r="AR29" s="23">
        <v>41</v>
      </c>
      <c r="AS29" s="23">
        <v>33</v>
      </c>
      <c r="AT29" s="23">
        <v>41</v>
      </c>
      <c r="AU29" s="23">
        <v>33</v>
      </c>
      <c r="AV29" s="23">
        <v>41</v>
      </c>
      <c r="AW29" s="23">
        <v>33</v>
      </c>
      <c r="AX29" s="23">
        <v>41</v>
      </c>
      <c r="AY29" s="23">
        <v>33</v>
      </c>
      <c r="AZ29" s="23">
        <v>41</v>
      </c>
      <c r="BA29" s="23">
        <v>33</v>
      </c>
      <c r="BB29" s="23">
        <v>41</v>
      </c>
      <c r="BC29" s="23">
        <v>33</v>
      </c>
      <c r="BD29" s="23">
        <v>41</v>
      </c>
      <c r="BE29" s="23">
        <v>33</v>
      </c>
      <c r="BF29" s="76">
        <v>41</v>
      </c>
      <c r="BG29" s="12"/>
      <c r="BH29" s="145" t="s">
        <v>114</v>
      </c>
      <c r="BI29" s="146"/>
      <c r="BJ29" s="107">
        <f>'detail par semaine'!BM26+'detail par semaine'!BZ26</f>
        <v>0</v>
      </c>
      <c r="BK29" s="65">
        <f>'detail par semaine'!CZ26+'detail par semaine'!CM26</f>
        <v>0</v>
      </c>
      <c r="BL29" s="65">
        <f>'detail par semaine'!DD26</f>
        <v>0</v>
      </c>
      <c r="BM29" s="65"/>
      <c r="BN29" s="65">
        <f>'detail par semaine'!DE26</f>
        <v>-41</v>
      </c>
      <c r="BO29" s="67">
        <f t="shared" si="5"/>
        <v>-32.64</v>
      </c>
      <c r="BQ29" s="70">
        <f t="shared" si="6"/>
        <v>94</v>
      </c>
    </row>
    <row r="30" spans="1:69" s="1" customFormat="1" ht="25.25" customHeight="1" x14ac:dyDescent="0.2">
      <c r="A30" s="62"/>
      <c r="B30" s="10" t="s">
        <v>115</v>
      </c>
      <c r="C30" s="41" t="s">
        <v>82</v>
      </c>
      <c r="D30" s="32">
        <v>37</v>
      </c>
      <c r="E30" s="38">
        <v>3.06</v>
      </c>
      <c r="F30" s="23">
        <v>41</v>
      </c>
      <c r="G30" s="23">
        <v>33</v>
      </c>
      <c r="H30" s="23">
        <v>41</v>
      </c>
      <c r="I30" s="23">
        <v>41</v>
      </c>
      <c r="J30" s="23">
        <v>33</v>
      </c>
      <c r="K30" s="23">
        <v>41</v>
      </c>
      <c r="L30" s="23">
        <v>33</v>
      </c>
      <c r="M30" s="23">
        <v>41</v>
      </c>
      <c r="N30" s="23">
        <v>33</v>
      </c>
      <c r="O30" s="23">
        <v>41</v>
      </c>
      <c r="P30" s="23">
        <v>33</v>
      </c>
      <c r="Q30" s="23">
        <v>41</v>
      </c>
      <c r="R30" s="23">
        <v>33</v>
      </c>
      <c r="S30" s="23">
        <v>41</v>
      </c>
      <c r="T30" s="23">
        <v>33</v>
      </c>
      <c r="U30" s="23">
        <v>41</v>
      </c>
      <c r="V30" s="23">
        <v>33</v>
      </c>
      <c r="W30" s="23">
        <v>41</v>
      </c>
      <c r="X30" s="23">
        <v>33</v>
      </c>
      <c r="Y30" s="23">
        <v>41</v>
      </c>
      <c r="Z30" s="23">
        <v>33</v>
      </c>
      <c r="AA30" s="23">
        <v>41</v>
      </c>
      <c r="AB30" s="23">
        <v>33</v>
      </c>
      <c r="AC30" s="23">
        <v>41</v>
      </c>
      <c r="AD30" s="23">
        <v>33</v>
      </c>
      <c r="AE30" s="23">
        <v>41</v>
      </c>
      <c r="AF30" s="23">
        <v>33</v>
      </c>
      <c r="AG30" s="23">
        <v>41</v>
      </c>
      <c r="AH30" s="23">
        <v>33</v>
      </c>
      <c r="AI30" s="23">
        <v>41</v>
      </c>
      <c r="AJ30" s="23">
        <v>33</v>
      </c>
      <c r="AK30" s="23">
        <v>41</v>
      </c>
      <c r="AL30" s="23">
        <v>33</v>
      </c>
      <c r="AM30" s="23">
        <v>41</v>
      </c>
      <c r="AN30" s="23">
        <v>33</v>
      </c>
      <c r="AO30" s="23">
        <v>41</v>
      </c>
      <c r="AP30" s="23">
        <v>33</v>
      </c>
      <c r="AQ30" s="23">
        <v>41</v>
      </c>
      <c r="AR30" s="23">
        <v>33</v>
      </c>
      <c r="AS30" s="23">
        <v>41</v>
      </c>
      <c r="AT30" s="23">
        <v>33</v>
      </c>
      <c r="AU30" s="23">
        <v>41</v>
      </c>
      <c r="AV30" s="23">
        <v>33</v>
      </c>
      <c r="AW30" s="23">
        <v>41</v>
      </c>
      <c r="AX30" s="23">
        <v>33</v>
      </c>
      <c r="AY30" s="23">
        <v>41</v>
      </c>
      <c r="AZ30" s="23">
        <v>33</v>
      </c>
      <c r="BA30" s="23">
        <v>41</v>
      </c>
      <c r="BB30" s="23">
        <v>33</v>
      </c>
      <c r="BC30" s="23">
        <v>41</v>
      </c>
      <c r="BD30" s="23">
        <v>33</v>
      </c>
      <c r="BE30" s="15">
        <v>41</v>
      </c>
      <c r="BF30" s="76">
        <v>41</v>
      </c>
      <c r="BG30" s="12"/>
      <c r="BH30" s="145" t="s">
        <v>115</v>
      </c>
      <c r="BI30" s="146"/>
      <c r="BJ30" s="107">
        <f>'detail par semaine'!BM27+'detail par semaine'!BZ27</f>
        <v>0</v>
      </c>
      <c r="BK30" s="65">
        <f>'detail par semaine'!CZ27+'detail par semaine'!CM27</f>
        <v>0</v>
      </c>
      <c r="BL30" s="65">
        <f>'detail par semaine'!DD27</f>
        <v>0</v>
      </c>
      <c r="BM30" s="65"/>
      <c r="BN30" s="65">
        <f>'detail par semaine'!DE27</f>
        <v>-33</v>
      </c>
      <c r="BO30" s="67">
        <f t="shared" si="5"/>
        <v>-29.94</v>
      </c>
      <c r="BQ30" s="70">
        <f t="shared" si="6"/>
        <v>94</v>
      </c>
    </row>
    <row r="31" spans="1:69" s="1" customFormat="1" ht="25.25" customHeight="1" x14ac:dyDescent="0.2">
      <c r="A31" s="62"/>
      <c r="B31" s="10" t="s">
        <v>77</v>
      </c>
      <c r="C31" s="41" t="s">
        <v>82</v>
      </c>
      <c r="D31" s="32">
        <v>37</v>
      </c>
      <c r="E31" s="38">
        <v>15.002499999999998</v>
      </c>
      <c r="F31" s="23">
        <v>33</v>
      </c>
      <c r="G31" s="23">
        <v>41</v>
      </c>
      <c r="H31" s="23">
        <v>33</v>
      </c>
      <c r="I31" s="23">
        <v>41</v>
      </c>
      <c r="J31" s="23">
        <v>33</v>
      </c>
      <c r="K31" s="23">
        <v>41</v>
      </c>
      <c r="L31" s="23">
        <v>33</v>
      </c>
      <c r="M31" s="23">
        <v>41</v>
      </c>
      <c r="N31" s="23">
        <v>33</v>
      </c>
      <c r="O31" s="23">
        <v>41</v>
      </c>
      <c r="P31" s="23">
        <v>33</v>
      </c>
      <c r="Q31" s="23">
        <v>41</v>
      </c>
      <c r="R31" s="23">
        <v>33</v>
      </c>
      <c r="S31" s="23">
        <v>41</v>
      </c>
      <c r="T31" s="23">
        <v>33</v>
      </c>
      <c r="U31" s="23">
        <v>41</v>
      </c>
      <c r="V31" s="23">
        <v>33</v>
      </c>
      <c r="W31" s="23">
        <v>41</v>
      </c>
      <c r="X31" s="23">
        <v>33</v>
      </c>
      <c r="Y31" s="23">
        <v>41</v>
      </c>
      <c r="Z31" s="23">
        <v>33</v>
      </c>
      <c r="AA31" s="23">
        <v>41</v>
      </c>
      <c r="AB31" s="23">
        <v>33</v>
      </c>
      <c r="AC31" s="23">
        <v>41</v>
      </c>
      <c r="AD31" s="23">
        <v>33</v>
      </c>
      <c r="AE31" s="23">
        <v>41</v>
      </c>
      <c r="AF31" s="23">
        <v>33</v>
      </c>
      <c r="AG31" s="23">
        <v>41</v>
      </c>
      <c r="AH31" s="23">
        <v>33</v>
      </c>
      <c r="AI31" s="23">
        <v>41</v>
      </c>
      <c r="AJ31" s="23">
        <v>33</v>
      </c>
      <c r="AK31" s="23">
        <v>41</v>
      </c>
      <c r="AL31" s="23">
        <v>33</v>
      </c>
      <c r="AM31" s="23">
        <v>41</v>
      </c>
      <c r="AN31" s="23">
        <v>33</v>
      </c>
      <c r="AO31" s="23">
        <v>41</v>
      </c>
      <c r="AP31" s="23">
        <v>33</v>
      </c>
      <c r="AQ31" s="23">
        <v>41</v>
      </c>
      <c r="AR31" s="23">
        <v>33</v>
      </c>
      <c r="AS31" s="23">
        <v>41</v>
      </c>
      <c r="AT31" s="23">
        <v>33</v>
      </c>
      <c r="AU31" s="23">
        <v>41</v>
      </c>
      <c r="AV31" s="23">
        <v>33</v>
      </c>
      <c r="AW31" s="23">
        <v>41</v>
      </c>
      <c r="AX31" s="23">
        <v>33</v>
      </c>
      <c r="AY31" s="23">
        <v>41</v>
      </c>
      <c r="AZ31" s="23">
        <v>33</v>
      </c>
      <c r="BA31" s="23">
        <v>41</v>
      </c>
      <c r="BB31" s="23">
        <v>33</v>
      </c>
      <c r="BC31" s="23">
        <v>41</v>
      </c>
      <c r="BD31" s="23">
        <v>33</v>
      </c>
      <c r="BE31" s="15">
        <v>41</v>
      </c>
      <c r="BF31" s="76">
        <v>33</v>
      </c>
      <c r="BG31" s="12"/>
      <c r="BH31" s="143" t="s">
        <v>77</v>
      </c>
      <c r="BI31" s="144"/>
      <c r="BJ31" s="107">
        <f>'detail par semaine'!BM28+'detail par semaine'!BZ28</f>
        <v>0</v>
      </c>
      <c r="BK31" s="65">
        <f>'detail par semaine'!CZ28+'detail par semaine'!CM28</f>
        <v>0</v>
      </c>
      <c r="BL31" s="65">
        <f>'detail par semaine'!DD28</f>
        <v>0</v>
      </c>
      <c r="BM31" s="65"/>
      <c r="BN31" s="65">
        <f>'detail par semaine'!DE28</f>
        <v>-33</v>
      </c>
      <c r="BO31" s="67">
        <f t="shared" si="5"/>
        <v>-17.997500000000002</v>
      </c>
      <c r="BQ31" s="70">
        <f t="shared" si="6"/>
        <v>94</v>
      </c>
    </row>
    <row r="32" spans="1:69" s="1" customFormat="1" ht="25.25" customHeight="1" x14ac:dyDescent="0.2">
      <c r="A32" s="62"/>
      <c r="B32" s="10" t="s">
        <v>129</v>
      </c>
      <c r="C32" s="41" t="s">
        <v>82</v>
      </c>
      <c r="D32" s="32">
        <v>37</v>
      </c>
      <c r="E32" s="38">
        <v>0</v>
      </c>
      <c r="F32" s="23">
        <v>33</v>
      </c>
      <c r="G32" s="23">
        <v>41</v>
      </c>
      <c r="H32" s="23">
        <v>33</v>
      </c>
      <c r="I32" s="23">
        <v>41</v>
      </c>
      <c r="J32" s="23">
        <v>33</v>
      </c>
      <c r="K32" s="23">
        <v>41</v>
      </c>
      <c r="L32" s="23">
        <v>33</v>
      </c>
      <c r="M32" s="23">
        <v>41</v>
      </c>
      <c r="N32" s="23">
        <v>33</v>
      </c>
      <c r="O32" s="23">
        <v>41</v>
      </c>
      <c r="P32" s="23">
        <v>33</v>
      </c>
      <c r="Q32" s="23">
        <v>41</v>
      </c>
      <c r="R32" s="23">
        <v>33</v>
      </c>
      <c r="S32" s="23">
        <v>41</v>
      </c>
      <c r="T32" s="23">
        <v>33</v>
      </c>
      <c r="U32" s="23">
        <v>41</v>
      </c>
      <c r="V32" s="23">
        <v>33</v>
      </c>
      <c r="W32" s="23">
        <v>41</v>
      </c>
      <c r="X32" s="23">
        <v>33</v>
      </c>
      <c r="Y32" s="23">
        <v>41</v>
      </c>
      <c r="Z32" s="23">
        <v>33</v>
      </c>
      <c r="AA32" s="23">
        <v>41</v>
      </c>
      <c r="AB32" s="23">
        <v>33</v>
      </c>
      <c r="AC32" s="23">
        <v>41</v>
      </c>
      <c r="AD32" s="23">
        <v>33</v>
      </c>
      <c r="AE32" s="23">
        <v>41</v>
      </c>
      <c r="AF32" s="23">
        <v>33</v>
      </c>
      <c r="AG32" s="23">
        <v>41</v>
      </c>
      <c r="AH32" s="23">
        <v>33</v>
      </c>
      <c r="AI32" s="23">
        <v>41</v>
      </c>
      <c r="AJ32" s="23">
        <v>33</v>
      </c>
      <c r="AK32" s="23">
        <v>41</v>
      </c>
      <c r="AL32" s="23">
        <v>33</v>
      </c>
      <c r="AM32" s="23">
        <v>41</v>
      </c>
      <c r="AN32" s="23">
        <v>33</v>
      </c>
      <c r="AO32" s="23">
        <v>41</v>
      </c>
      <c r="AP32" s="23">
        <v>33</v>
      </c>
      <c r="AQ32" s="23">
        <v>41</v>
      </c>
      <c r="AR32" s="23">
        <v>33</v>
      </c>
      <c r="AS32" s="23">
        <v>41</v>
      </c>
      <c r="AT32" s="23">
        <v>33</v>
      </c>
      <c r="AU32" s="23">
        <v>41</v>
      </c>
      <c r="AV32" s="23">
        <v>33</v>
      </c>
      <c r="AW32" s="23">
        <v>41</v>
      </c>
      <c r="AX32" s="23">
        <v>33</v>
      </c>
      <c r="AY32" s="23">
        <v>41</v>
      </c>
      <c r="AZ32" s="23">
        <v>33</v>
      </c>
      <c r="BA32" s="23">
        <v>41</v>
      </c>
      <c r="BB32" s="23">
        <v>33</v>
      </c>
      <c r="BC32" s="23">
        <v>41</v>
      </c>
      <c r="BD32" s="23">
        <v>33</v>
      </c>
      <c r="BE32" s="15">
        <v>41</v>
      </c>
      <c r="BF32" s="76">
        <v>33</v>
      </c>
      <c r="BG32" s="12"/>
      <c r="BH32" s="145" t="s">
        <v>129</v>
      </c>
      <c r="BI32" s="146"/>
      <c r="BJ32" s="107">
        <f>'detail par semaine'!BM29+'detail par semaine'!BZ29</f>
        <v>0</v>
      </c>
      <c r="BK32" s="65">
        <f>'detail par semaine'!CZ29+'detail par semaine'!CM29</f>
        <v>0</v>
      </c>
      <c r="BL32" s="65">
        <f>'detail par semaine'!DD29</f>
        <v>0</v>
      </c>
      <c r="BM32" s="65"/>
      <c r="BN32" s="65">
        <f>'detail par semaine'!DE29</f>
        <v>-33</v>
      </c>
      <c r="BO32" s="67">
        <f t="shared" si="5"/>
        <v>-33</v>
      </c>
      <c r="BQ32" s="70"/>
    </row>
    <row r="33" spans="1:69" s="1" customFormat="1" ht="25.25" customHeight="1" x14ac:dyDescent="0.2">
      <c r="A33" s="62"/>
      <c r="B33" s="10" t="s">
        <v>68</v>
      </c>
      <c r="C33" s="41" t="s">
        <v>82</v>
      </c>
      <c r="D33" s="32">
        <v>37</v>
      </c>
      <c r="E33" s="38">
        <v>15</v>
      </c>
      <c r="F33" s="23">
        <v>33</v>
      </c>
      <c r="G33" s="23">
        <v>41</v>
      </c>
      <c r="H33" s="23">
        <v>33</v>
      </c>
      <c r="I33" s="23">
        <v>41</v>
      </c>
      <c r="J33" s="23">
        <v>33</v>
      </c>
      <c r="K33" s="23">
        <v>41</v>
      </c>
      <c r="L33" s="23">
        <v>33</v>
      </c>
      <c r="M33" s="23">
        <v>41</v>
      </c>
      <c r="N33" s="23">
        <v>33</v>
      </c>
      <c r="O33" s="23">
        <v>41</v>
      </c>
      <c r="P33" s="23">
        <v>33</v>
      </c>
      <c r="Q33" s="23">
        <v>41</v>
      </c>
      <c r="R33" s="23">
        <v>33</v>
      </c>
      <c r="S33" s="23">
        <v>41</v>
      </c>
      <c r="T33" s="23">
        <v>33</v>
      </c>
      <c r="U33" s="23">
        <v>41</v>
      </c>
      <c r="V33" s="23">
        <v>33</v>
      </c>
      <c r="W33" s="23">
        <v>41</v>
      </c>
      <c r="X33" s="23">
        <v>33</v>
      </c>
      <c r="Y33" s="23">
        <v>41</v>
      </c>
      <c r="Z33" s="23">
        <v>33</v>
      </c>
      <c r="AA33" s="23">
        <v>41</v>
      </c>
      <c r="AB33" s="23">
        <v>33</v>
      </c>
      <c r="AC33" s="23">
        <v>41</v>
      </c>
      <c r="AD33" s="23">
        <v>33</v>
      </c>
      <c r="AE33" s="23">
        <v>41</v>
      </c>
      <c r="AF33" s="23">
        <v>33</v>
      </c>
      <c r="AG33" s="23">
        <v>41</v>
      </c>
      <c r="AH33" s="23">
        <v>33</v>
      </c>
      <c r="AI33" s="23">
        <v>41</v>
      </c>
      <c r="AJ33" s="23">
        <v>33</v>
      </c>
      <c r="AK33" s="23">
        <v>41</v>
      </c>
      <c r="AL33" s="23">
        <v>33</v>
      </c>
      <c r="AM33" s="23">
        <v>41</v>
      </c>
      <c r="AN33" s="23">
        <v>33</v>
      </c>
      <c r="AO33" s="23">
        <v>41</v>
      </c>
      <c r="AP33" s="23">
        <v>33</v>
      </c>
      <c r="AQ33" s="23">
        <v>41</v>
      </c>
      <c r="AR33" s="23">
        <v>33</v>
      </c>
      <c r="AS33" s="23">
        <v>41</v>
      </c>
      <c r="AT33" s="23">
        <v>33</v>
      </c>
      <c r="AU33" s="23">
        <v>41</v>
      </c>
      <c r="AV33" s="23">
        <v>33</v>
      </c>
      <c r="AW33" s="23">
        <v>41</v>
      </c>
      <c r="AX33" s="23">
        <v>33</v>
      </c>
      <c r="AY33" s="23">
        <v>41</v>
      </c>
      <c r="AZ33" s="23">
        <v>33</v>
      </c>
      <c r="BA33" s="23">
        <v>41</v>
      </c>
      <c r="BB33" s="23">
        <v>33</v>
      </c>
      <c r="BC33" s="23">
        <v>41</v>
      </c>
      <c r="BD33" s="23">
        <v>33</v>
      </c>
      <c r="BE33" s="15">
        <v>41</v>
      </c>
      <c r="BF33" s="76">
        <v>33</v>
      </c>
      <c r="BG33" s="12"/>
      <c r="BH33" s="143" t="s">
        <v>68</v>
      </c>
      <c r="BI33" s="144"/>
      <c r="BJ33" s="107">
        <f>'detail par semaine'!BM30+'detail par semaine'!BZ30</f>
        <v>0</v>
      </c>
      <c r="BK33" s="65">
        <f>'detail par semaine'!CZ30+'detail par semaine'!CM30</f>
        <v>0</v>
      </c>
      <c r="BL33" s="65">
        <f>'detail par semaine'!DD30</f>
        <v>0</v>
      </c>
      <c r="BM33" s="65"/>
      <c r="BN33" s="65">
        <f>'detail par semaine'!DE30</f>
        <v>-33</v>
      </c>
      <c r="BO33" s="67">
        <f t="shared" si="5"/>
        <v>-18</v>
      </c>
      <c r="BQ33" s="70">
        <f t="shared" si="6"/>
        <v>94</v>
      </c>
    </row>
    <row r="34" spans="1:69" s="1" customFormat="1" ht="25.25" customHeight="1" x14ac:dyDescent="0.2">
      <c r="A34" s="62"/>
      <c r="B34" s="10" t="s">
        <v>80</v>
      </c>
      <c r="C34" s="41" t="s">
        <v>82</v>
      </c>
      <c r="D34" s="32">
        <v>37</v>
      </c>
      <c r="E34" s="38">
        <v>2.0625</v>
      </c>
      <c r="F34" s="23">
        <v>33</v>
      </c>
      <c r="G34" s="60">
        <v>40</v>
      </c>
      <c r="H34" s="23">
        <v>33</v>
      </c>
      <c r="I34" s="23">
        <v>41</v>
      </c>
      <c r="J34" s="23">
        <v>33</v>
      </c>
      <c r="K34" s="23">
        <v>41</v>
      </c>
      <c r="L34" s="23">
        <v>33</v>
      </c>
      <c r="M34" s="23">
        <v>41</v>
      </c>
      <c r="N34" s="23">
        <v>33</v>
      </c>
      <c r="O34" s="23">
        <v>41</v>
      </c>
      <c r="P34" s="23">
        <v>33</v>
      </c>
      <c r="Q34" s="23">
        <v>41</v>
      </c>
      <c r="R34" s="23">
        <v>33</v>
      </c>
      <c r="S34" s="23">
        <v>41</v>
      </c>
      <c r="T34" s="23">
        <v>33</v>
      </c>
      <c r="U34" s="23">
        <v>41</v>
      </c>
      <c r="V34" s="23">
        <v>33</v>
      </c>
      <c r="W34" s="23">
        <v>41</v>
      </c>
      <c r="X34" s="23">
        <v>33</v>
      </c>
      <c r="Y34" s="23">
        <v>41</v>
      </c>
      <c r="Z34" s="23">
        <v>33</v>
      </c>
      <c r="AA34" s="23">
        <v>41</v>
      </c>
      <c r="AB34" s="23">
        <v>33</v>
      </c>
      <c r="AC34" s="23">
        <v>41</v>
      </c>
      <c r="AD34" s="23">
        <v>33</v>
      </c>
      <c r="AE34" s="23">
        <v>41</v>
      </c>
      <c r="AF34" s="23">
        <v>33</v>
      </c>
      <c r="AG34" s="23">
        <v>41</v>
      </c>
      <c r="AH34" s="23">
        <v>33</v>
      </c>
      <c r="AI34" s="23">
        <v>41</v>
      </c>
      <c r="AJ34" s="23">
        <v>33</v>
      </c>
      <c r="AK34" s="23">
        <v>41</v>
      </c>
      <c r="AL34" s="23">
        <v>33</v>
      </c>
      <c r="AM34" s="23">
        <v>41</v>
      </c>
      <c r="AN34" s="23">
        <v>33</v>
      </c>
      <c r="AO34" s="23">
        <v>41</v>
      </c>
      <c r="AP34" s="23">
        <v>33</v>
      </c>
      <c r="AQ34" s="23">
        <v>41</v>
      </c>
      <c r="AR34" s="23">
        <v>33</v>
      </c>
      <c r="AS34" s="23">
        <v>41</v>
      </c>
      <c r="AT34" s="23">
        <v>33</v>
      </c>
      <c r="AU34" s="23">
        <v>41</v>
      </c>
      <c r="AV34" s="23">
        <v>33</v>
      </c>
      <c r="AW34" s="23">
        <v>41</v>
      </c>
      <c r="AX34" s="23">
        <v>33</v>
      </c>
      <c r="AY34" s="23">
        <v>41</v>
      </c>
      <c r="AZ34" s="23">
        <v>33</v>
      </c>
      <c r="BA34" s="23">
        <v>41</v>
      </c>
      <c r="BB34" s="23">
        <v>33</v>
      </c>
      <c r="BC34" s="23">
        <v>41</v>
      </c>
      <c r="BD34" s="23">
        <v>33</v>
      </c>
      <c r="BE34" s="15">
        <v>41</v>
      </c>
      <c r="BF34" s="76">
        <v>33</v>
      </c>
      <c r="BG34" s="12"/>
      <c r="BH34" s="143" t="s">
        <v>80</v>
      </c>
      <c r="BI34" s="144"/>
      <c r="BJ34" s="107">
        <f>'detail par semaine'!BM31+'detail par semaine'!BZ31</f>
        <v>0</v>
      </c>
      <c r="BK34" s="65">
        <f>'detail par semaine'!CZ31+'detail par semaine'!CM31</f>
        <v>0</v>
      </c>
      <c r="BL34" s="65">
        <f>'detail par semaine'!DD31</f>
        <v>0</v>
      </c>
      <c r="BM34" s="65"/>
      <c r="BN34" s="65">
        <f>'detail par semaine'!DE31</f>
        <v>-34</v>
      </c>
      <c r="BO34" s="67">
        <f t="shared" si="5"/>
        <v>-31.9375</v>
      </c>
      <c r="BQ34" s="69">
        <f t="shared" si="6"/>
        <v>94</v>
      </c>
    </row>
    <row r="35" spans="1:69" s="1" customFormat="1" ht="25.25" customHeight="1" x14ac:dyDescent="0.2">
      <c r="A35" s="62"/>
      <c r="B35" s="10" t="s">
        <v>123</v>
      </c>
      <c r="C35" s="41" t="s">
        <v>82</v>
      </c>
      <c r="D35" s="32">
        <v>37</v>
      </c>
      <c r="E35" s="38">
        <v>8.69</v>
      </c>
      <c r="F35" s="23">
        <v>33</v>
      </c>
      <c r="G35" s="23">
        <v>41</v>
      </c>
      <c r="H35" s="23">
        <v>33</v>
      </c>
      <c r="I35" s="23">
        <v>41</v>
      </c>
      <c r="J35" s="23">
        <v>33</v>
      </c>
      <c r="K35" s="23">
        <v>41</v>
      </c>
      <c r="L35" s="23">
        <v>33</v>
      </c>
      <c r="M35" s="23">
        <v>41</v>
      </c>
      <c r="N35" s="23">
        <v>33</v>
      </c>
      <c r="O35" s="23">
        <v>41</v>
      </c>
      <c r="P35" s="23">
        <v>33</v>
      </c>
      <c r="Q35" s="23">
        <v>41</v>
      </c>
      <c r="R35" s="23">
        <v>33</v>
      </c>
      <c r="S35" s="23">
        <v>41</v>
      </c>
      <c r="T35" s="23">
        <v>33</v>
      </c>
      <c r="U35" s="23">
        <v>41</v>
      </c>
      <c r="V35" s="23">
        <v>33</v>
      </c>
      <c r="W35" s="23">
        <v>41</v>
      </c>
      <c r="X35" s="23">
        <v>33</v>
      </c>
      <c r="Y35" s="23">
        <v>41</v>
      </c>
      <c r="Z35" s="23">
        <v>33</v>
      </c>
      <c r="AA35" s="23">
        <v>41</v>
      </c>
      <c r="AB35" s="23">
        <v>33</v>
      </c>
      <c r="AC35" s="23">
        <v>41</v>
      </c>
      <c r="AD35" s="23">
        <v>33</v>
      </c>
      <c r="AE35" s="23">
        <v>41</v>
      </c>
      <c r="AF35" s="23">
        <v>33</v>
      </c>
      <c r="AG35" s="23">
        <v>41</v>
      </c>
      <c r="AH35" s="23">
        <v>33</v>
      </c>
      <c r="AI35" s="23">
        <v>41</v>
      </c>
      <c r="AJ35" s="23">
        <v>33</v>
      </c>
      <c r="AK35" s="23">
        <v>41</v>
      </c>
      <c r="AL35" s="23">
        <v>33</v>
      </c>
      <c r="AM35" s="23">
        <v>41</v>
      </c>
      <c r="AN35" s="23">
        <v>33</v>
      </c>
      <c r="AO35" s="23">
        <v>41</v>
      </c>
      <c r="AP35" s="23">
        <v>33</v>
      </c>
      <c r="AQ35" s="23">
        <v>41</v>
      </c>
      <c r="AR35" s="23">
        <v>33</v>
      </c>
      <c r="AS35" s="23">
        <v>41</v>
      </c>
      <c r="AT35" s="23">
        <v>33</v>
      </c>
      <c r="AU35" s="23">
        <v>41</v>
      </c>
      <c r="AV35" s="23">
        <v>33</v>
      </c>
      <c r="AW35" s="23">
        <v>41</v>
      </c>
      <c r="AX35" s="23">
        <v>33</v>
      </c>
      <c r="AY35" s="23">
        <v>41</v>
      </c>
      <c r="AZ35" s="23">
        <v>33</v>
      </c>
      <c r="BA35" s="23">
        <v>41</v>
      </c>
      <c r="BB35" s="23">
        <v>33</v>
      </c>
      <c r="BC35" s="23">
        <v>41</v>
      </c>
      <c r="BD35" s="23">
        <v>33</v>
      </c>
      <c r="BE35" s="15">
        <v>41</v>
      </c>
      <c r="BF35" s="76">
        <v>33</v>
      </c>
      <c r="BG35" s="12"/>
      <c r="BH35" s="143" t="s">
        <v>123</v>
      </c>
      <c r="BI35" s="144"/>
      <c r="BJ35" s="107">
        <f>'detail par semaine'!BM32+'detail par semaine'!BZ32</f>
        <v>0</v>
      </c>
      <c r="BK35" s="65">
        <f>'detail par semaine'!CZ32+'detail par semaine'!CM32</f>
        <v>0</v>
      </c>
      <c r="BL35" s="65">
        <f>'detail par semaine'!DD32</f>
        <v>0</v>
      </c>
      <c r="BM35" s="65"/>
      <c r="BN35" s="65">
        <f>'detail par semaine'!DE32</f>
        <v>-33</v>
      </c>
      <c r="BO35" s="67">
        <f t="shared" si="5"/>
        <v>-24.310000000000002</v>
      </c>
      <c r="BQ35" s="69">
        <f t="shared" si="6"/>
        <v>94</v>
      </c>
    </row>
    <row r="36" spans="1:69" s="1" customFormat="1" ht="25.25" customHeight="1" x14ac:dyDescent="0.2">
      <c r="A36" s="62"/>
      <c r="B36" s="10" t="s">
        <v>121</v>
      </c>
      <c r="C36" s="41" t="s">
        <v>82</v>
      </c>
      <c r="D36" s="32">
        <v>37</v>
      </c>
      <c r="E36" s="38">
        <v>5.69</v>
      </c>
      <c r="F36" s="23">
        <v>41</v>
      </c>
      <c r="G36" s="23">
        <v>39</v>
      </c>
      <c r="H36" s="23">
        <v>38</v>
      </c>
      <c r="I36" s="23">
        <v>40.75</v>
      </c>
      <c r="J36" s="23">
        <v>33</v>
      </c>
      <c r="K36" s="23">
        <v>41</v>
      </c>
      <c r="L36" s="23">
        <v>33</v>
      </c>
      <c r="M36" s="23">
        <v>41</v>
      </c>
      <c r="N36" s="23">
        <v>33</v>
      </c>
      <c r="O36" s="23">
        <v>41</v>
      </c>
      <c r="P36" s="23">
        <v>33</v>
      </c>
      <c r="Q36" s="23">
        <v>41</v>
      </c>
      <c r="R36" s="23">
        <v>33</v>
      </c>
      <c r="S36" s="23">
        <v>41</v>
      </c>
      <c r="T36" s="23">
        <v>33</v>
      </c>
      <c r="U36" s="23">
        <v>41</v>
      </c>
      <c r="V36" s="23">
        <v>33</v>
      </c>
      <c r="W36" s="23">
        <v>41</v>
      </c>
      <c r="X36" s="23">
        <v>33</v>
      </c>
      <c r="Y36" s="23">
        <v>41</v>
      </c>
      <c r="Z36" s="23">
        <v>33</v>
      </c>
      <c r="AA36" s="23">
        <v>41</v>
      </c>
      <c r="AB36" s="23">
        <v>33</v>
      </c>
      <c r="AC36" s="23">
        <v>41</v>
      </c>
      <c r="AD36" s="23">
        <v>33</v>
      </c>
      <c r="AE36" s="23">
        <v>41</v>
      </c>
      <c r="AF36" s="23">
        <v>33</v>
      </c>
      <c r="AG36" s="23">
        <v>41</v>
      </c>
      <c r="AH36" s="23">
        <v>33</v>
      </c>
      <c r="AI36" s="23">
        <v>41</v>
      </c>
      <c r="AJ36" s="23">
        <v>33</v>
      </c>
      <c r="AK36" s="23">
        <v>41</v>
      </c>
      <c r="AL36" s="23">
        <v>33</v>
      </c>
      <c r="AM36" s="23">
        <v>41</v>
      </c>
      <c r="AN36" s="23">
        <v>33</v>
      </c>
      <c r="AO36" s="23">
        <v>41</v>
      </c>
      <c r="AP36" s="23">
        <v>33</v>
      </c>
      <c r="AQ36" s="23">
        <v>41</v>
      </c>
      <c r="AR36" s="23">
        <v>33</v>
      </c>
      <c r="AS36" s="23">
        <v>41</v>
      </c>
      <c r="AT36" s="23">
        <v>33</v>
      </c>
      <c r="AU36" s="23">
        <v>41</v>
      </c>
      <c r="AV36" s="23">
        <v>33</v>
      </c>
      <c r="AW36" s="23">
        <v>41</v>
      </c>
      <c r="AX36" s="23">
        <v>33</v>
      </c>
      <c r="AY36" s="23">
        <v>41</v>
      </c>
      <c r="AZ36" s="23">
        <v>33</v>
      </c>
      <c r="BA36" s="23">
        <v>41</v>
      </c>
      <c r="BB36" s="23">
        <v>33</v>
      </c>
      <c r="BC36" s="23">
        <v>41</v>
      </c>
      <c r="BD36" s="23">
        <v>33</v>
      </c>
      <c r="BE36" s="15">
        <v>41</v>
      </c>
      <c r="BF36" s="76">
        <v>33</v>
      </c>
      <c r="BG36" s="12"/>
      <c r="BH36" s="143" t="s">
        <v>121</v>
      </c>
      <c r="BI36" s="144"/>
      <c r="BJ36" s="107">
        <f>'detail par semaine'!BM33+'detail par semaine'!BZ33</f>
        <v>3</v>
      </c>
      <c r="BK36" s="65">
        <f>'detail par semaine'!CZ33+'detail par semaine'!CM33</f>
        <v>0</v>
      </c>
      <c r="BL36" s="65">
        <f>'detail par semaine'!DD33</f>
        <v>3.75</v>
      </c>
      <c r="BM36" s="65"/>
      <c r="BN36" s="65">
        <f>'detail par semaine'!DE33</f>
        <v>-33.25</v>
      </c>
      <c r="BO36" s="67">
        <f t="shared" si="5"/>
        <v>-23.81</v>
      </c>
      <c r="BQ36" s="69">
        <f t="shared" si="6"/>
        <v>97</v>
      </c>
    </row>
    <row r="37" spans="1:69" s="1" customFormat="1" ht="25.25" customHeight="1" x14ac:dyDescent="0.2">
      <c r="A37" s="62"/>
      <c r="B37" s="10" t="s">
        <v>35</v>
      </c>
      <c r="C37" s="41" t="s">
        <v>106</v>
      </c>
      <c r="D37" s="32">
        <v>39</v>
      </c>
      <c r="E37" s="38">
        <v>0</v>
      </c>
      <c r="F37" s="23">
        <v>39</v>
      </c>
      <c r="G37" s="23">
        <v>39</v>
      </c>
      <c r="H37" s="23">
        <v>39</v>
      </c>
      <c r="I37" s="23">
        <v>39</v>
      </c>
      <c r="J37" s="23">
        <v>39</v>
      </c>
      <c r="K37" s="23">
        <v>39</v>
      </c>
      <c r="L37" s="23">
        <v>39</v>
      </c>
      <c r="M37" s="23">
        <v>39</v>
      </c>
      <c r="N37" s="23">
        <v>39</v>
      </c>
      <c r="O37" s="23">
        <v>39</v>
      </c>
      <c r="P37" s="23">
        <v>39</v>
      </c>
      <c r="Q37" s="23">
        <v>39</v>
      </c>
      <c r="R37" s="23">
        <v>39</v>
      </c>
      <c r="S37" s="23">
        <v>39</v>
      </c>
      <c r="T37" s="23">
        <v>39</v>
      </c>
      <c r="U37" s="23">
        <v>39</v>
      </c>
      <c r="V37" s="23">
        <v>39</v>
      </c>
      <c r="W37" s="23">
        <v>39</v>
      </c>
      <c r="X37" s="23">
        <v>39</v>
      </c>
      <c r="Y37" s="23">
        <v>39</v>
      </c>
      <c r="Z37" s="23">
        <v>39</v>
      </c>
      <c r="AA37" s="23">
        <v>39</v>
      </c>
      <c r="AB37" s="23">
        <v>39</v>
      </c>
      <c r="AC37" s="23">
        <v>39</v>
      </c>
      <c r="AD37" s="23">
        <v>39</v>
      </c>
      <c r="AE37" s="23">
        <v>39</v>
      </c>
      <c r="AF37" s="23">
        <v>39</v>
      </c>
      <c r="AG37" s="23">
        <v>39</v>
      </c>
      <c r="AH37" s="23">
        <v>39</v>
      </c>
      <c r="AI37" s="23">
        <v>39</v>
      </c>
      <c r="AJ37" s="23">
        <v>39</v>
      </c>
      <c r="AK37" s="23">
        <v>39</v>
      </c>
      <c r="AL37" s="23">
        <v>39</v>
      </c>
      <c r="AM37" s="23">
        <v>39</v>
      </c>
      <c r="AN37" s="23">
        <v>39</v>
      </c>
      <c r="AO37" s="23">
        <v>39</v>
      </c>
      <c r="AP37" s="23">
        <v>39</v>
      </c>
      <c r="AQ37" s="23">
        <v>39</v>
      </c>
      <c r="AR37" s="23">
        <v>39</v>
      </c>
      <c r="AS37" s="23">
        <v>39</v>
      </c>
      <c r="AT37" s="23">
        <v>39</v>
      </c>
      <c r="AU37" s="23">
        <v>39</v>
      </c>
      <c r="AV37" s="23">
        <v>39</v>
      </c>
      <c r="AW37" s="23">
        <v>39</v>
      </c>
      <c r="AX37" s="23">
        <v>39</v>
      </c>
      <c r="AY37" s="23">
        <v>39</v>
      </c>
      <c r="AZ37" s="23">
        <v>39</v>
      </c>
      <c r="BA37" s="23">
        <v>39</v>
      </c>
      <c r="BB37" s="23">
        <v>39</v>
      </c>
      <c r="BC37" s="23">
        <v>39</v>
      </c>
      <c r="BD37" s="23">
        <v>39</v>
      </c>
      <c r="BE37" s="23">
        <v>39</v>
      </c>
      <c r="BF37" s="76">
        <v>39</v>
      </c>
      <c r="BG37" s="12"/>
      <c r="BH37" s="143" t="str">
        <f>+B37</f>
        <v>RECCHIA Laetitia</v>
      </c>
      <c r="BI37" s="144"/>
      <c r="BJ37" s="107">
        <f>'detail par semaine'!BM34+'detail par semaine'!BZ34</f>
        <v>0</v>
      </c>
      <c r="BK37" s="65">
        <f>'detail par semaine'!CZ34+'detail par semaine'!CM34</f>
        <v>0</v>
      </c>
      <c r="BL37" s="65">
        <f>'detail par semaine'!DD34</f>
        <v>0</v>
      </c>
      <c r="BM37" s="65"/>
      <c r="BN37" s="65">
        <f>'detail par semaine'!DE34</f>
        <v>0</v>
      </c>
      <c r="BO37" s="67">
        <f t="shared" si="5"/>
        <v>0</v>
      </c>
      <c r="BQ37" s="70">
        <f t="shared" si="6"/>
        <v>94</v>
      </c>
    </row>
    <row r="38" spans="1:69" s="1" customFormat="1" ht="25.25" customHeight="1" x14ac:dyDescent="0.2">
      <c r="A38" s="62"/>
      <c r="B38" s="10" t="s">
        <v>69</v>
      </c>
      <c r="C38" s="41" t="s">
        <v>82</v>
      </c>
      <c r="D38" s="32">
        <v>37</v>
      </c>
      <c r="E38" s="38">
        <v>13.63</v>
      </c>
      <c r="F38" s="23">
        <v>41</v>
      </c>
      <c r="G38" s="23">
        <v>33</v>
      </c>
      <c r="H38" s="23">
        <v>41</v>
      </c>
      <c r="I38" s="23">
        <v>33</v>
      </c>
      <c r="J38" s="23">
        <v>41</v>
      </c>
      <c r="K38" s="23">
        <v>33</v>
      </c>
      <c r="L38" s="23">
        <v>41</v>
      </c>
      <c r="M38" s="23">
        <v>33</v>
      </c>
      <c r="N38" s="23">
        <v>41</v>
      </c>
      <c r="O38" s="23">
        <v>33</v>
      </c>
      <c r="P38" s="23">
        <v>41</v>
      </c>
      <c r="Q38" s="23">
        <v>33</v>
      </c>
      <c r="R38" s="23">
        <v>41</v>
      </c>
      <c r="S38" s="23">
        <v>33</v>
      </c>
      <c r="T38" s="23">
        <v>41</v>
      </c>
      <c r="U38" s="23">
        <v>33</v>
      </c>
      <c r="V38" s="23">
        <v>41</v>
      </c>
      <c r="W38" s="23">
        <v>33</v>
      </c>
      <c r="X38" s="23">
        <v>41</v>
      </c>
      <c r="Y38" s="23">
        <v>33</v>
      </c>
      <c r="Z38" s="23">
        <v>41</v>
      </c>
      <c r="AA38" s="23">
        <v>33</v>
      </c>
      <c r="AB38" s="23">
        <v>41</v>
      </c>
      <c r="AC38" s="23">
        <v>33</v>
      </c>
      <c r="AD38" s="23">
        <v>41</v>
      </c>
      <c r="AE38" s="23">
        <v>33</v>
      </c>
      <c r="AF38" s="23">
        <v>41</v>
      </c>
      <c r="AG38" s="23">
        <v>33</v>
      </c>
      <c r="AH38" s="23">
        <v>41</v>
      </c>
      <c r="AI38" s="23">
        <v>33</v>
      </c>
      <c r="AJ38" s="23">
        <v>41</v>
      </c>
      <c r="AK38" s="23">
        <v>33</v>
      </c>
      <c r="AL38" s="23">
        <v>41</v>
      </c>
      <c r="AM38" s="23">
        <v>33</v>
      </c>
      <c r="AN38" s="23">
        <v>41</v>
      </c>
      <c r="AO38" s="23">
        <v>33</v>
      </c>
      <c r="AP38" s="23">
        <v>41</v>
      </c>
      <c r="AQ38" s="23">
        <v>33</v>
      </c>
      <c r="AR38" s="23">
        <v>41</v>
      </c>
      <c r="AS38" s="23">
        <v>33</v>
      </c>
      <c r="AT38" s="23">
        <v>41</v>
      </c>
      <c r="AU38" s="23">
        <v>33</v>
      </c>
      <c r="AV38" s="23">
        <v>41</v>
      </c>
      <c r="AW38" s="23">
        <v>33</v>
      </c>
      <c r="AX38" s="23">
        <v>41</v>
      </c>
      <c r="AY38" s="23">
        <v>33</v>
      </c>
      <c r="AZ38" s="23">
        <v>41</v>
      </c>
      <c r="BA38" s="23">
        <v>33</v>
      </c>
      <c r="BB38" s="23">
        <v>41</v>
      </c>
      <c r="BC38" s="23">
        <v>33</v>
      </c>
      <c r="BD38" s="23">
        <v>41</v>
      </c>
      <c r="BE38" s="23">
        <v>33</v>
      </c>
      <c r="BF38" s="76">
        <v>41</v>
      </c>
      <c r="BG38" s="12"/>
      <c r="BH38" s="145" t="s">
        <v>69</v>
      </c>
      <c r="BI38" s="146"/>
      <c r="BJ38" s="107">
        <f>'detail par semaine'!BM35+'detail par semaine'!BZ35</f>
        <v>0</v>
      </c>
      <c r="BK38" s="65">
        <f>'detail par semaine'!CZ35+'detail par semaine'!CM35</f>
        <v>0</v>
      </c>
      <c r="BL38" s="65">
        <f>'detail par semaine'!DD35</f>
        <v>0</v>
      </c>
      <c r="BM38" s="65"/>
      <c r="BN38" s="65">
        <f>'detail par semaine'!DE35</f>
        <v>-41</v>
      </c>
      <c r="BO38" s="67">
        <f t="shared" si="5"/>
        <v>-27.369999999999997</v>
      </c>
      <c r="BQ38" s="69">
        <f t="shared" si="6"/>
        <v>94</v>
      </c>
    </row>
    <row r="39" spans="1:69" s="1" customFormat="1" ht="25.25" customHeight="1" x14ac:dyDescent="0.2">
      <c r="A39" s="62"/>
      <c r="B39" s="10" t="s">
        <v>70</v>
      </c>
      <c r="C39" s="41" t="s">
        <v>111</v>
      </c>
      <c r="D39" s="32">
        <v>39</v>
      </c>
      <c r="E39" s="38">
        <v>1.2400000000000047</v>
      </c>
      <c r="F39" s="23">
        <v>39</v>
      </c>
      <c r="G39" s="23">
        <v>39.75</v>
      </c>
      <c r="H39" s="23">
        <v>39.25</v>
      </c>
      <c r="I39" s="23">
        <v>39.75</v>
      </c>
      <c r="J39" s="23">
        <v>39</v>
      </c>
      <c r="K39" s="23">
        <v>39</v>
      </c>
      <c r="L39" s="23">
        <v>39</v>
      </c>
      <c r="M39" s="23">
        <v>39</v>
      </c>
      <c r="N39" s="23">
        <v>39</v>
      </c>
      <c r="O39" s="23">
        <v>39</v>
      </c>
      <c r="P39" s="23">
        <v>39</v>
      </c>
      <c r="Q39" s="23">
        <v>39</v>
      </c>
      <c r="R39" s="23">
        <v>39</v>
      </c>
      <c r="S39" s="23">
        <v>39</v>
      </c>
      <c r="T39" s="23">
        <v>39</v>
      </c>
      <c r="U39" s="23">
        <v>39</v>
      </c>
      <c r="V39" s="23">
        <v>39</v>
      </c>
      <c r="W39" s="23">
        <v>39</v>
      </c>
      <c r="X39" s="23">
        <v>39</v>
      </c>
      <c r="Y39" s="23">
        <v>39</v>
      </c>
      <c r="Z39" s="23">
        <v>39</v>
      </c>
      <c r="AA39" s="23">
        <v>39</v>
      </c>
      <c r="AB39" s="23">
        <v>39</v>
      </c>
      <c r="AC39" s="23">
        <v>39</v>
      </c>
      <c r="AD39" s="23">
        <v>39</v>
      </c>
      <c r="AE39" s="23">
        <v>39</v>
      </c>
      <c r="AF39" s="23">
        <v>39</v>
      </c>
      <c r="AG39" s="23">
        <v>39</v>
      </c>
      <c r="AH39" s="23">
        <v>39</v>
      </c>
      <c r="AI39" s="23">
        <v>39</v>
      </c>
      <c r="AJ39" s="23">
        <v>39</v>
      </c>
      <c r="AK39" s="23">
        <v>39</v>
      </c>
      <c r="AL39" s="23">
        <v>39</v>
      </c>
      <c r="AM39" s="23">
        <v>39</v>
      </c>
      <c r="AN39" s="23">
        <v>39</v>
      </c>
      <c r="AO39" s="23">
        <v>39</v>
      </c>
      <c r="AP39" s="23">
        <v>39</v>
      </c>
      <c r="AQ39" s="23">
        <v>39</v>
      </c>
      <c r="AR39" s="23">
        <v>39</v>
      </c>
      <c r="AS39" s="23">
        <v>39</v>
      </c>
      <c r="AT39" s="23">
        <v>39</v>
      </c>
      <c r="AU39" s="23">
        <v>39</v>
      </c>
      <c r="AV39" s="23">
        <v>39</v>
      </c>
      <c r="AW39" s="23">
        <v>39</v>
      </c>
      <c r="AX39" s="23">
        <v>39</v>
      </c>
      <c r="AY39" s="23">
        <v>39</v>
      </c>
      <c r="AZ39" s="23">
        <v>39</v>
      </c>
      <c r="BA39" s="23">
        <v>39</v>
      </c>
      <c r="BB39" s="23">
        <v>39</v>
      </c>
      <c r="BC39" s="23">
        <v>39</v>
      </c>
      <c r="BD39" s="23">
        <v>39</v>
      </c>
      <c r="BE39" s="23">
        <v>39</v>
      </c>
      <c r="BF39" s="76">
        <v>39</v>
      </c>
      <c r="BG39" s="12"/>
      <c r="BH39" s="145" t="s">
        <v>70</v>
      </c>
      <c r="BI39" s="146"/>
      <c r="BJ39" s="107">
        <f>'detail par semaine'!BM36+'detail par semaine'!BZ36</f>
        <v>1.75</v>
      </c>
      <c r="BK39" s="65">
        <f>'detail par semaine'!CZ36+'detail par semaine'!CM36</f>
        <v>0</v>
      </c>
      <c r="BL39" s="65">
        <f>'detail par semaine'!DD36</f>
        <v>2.1875</v>
      </c>
      <c r="BM39" s="65"/>
      <c r="BN39" s="65">
        <f>'detail par semaine'!DE36</f>
        <v>0</v>
      </c>
      <c r="BO39" s="67">
        <f t="shared" si="5"/>
        <v>3.4275000000000047</v>
      </c>
      <c r="BQ39" s="70">
        <f t="shared" si="6"/>
        <v>95.75</v>
      </c>
    </row>
    <row r="40" spans="1:69" s="1" customFormat="1" ht="25.25" customHeight="1" x14ac:dyDescent="0.2">
      <c r="A40" s="62"/>
      <c r="B40" s="10" t="s">
        <v>75</v>
      </c>
      <c r="C40" s="41" t="s">
        <v>82</v>
      </c>
      <c r="D40" s="32">
        <v>37</v>
      </c>
      <c r="E40" s="38">
        <v>13.999999999999996</v>
      </c>
      <c r="F40" s="23">
        <v>33</v>
      </c>
      <c r="G40" s="23">
        <v>39</v>
      </c>
      <c r="H40" s="23">
        <v>39</v>
      </c>
      <c r="I40" s="23">
        <v>39</v>
      </c>
      <c r="J40" s="23">
        <v>33</v>
      </c>
      <c r="K40" s="23">
        <v>41</v>
      </c>
      <c r="L40" s="23">
        <v>33</v>
      </c>
      <c r="M40" s="23">
        <v>41</v>
      </c>
      <c r="N40" s="23">
        <v>33</v>
      </c>
      <c r="O40" s="23">
        <v>41</v>
      </c>
      <c r="P40" s="23">
        <v>33</v>
      </c>
      <c r="Q40" s="23">
        <v>41</v>
      </c>
      <c r="R40" s="23">
        <v>33</v>
      </c>
      <c r="S40" s="23">
        <v>41</v>
      </c>
      <c r="T40" s="23">
        <v>33</v>
      </c>
      <c r="U40" s="23">
        <v>41</v>
      </c>
      <c r="V40" s="23">
        <v>33</v>
      </c>
      <c r="W40" s="23">
        <v>41</v>
      </c>
      <c r="X40" s="23">
        <v>33</v>
      </c>
      <c r="Y40" s="23">
        <v>41</v>
      </c>
      <c r="Z40" s="23">
        <v>33</v>
      </c>
      <c r="AA40" s="23">
        <v>41</v>
      </c>
      <c r="AB40" s="23">
        <v>33</v>
      </c>
      <c r="AC40" s="23">
        <v>41</v>
      </c>
      <c r="AD40" s="23">
        <v>33</v>
      </c>
      <c r="AE40" s="23">
        <v>41</v>
      </c>
      <c r="AF40" s="23">
        <v>33</v>
      </c>
      <c r="AG40" s="23">
        <v>41</v>
      </c>
      <c r="AH40" s="23">
        <v>33</v>
      </c>
      <c r="AI40" s="23">
        <v>41</v>
      </c>
      <c r="AJ40" s="23">
        <v>33</v>
      </c>
      <c r="AK40" s="23">
        <v>41</v>
      </c>
      <c r="AL40" s="23">
        <v>33</v>
      </c>
      <c r="AM40" s="23">
        <v>41</v>
      </c>
      <c r="AN40" s="23">
        <v>33</v>
      </c>
      <c r="AO40" s="23">
        <v>41</v>
      </c>
      <c r="AP40" s="23">
        <v>33</v>
      </c>
      <c r="AQ40" s="23">
        <v>41</v>
      </c>
      <c r="AR40" s="23">
        <v>33</v>
      </c>
      <c r="AS40" s="23">
        <v>41</v>
      </c>
      <c r="AT40" s="23">
        <v>33</v>
      </c>
      <c r="AU40" s="23">
        <v>41</v>
      </c>
      <c r="AV40" s="23">
        <v>33</v>
      </c>
      <c r="AW40" s="23">
        <v>41</v>
      </c>
      <c r="AX40" s="23">
        <v>33</v>
      </c>
      <c r="AY40" s="23">
        <v>41</v>
      </c>
      <c r="AZ40" s="23">
        <v>33</v>
      </c>
      <c r="BA40" s="23">
        <v>41</v>
      </c>
      <c r="BB40" s="23">
        <v>33</v>
      </c>
      <c r="BC40" s="23">
        <v>41</v>
      </c>
      <c r="BD40" s="23">
        <v>33</v>
      </c>
      <c r="BE40" s="15">
        <v>41</v>
      </c>
      <c r="BF40" s="76">
        <v>33</v>
      </c>
      <c r="BG40" s="12"/>
      <c r="BH40" s="143" t="s">
        <v>75</v>
      </c>
      <c r="BI40" s="144"/>
      <c r="BJ40" s="107">
        <f>'detail par semaine'!BM37+'detail par semaine'!BZ37</f>
        <v>4</v>
      </c>
      <c r="BK40" s="65">
        <f>'detail par semaine'!CZ37+'detail par semaine'!CM37</f>
        <v>0</v>
      </c>
      <c r="BL40" s="65">
        <f>'detail par semaine'!DD37</f>
        <v>5</v>
      </c>
      <c r="BM40" s="65"/>
      <c r="BN40" s="65">
        <f>'detail par semaine'!DE37</f>
        <v>-35</v>
      </c>
      <c r="BO40" s="67">
        <f t="shared" si="5"/>
        <v>-16.000000000000004</v>
      </c>
      <c r="BQ40" s="70">
        <f t="shared" si="6"/>
        <v>98</v>
      </c>
    </row>
    <row r="41" spans="1:69" s="1" customFormat="1" ht="25.25" customHeight="1" x14ac:dyDescent="0.2">
      <c r="A41" s="62"/>
      <c r="B41" s="10" t="s">
        <v>37</v>
      </c>
      <c r="C41" s="41" t="s">
        <v>82</v>
      </c>
      <c r="D41" s="32">
        <v>37</v>
      </c>
      <c r="E41" s="38">
        <v>13.56</v>
      </c>
      <c r="F41" s="23">
        <v>41</v>
      </c>
      <c r="G41" s="23">
        <v>33</v>
      </c>
      <c r="H41" s="23">
        <v>41</v>
      </c>
      <c r="I41" s="23">
        <v>33</v>
      </c>
      <c r="J41" s="23">
        <v>41</v>
      </c>
      <c r="K41" s="23">
        <v>33</v>
      </c>
      <c r="L41" s="23">
        <v>41</v>
      </c>
      <c r="M41" s="23">
        <v>33</v>
      </c>
      <c r="N41" s="23">
        <v>41</v>
      </c>
      <c r="O41" s="23">
        <v>33</v>
      </c>
      <c r="P41" s="23">
        <v>41</v>
      </c>
      <c r="Q41" s="23">
        <v>33</v>
      </c>
      <c r="R41" s="23">
        <v>41</v>
      </c>
      <c r="S41" s="23">
        <v>33</v>
      </c>
      <c r="T41" s="23">
        <v>41</v>
      </c>
      <c r="U41" s="23">
        <v>33</v>
      </c>
      <c r="V41" s="23">
        <v>41</v>
      </c>
      <c r="W41" s="23">
        <v>33</v>
      </c>
      <c r="X41" s="23">
        <v>41</v>
      </c>
      <c r="Y41" s="23">
        <v>33</v>
      </c>
      <c r="Z41" s="23">
        <v>41</v>
      </c>
      <c r="AA41" s="23">
        <v>33</v>
      </c>
      <c r="AB41" s="23">
        <v>41</v>
      </c>
      <c r="AC41" s="23">
        <v>33</v>
      </c>
      <c r="AD41" s="23">
        <v>41</v>
      </c>
      <c r="AE41" s="23">
        <v>33</v>
      </c>
      <c r="AF41" s="23">
        <v>41</v>
      </c>
      <c r="AG41" s="23">
        <v>33</v>
      </c>
      <c r="AH41" s="23">
        <v>41</v>
      </c>
      <c r="AI41" s="23">
        <v>33</v>
      </c>
      <c r="AJ41" s="23">
        <v>41</v>
      </c>
      <c r="AK41" s="23">
        <v>33</v>
      </c>
      <c r="AL41" s="23">
        <v>41</v>
      </c>
      <c r="AM41" s="23">
        <v>33</v>
      </c>
      <c r="AN41" s="23">
        <v>41</v>
      </c>
      <c r="AO41" s="23">
        <v>33</v>
      </c>
      <c r="AP41" s="23">
        <v>41</v>
      </c>
      <c r="AQ41" s="23">
        <v>33</v>
      </c>
      <c r="AR41" s="23">
        <v>41</v>
      </c>
      <c r="AS41" s="23">
        <v>33</v>
      </c>
      <c r="AT41" s="23">
        <v>41</v>
      </c>
      <c r="AU41" s="23">
        <v>33</v>
      </c>
      <c r="AV41" s="23">
        <v>41</v>
      </c>
      <c r="AW41" s="23">
        <v>33</v>
      </c>
      <c r="AX41" s="23">
        <v>41</v>
      </c>
      <c r="AY41" s="23">
        <v>33</v>
      </c>
      <c r="AZ41" s="23">
        <v>41</v>
      </c>
      <c r="BA41" s="23">
        <v>33</v>
      </c>
      <c r="BB41" s="23">
        <v>41</v>
      </c>
      <c r="BC41" s="23">
        <v>33</v>
      </c>
      <c r="BD41" s="23">
        <v>41</v>
      </c>
      <c r="BE41" s="23">
        <v>33</v>
      </c>
      <c r="BF41" s="76">
        <v>41</v>
      </c>
      <c r="BG41" s="12"/>
      <c r="BH41" s="145" t="s">
        <v>37</v>
      </c>
      <c r="BI41" s="146"/>
      <c r="BJ41" s="107">
        <f>'detail par semaine'!BM38+'detail par semaine'!BZ38</f>
        <v>0</v>
      </c>
      <c r="BK41" s="65">
        <f>'detail par semaine'!CZ38+'detail par semaine'!CM38</f>
        <v>0</v>
      </c>
      <c r="BL41" s="65">
        <f>'detail par semaine'!DD38</f>
        <v>0</v>
      </c>
      <c r="BM41" s="65"/>
      <c r="BN41" s="65">
        <f>'detail par semaine'!DE38</f>
        <v>-41</v>
      </c>
      <c r="BO41" s="67">
        <f t="shared" si="5"/>
        <v>-27.439999999999998</v>
      </c>
      <c r="BQ41" s="70">
        <f t="shared" si="6"/>
        <v>94</v>
      </c>
    </row>
    <row r="42" spans="1:69" s="1" customFormat="1" ht="25.25" customHeight="1" x14ac:dyDescent="0.2">
      <c r="A42" s="62"/>
      <c r="B42" s="10" t="s">
        <v>73</v>
      </c>
      <c r="C42" s="41" t="s">
        <v>82</v>
      </c>
      <c r="D42" s="32">
        <v>37</v>
      </c>
      <c r="E42" s="38">
        <v>15</v>
      </c>
      <c r="F42" s="23">
        <v>33</v>
      </c>
      <c r="G42" s="23">
        <v>41.25</v>
      </c>
      <c r="H42" s="23">
        <v>33</v>
      </c>
      <c r="I42" s="23">
        <v>41</v>
      </c>
      <c r="J42" s="23">
        <v>33</v>
      </c>
      <c r="K42" s="23">
        <v>41</v>
      </c>
      <c r="L42" s="23">
        <v>33</v>
      </c>
      <c r="M42" s="23">
        <v>41</v>
      </c>
      <c r="N42" s="23">
        <v>33</v>
      </c>
      <c r="O42" s="23">
        <v>41</v>
      </c>
      <c r="P42" s="23">
        <v>33</v>
      </c>
      <c r="Q42" s="23">
        <v>41</v>
      </c>
      <c r="R42" s="23">
        <v>33</v>
      </c>
      <c r="S42" s="23">
        <v>41</v>
      </c>
      <c r="T42" s="23">
        <v>33</v>
      </c>
      <c r="U42" s="23">
        <v>41</v>
      </c>
      <c r="V42" s="23">
        <v>33</v>
      </c>
      <c r="W42" s="23">
        <v>41</v>
      </c>
      <c r="X42" s="23">
        <v>33</v>
      </c>
      <c r="Y42" s="23">
        <v>41</v>
      </c>
      <c r="Z42" s="23">
        <v>33</v>
      </c>
      <c r="AA42" s="23">
        <v>41</v>
      </c>
      <c r="AB42" s="23">
        <v>33</v>
      </c>
      <c r="AC42" s="23">
        <v>41</v>
      </c>
      <c r="AD42" s="23">
        <v>33</v>
      </c>
      <c r="AE42" s="23">
        <v>41</v>
      </c>
      <c r="AF42" s="23">
        <v>33</v>
      </c>
      <c r="AG42" s="23">
        <v>41</v>
      </c>
      <c r="AH42" s="23">
        <v>33</v>
      </c>
      <c r="AI42" s="23">
        <v>41</v>
      </c>
      <c r="AJ42" s="23">
        <v>33</v>
      </c>
      <c r="AK42" s="23">
        <v>41</v>
      </c>
      <c r="AL42" s="23">
        <v>33</v>
      </c>
      <c r="AM42" s="23">
        <v>41</v>
      </c>
      <c r="AN42" s="23">
        <v>33</v>
      </c>
      <c r="AO42" s="23">
        <v>41</v>
      </c>
      <c r="AP42" s="23">
        <v>33</v>
      </c>
      <c r="AQ42" s="23">
        <v>41</v>
      </c>
      <c r="AR42" s="23">
        <v>33</v>
      </c>
      <c r="AS42" s="23">
        <v>41</v>
      </c>
      <c r="AT42" s="23">
        <v>33</v>
      </c>
      <c r="AU42" s="23">
        <v>41</v>
      </c>
      <c r="AV42" s="23">
        <v>33</v>
      </c>
      <c r="AW42" s="23">
        <v>41</v>
      </c>
      <c r="AX42" s="23">
        <v>33</v>
      </c>
      <c r="AY42" s="23">
        <v>41</v>
      </c>
      <c r="AZ42" s="23">
        <v>33</v>
      </c>
      <c r="BA42" s="23">
        <v>41</v>
      </c>
      <c r="BB42" s="23">
        <v>33</v>
      </c>
      <c r="BC42" s="23">
        <v>41</v>
      </c>
      <c r="BD42" s="23">
        <v>33</v>
      </c>
      <c r="BE42" s="15">
        <v>41</v>
      </c>
      <c r="BF42" s="76">
        <v>33</v>
      </c>
      <c r="BG42" s="12"/>
      <c r="BH42" s="143" t="s">
        <v>73</v>
      </c>
      <c r="BI42" s="144"/>
      <c r="BJ42" s="107">
        <f>'detail par semaine'!BM39+'detail par semaine'!BZ39</f>
        <v>0.25</v>
      </c>
      <c r="BK42" s="65">
        <f>'detail par semaine'!CZ39+'detail par semaine'!CM39</f>
        <v>0</v>
      </c>
      <c r="BL42" s="65">
        <f>'detail par semaine'!DD39</f>
        <v>0.3125</v>
      </c>
      <c r="BM42" s="65"/>
      <c r="BN42" s="65">
        <f>'detail par semaine'!DE39</f>
        <v>-33</v>
      </c>
      <c r="BO42" s="67">
        <f t="shared" si="5"/>
        <v>-17.6875</v>
      </c>
      <c r="BQ42" s="70">
        <f t="shared" si="6"/>
        <v>94.25</v>
      </c>
    </row>
    <row r="43" spans="1:69" s="1" customFormat="1" ht="25.25" customHeight="1" x14ac:dyDescent="0.2">
      <c r="A43" s="62"/>
      <c r="B43" s="10" t="s">
        <v>48</v>
      </c>
      <c r="C43" s="41" t="s">
        <v>82</v>
      </c>
      <c r="D43" s="32">
        <v>37</v>
      </c>
      <c r="E43" s="38">
        <v>13.42</v>
      </c>
      <c r="F43" s="23">
        <v>33</v>
      </c>
      <c r="G43" s="23">
        <v>41</v>
      </c>
      <c r="H43" s="23">
        <v>33</v>
      </c>
      <c r="I43" s="23">
        <v>41</v>
      </c>
      <c r="J43" s="23">
        <v>33</v>
      </c>
      <c r="K43" s="23">
        <v>41</v>
      </c>
      <c r="L43" s="23">
        <v>33</v>
      </c>
      <c r="M43" s="23">
        <v>41</v>
      </c>
      <c r="N43" s="23">
        <v>33</v>
      </c>
      <c r="O43" s="23">
        <v>41</v>
      </c>
      <c r="P43" s="23">
        <v>33</v>
      </c>
      <c r="Q43" s="23">
        <v>41</v>
      </c>
      <c r="R43" s="23">
        <v>33</v>
      </c>
      <c r="S43" s="23">
        <v>41</v>
      </c>
      <c r="T43" s="23">
        <v>33</v>
      </c>
      <c r="U43" s="23">
        <v>41</v>
      </c>
      <c r="V43" s="23">
        <v>33</v>
      </c>
      <c r="W43" s="23">
        <v>41</v>
      </c>
      <c r="X43" s="23">
        <v>33</v>
      </c>
      <c r="Y43" s="23">
        <v>41</v>
      </c>
      <c r="Z43" s="23">
        <v>33</v>
      </c>
      <c r="AA43" s="23">
        <v>41</v>
      </c>
      <c r="AB43" s="23">
        <v>33</v>
      </c>
      <c r="AC43" s="23">
        <v>41</v>
      </c>
      <c r="AD43" s="23">
        <v>33</v>
      </c>
      <c r="AE43" s="23">
        <v>41</v>
      </c>
      <c r="AF43" s="23">
        <v>33</v>
      </c>
      <c r="AG43" s="23">
        <v>41</v>
      </c>
      <c r="AH43" s="23">
        <v>33</v>
      </c>
      <c r="AI43" s="23">
        <v>41</v>
      </c>
      <c r="AJ43" s="23">
        <v>33</v>
      </c>
      <c r="AK43" s="23">
        <v>41</v>
      </c>
      <c r="AL43" s="23">
        <v>33</v>
      </c>
      <c r="AM43" s="23">
        <v>41</v>
      </c>
      <c r="AN43" s="23">
        <v>33</v>
      </c>
      <c r="AO43" s="23">
        <v>41</v>
      </c>
      <c r="AP43" s="23">
        <v>33</v>
      </c>
      <c r="AQ43" s="23">
        <v>41</v>
      </c>
      <c r="AR43" s="23">
        <v>33</v>
      </c>
      <c r="AS43" s="23">
        <v>41</v>
      </c>
      <c r="AT43" s="23">
        <v>33</v>
      </c>
      <c r="AU43" s="23">
        <v>41</v>
      </c>
      <c r="AV43" s="23">
        <v>33</v>
      </c>
      <c r="AW43" s="23">
        <v>41</v>
      </c>
      <c r="AX43" s="23">
        <v>33</v>
      </c>
      <c r="AY43" s="23">
        <v>41</v>
      </c>
      <c r="AZ43" s="23">
        <v>33</v>
      </c>
      <c r="BA43" s="23">
        <v>41</v>
      </c>
      <c r="BB43" s="23">
        <v>33</v>
      </c>
      <c r="BC43" s="23">
        <v>41</v>
      </c>
      <c r="BD43" s="23">
        <v>33</v>
      </c>
      <c r="BE43" s="15">
        <v>41</v>
      </c>
      <c r="BF43" s="76">
        <v>33</v>
      </c>
      <c r="BG43" s="12"/>
      <c r="BH43" s="143" t="s">
        <v>48</v>
      </c>
      <c r="BI43" s="144"/>
      <c r="BJ43" s="107">
        <f>'detail par semaine'!BM40+'detail par semaine'!BZ40</f>
        <v>0</v>
      </c>
      <c r="BK43" s="65">
        <f>'detail par semaine'!CZ40+'detail par semaine'!CM40</f>
        <v>0</v>
      </c>
      <c r="BL43" s="65">
        <f>'detail par semaine'!DD40</f>
        <v>0</v>
      </c>
      <c r="BM43" s="65"/>
      <c r="BN43" s="65">
        <f>'detail par semaine'!DE40</f>
        <v>-33</v>
      </c>
      <c r="BO43" s="67">
        <f t="shared" si="5"/>
        <v>-19.579999999999998</v>
      </c>
      <c r="BQ43" s="70">
        <f t="shared" si="6"/>
        <v>94</v>
      </c>
    </row>
    <row r="44" spans="1:69" s="1" customFormat="1" ht="25.25" customHeight="1" x14ac:dyDescent="0.2">
      <c r="A44" s="62"/>
      <c r="B44" s="10" t="s">
        <v>42</v>
      </c>
      <c r="C44" s="41" t="s">
        <v>82</v>
      </c>
      <c r="D44" s="32">
        <v>37</v>
      </c>
      <c r="E44" s="38">
        <v>5.4824999999999973</v>
      </c>
      <c r="F44" s="23">
        <v>33</v>
      </c>
      <c r="G44" s="23">
        <v>41</v>
      </c>
      <c r="H44" s="23">
        <v>33</v>
      </c>
      <c r="I44" s="23">
        <v>41</v>
      </c>
      <c r="J44" s="23">
        <v>33</v>
      </c>
      <c r="K44" s="23">
        <v>41</v>
      </c>
      <c r="L44" s="23">
        <v>33</v>
      </c>
      <c r="M44" s="23">
        <v>41</v>
      </c>
      <c r="N44" s="23">
        <v>33</v>
      </c>
      <c r="O44" s="23">
        <v>41</v>
      </c>
      <c r="P44" s="23">
        <v>33</v>
      </c>
      <c r="Q44" s="23">
        <v>41</v>
      </c>
      <c r="R44" s="23">
        <v>33</v>
      </c>
      <c r="S44" s="23">
        <v>41</v>
      </c>
      <c r="T44" s="23">
        <v>33</v>
      </c>
      <c r="U44" s="23">
        <v>41</v>
      </c>
      <c r="V44" s="23">
        <v>33</v>
      </c>
      <c r="W44" s="23">
        <v>41</v>
      </c>
      <c r="X44" s="23">
        <v>33</v>
      </c>
      <c r="Y44" s="23">
        <v>41</v>
      </c>
      <c r="Z44" s="23">
        <v>33</v>
      </c>
      <c r="AA44" s="23">
        <v>41</v>
      </c>
      <c r="AB44" s="23">
        <v>33</v>
      </c>
      <c r="AC44" s="23">
        <v>41</v>
      </c>
      <c r="AD44" s="23">
        <v>33</v>
      </c>
      <c r="AE44" s="23">
        <v>41</v>
      </c>
      <c r="AF44" s="23">
        <v>33</v>
      </c>
      <c r="AG44" s="23">
        <v>41</v>
      </c>
      <c r="AH44" s="23">
        <v>33</v>
      </c>
      <c r="AI44" s="23">
        <v>41</v>
      </c>
      <c r="AJ44" s="23">
        <v>33</v>
      </c>
      <c r="AK44" s="23">
        <v>41</v>
      </c>
      <c r="AL44" s="23">
        <v>33</v>
      </c>
      <c r="AM44" s="23">
        <v>41</v>
      </c>
      <c r="AN44" s="23">
        <v>33</v>
      </c>
      <c r="AO44" s="23">
        <v>41</v>
      </c>
      <c r="AP44" s="23">
        <v>33</v>
      </c>
      <c r="AQ44" s="23">
        <v>41</v>
      </c>
      <c r="AR44" s="23">
        <v>33</v>
      </c>
      <c r="AS44" s="23">
        <v>41</v>
      </c>
      <c r="AT44" s="23">
        <v>33</v>
      </c>
      <c r="AU44" s="23">
        <v>41</v>
      </c>
      <c r="AV44" s="23">
        <v>33</v>
      </c>
      <c r="AW44" s="23">
        <v>41</v>
      </c>
      <c r="AX44" s="23">
        <v>33</v>
      </c>
      <c r="AY44" s="23">
        <v>41</v>
      </c>
      <c r="AZ44" s="23">
        <v>33</v>
      </c>
      <c r="BA44" s="23">
        <v>41</v>
      </c>
      <c r="BB44" s="23">
        <v>33</v>
      </c>
      <c r="BC44" s="23">
        <v>41</v>
      </c>
      <c r="BD44" s="23">
        <v>33</v>
      </c>
      <c r="BE44" s="15">
        <v>41</v>
      </c>
      <c r="BF44" s="76">
        <v>33</v>
      </c>
      <c r="BG44" s="12"/>
      <c r="BH44" s="143" t="s">
        <v>42</v>
      </c>
      <c r="BI44" s="144"/>
      <c r="BJ44" s="107">
        <f>'detail par semaine'!BM41+'detail par semaine'!BZ41</f>
        <v>0</v>
      </c>
      <c r="BK44" s="65">
        <f>'detail par semaine'!CZ41+'detail par semaine'!CM41</f>
        <v>0</v>
      </c>
      <c r="BL44" s="65">
        <f>'detail par semaine'!DD41</f>
        <v>0</v>
      </c>
      <c r="BM44" s="65"/>
      <c r="BN44" s="65">
        <f>'detail par semaine'!DE41</f>
        <v>-33</v>
      </c>
      <c r="BO44" s="67">
        <f t="shared" si="5"/>
        <v>-27.517500000000002</v>
      </c>
      <c r="BQ44" s="70">
        <f t="shared" si="6"/>
        <v>94</v>
      </c>
    </row>
    <row r="45" spans="1:69" s="1" customFormat="1" ht="25.25" customHeight="1" x14ac:dyDescent="0.2">
      <c r="A45" s="62"/>
      <c r="B45" s="10" t="s">
        <v>79</v>
      </c>
      <c r="C45" s="41" t="s">
        <v>82</v>
      </c>
      <c r="D45" s="32">
        <v>37</v>
      </c>
      <c r="E45" s="38">
        <v>0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72"/>
      <c r="AL45" s="72"/>
      <c r="AM45" s="23"/>
      <c r="AN45" s="23"/>
      <c r="AO45" s="15"/>
      <c r="AP45" s="23"/>
      <c r="AQ45" s="23"/>
      <c r="AR45" s="23"/>
      <c r="AS45" s="23"/>
      <c r="AT45" s="23"/>
      <c r="AU45" s="23"/>
      <c r="AV45" s="15"/>
      <c r="AW45" s="23"/>
      <c r="AX45" s="23"/>
      <c r="AY45" s="23"/>
      <c r="AZ45" s="23"/>
      <c r="BA45" s="23"/>
      <c r="BB45" s="23"/>
      <c r="BC45" s="15"/>
      <c r="BD45" s="15"/>
      <c r="BE45" s="15"/>
      <c r="BF45" s="76"/>
      <c r="BG45" s="12"/>
      <c r="BH45" s="143" t="s">
        <v>79</v>
      </c>
      <c r="BI45" s="144"/>
      <c r="BJ45" s="107">
        <f>'detail par semaine'!BM42+'detail par semaine'!BZ42</f>
        <v>0</v>
      </c>
      <c r="BK45" s="65">
        <f>'detail par semaine'!CZ42+'detail par semaine'!CM42</f>
        <v>0</v>
      </c>
      <c r="BL45" s="65">
        <f>'detail par semaine'!DD42</f>
        <v>0</v>
      </c>
      <c r="BM45" s="65"/>
      <c r="BN45" s="65">
        <f>'detail par semaine'!DE42</f>
        <v>-444</v>
      </c>
      <c r="BO45" s="67">
        <f t="shared" si="5"/>
        <v>-444</v>
      </c>
      <c r="BQ45" s="69">
        <f t="shared" si="6"/>
        <v>94</v>
      </c>
    </row>
    <row r="46" spans="1:69" s="1" customFormat="1" ht="25.25" customHeight="1" x14ac:dyDescent="0.2">
      <c r="A46" s="62"/>
      <c r="B46" s="10" t="s">
        <v>84</v>
      </c>
      <c r="C46" s="41" t="s">
        <v>82</v>
      </c>
      <c r="D46" s="32">
        <v>37</v>
      </c>
      <c r="E46" s="38">
        <v>9.35</v>
      </c>
      <c r="F46" s="23">
        <v>33</v>
      </c>
      <c r="G46" s="23">
        <v>38</v>
      </c>
      <c r="H46" s="23">
        <v>38</v>
      </c>
      <c r="I46" s="23">
        <v>33</v>
      </c>
      <c r="J46" s="23">
        <v>41</v>
      </c>
      <c r="K46" s="23">
        <v>33</v>
      </c>
      <c r="L46" s="23">
        <v>41</v>
      </c>
      <c r="M46" s="23">
        <v>33</v>
      </c>
      <c r="N46" s="23">
        <v>41</v>
      </c>
      <c r="O46" s="23">
        <v>33</v>
      </c>
      <c r="P46" s="23">
        <v>41</v>
      </c>
      <c r="Q46" s="23">
        <v>33</v>
      </c>
      <c r="R46" s="23">
        <v>41</v>
      </c>
      <c r="S46" s="23">
        <v>33</v>
      </c>
      <c r="T46" s="23">
        <v>41</v>
      </c>
      <c r="U46" s="23">
        <v>33</v>
      </c>
      <c r="V46" s="23">
        <v>41</v>
      </c>
      <c r="W46" s="23">
        <v>33</v>
      </c>
      <c r="X46" s="23">
        <v>41</v>
      </c>
      <c r="Y46" s="23">
        <v>33</v>
      </c>
      <c r="Z46" s="23">
        <v>41</v>
      </c>
      <c r="AA46" s="23">
        <v>33</v>
      </c>
      <c r="AB46" s="23">
        <v>41</v>
      </c>
      <c r="AC46" s="23">
        <v>33</v>
      </c>
      <c r="AD46" s="23">
        <v>41</v>
      </c>
      <c r="AE46" s="23">
        <v>33</v>
      </c>
      <c r="AF46" s="23">
        <v>41</v>
      </c>
      <c r="AG46" s="23">
        <v>33</v>
      </c>
      <c r="AH46" s="23">
        <v>41</v>
      </c>
      <c r="AI46" s="23">
        <v>33</v>
      </c>
      <c r="AJ46" s="23">
        <v>41</v>
      </c>
      <c r="AK46" s="23">
        <v>33</v>
      </c>
      <c r="AL46" s="23">
        <v>41</v>
      </c>
      <c r="AM46" s="23">
        <v>33</v>
      </c>
      <c r="AN46" s="23">
        <v>41</v>
      </c>
      <c r="AO46" s="23">
        <v>33</v>
      </c>
      <c r="AP46" s="23">
        <v>41</v>
      </c>
      <c r="AQ46" s="23">
        <v>33</v>
      </c>
      <c r="AR46" s="23">
        <v>41</v>
      </c>
      <c r="AS46" s="23">
        <v>33</v>
      </c>
      <c r="AT46" s="23">
        <v>41</v>
      </c>
      <c r="AU46" s="23">
        <v>33</v>
      </c>
      <c r="AV46" s="23">
        <v>41</v>
      </c>
      <c r="AW46" s="23">
        <v>33</v>
      </c>
      <c r="AX46" s="23">
        <v>41</v>
      </c>
      <c r="AY46" s="23">
        <v>33</v>
      </c>
      <c r="AZ46" s="23">
        <v>41</v>
      </c>
      <c r="BA46" s="23">
        <v>33</v>
      </c>
      <c r="BB46" s="23">
        <v>41</v>
      </c>
      <c r="BC46" s="23">
        <v>33</v>
      </c>
      <c r="BD46" s="23">
        <v>41</v>
      </c>
      <c r="BE46" s="23">
        <v>33</v>
      </c>
      <c r="BF46" s="76">
        <v>41</v>
      </c>
      <c r="BG46" s="12"/>
      <c r="BH46" s="143" t="s">
        <v>84</v>
      </c>
      <c r="BI46" s="144"/>
      <c r="BJ46" s="107">
        <f>'detail par semaine'!BM43+'detail par semaine'!BZ43</f>
        <v>2</v>
      </c>
      <c r="BK46" s="65">
        <f>'detail par semaine'!CZ43+'detail par semaine'!CM43</f>
        <v>0</v>
      </c>
      <c r="BL46" s="65">
        <f>'detail par semaine'!DD43</f>
        <v>2.5</v>
      </c>
      <c r="BM46" s="65"/>
      <c r="BN46" s="65">
        <f>'detail par semaine'!DE43</f>
        <v>-41</v>
      </c>
      <c r="BO46" s="67">
        <f t="shared" si="5"/>
        <v>-29.15</v>
      </c>
      <c r="BQ46" s="70">
        <f t="shared" si="6"/>
        <v>96</v>
      </c>
    </row>
    <row r="47" spans="1:69" s="1" customFormat="1" ht="25.25" customHeight="1" x14ac:dyDescent="0.2">
      <c r="A47" s="62"/>
      <c r="B47" s="10" t="s">
        <v>71</v>
      </c>
      <c r="C47" s="41" t="s">
        <v>82</v>
      </c>
      <c r="D47" s="32">
        <v>37</v>
      </c>
      <c r="E47" s="38">
        <v>0</v>
      </c>
      <c r="F47" s="23">
        <v>41</v>
      </c>
      <c r="G47" s="23">
        <v>33</v>
      </c>
      <c r="H47" s="23">
        <v>41</v>
      </c>
      <c r="I47" s="23">
        <v>33</v>
      </c>
      <c r="J47" s="23">
        <v>41</v>
      </c>
      <c r="K47" s="23">
        <v>33</v>
      </c>
      <c r="L47" s="23">
        <v>41</v>
      </c>
      <c r="M47" s="23">
        <v>33</v>
      </c>
      <c r="N47" s="23">
        <v>41</v>
      </c>
      <c r="O47" s="23">
        <v>33</v>
      </c>
      <c r="P47" s="23">
        <v>41</v>
      </c>
      <c r="Q47" s="23">
        <v>33</v>
      </c>
      <c r="R47" s="23">
        <v>41</v>
      </c>
      <c r="S47" s="23">
        <v>33</v>
      </c>
      <c r="T47" s="23">
        <v>41</v>
      </c>
      <c r="U47" s="23">
        <v>33</v>
      </c>
      <c r="V47" s="23">
        <v>41</v>
      </c>
      <c r="W47" s="23">
        <v>33</v>
      </c>
      <c r="X47" s="23">
        <v>41</v>
      </c>
      <c r="Y47" s="23">
        <v>33</v>
      </c>
      <c r="Z47" s="23">
        <v>41</v>
      </c>
      <c r="AA47" s="23">
        <v>33</v>
      </c>
      <c r="AB47" s="23">
        <v>41</v>
      </c>
      <c r="AC47" s="23">
        <v>33</v>
      </c>
      <c r="AD47" s="23">
        <v>41</v>
      </c>
      <c r="AE47" s="23">
        <v>33</v>
      </c>
      <c r="AF47" s="23">
        <v>41</v>
      </c>
      <c r="AG47" s="23">
        <v>33</v>
      </c>
      <c r="AH47" s="23">
        <v>41</v>
      </c>
      <c r="AI47" s="23">
        <v>33</v>
      </c>
      <c r="AJ47" s="23">
        <v>41</v>
      </c>
      <c r="AK47" s="23">
        <v>33</v>
      </c>
      <c r="AL47" s="23">
        <v>41</v>
      </c>
      <c r="AM47" s="23">
        <v>33</v>
      </c>
      <c r="AN47" s="23">
        <v>41</v>
      </c>
      <c r="AO47" s="23">
        <v>33</v>
      </c>
      <c r="AP47" s="23">
        <v>41</v>
      </c>
      <c r="AQ47" s="23">
        <v>33</v>
      </c>
      <c r="AR47" s="23">
        <v>41</v>
      </c>
      <c r="AS47" s="23">
        <v>33</v>
      </c>
      <c r="AT47" s="23">
        <v>41</v>
      </c>
      <c r="AU47" s="23">
        <v>33</v>
      </c>
      <c r="AV47" s="23">
        <v>41</v>
      </c>
      <c r="AW47" s="23">
        <v>33</v>
      </c>
      <c r="AX47" s="23">
        <v>41</v>
      </c>
      <c r="AY47" s="23">
        <v>33</v>
      </c>
      <c r="AZ47" s="23">
        <v>41</v>
      </c>
      <c r="BA47" s="23">
        <v>33</v>
      </c>
      <c r="BB47" s="23">
        <v>41</v>
      </c>
      <c r="BC47" s="23">
        <v>33</v>
      </c>
      <c r="BD47" s="23">
        <v>41</v>
      </c>
      <c r="BE47" s="23">
        <v>33</v>
      </c>
      <c r="BF47" s="76">
        <v>41</v>
      </c>
      <c r="BG47" s="12"/>
      <c r="BH47" s="143" t="s">
        <v>71</v>
      </c>
      <c r="BI47" s="144"/>
      <c r="BJ47" s="107">
        <f>'detail par semaine'!BM44+'detail par semaine'!BZ44</f>
        <v>0</v>
      </c>
      <c r="BK47" s="65">
        <f>'detail par semaine'!CZ44+'detail par semaine'!CM44</f>
        <v>0</v>
      </c>
      <c r="BL47" s="65">
        <f>'detail par semaine'!DD44</f>
        <v>0</v>
      </c>
      <c r="BM47" s="65"/>
      <c r="BN47" s="65">
        <f>'detail par semaine'!DE44</f>
        <v>-41</v>
      </c>
      <c r="BO47" s="67">
        <f t="shared" si="5"/>
        <v>-41</v>
      </c>
      <c r="BQ47" s="70">
        <f t="shared" si="6"/>
        <v>94</v>
      </c>
    </row>
    <row r="48" spans="1:69" s="1" customFormat="1" ht="25.25" customHeight="1" thickBot="1" x14ac:dyDescent="0.25">
      <c r="A48" s="62"/>
      <c r="B48" s="11" t="s">
        <v>72</v>
      </c>
      <c r="C48" s="47" t="s">
        <v>82</v>
      </c>
      <c r="D48" s="34">
        <v>37</v>
      </c>
      <c r="E48" s="74">
        <v>11.81</v>
      </c>
      <c r="F48" s="23">
        <v>33</v>
      </c>
      <c r="G48" s="23">
        <v>33</v>
      </c>
      <c r="H48" s="23">
        <v>41</v>
      </c>
      <c r="I48" s="23">
        <v>33</v>
      </c>
      <c r="J48" s="23">
        <v>33</v>
      </c>
      <c r="K48" s="23">
        <v>41</v>
      </c>
      <c r="L48" s="23">
        <v>33</v>
      </c>
      <c r="M48" s="23">
        <v>41</v>
      </c>
      <c r="N48" s="23">
        <v>33</v>
      </c>
      <c r="O48" s="23">
        <v>41</v>
      </c>
      <c r="P48" s="23">
        <v>33</v>
      </c>
      <c r="Q48" s="23">
        <v>41</v>
      </c>
      <c r="R48" s="23">
        <v>33</v>
      </c>
      <c r="S48" s="23">
        <v>41</v>
      </c>
      <c r="T48" s="23">
        <v>33</v>
      </c>
      <c r="U48" s="23">
        <v>41</v>
      </c>
      <c r="V48" s="23">
        <v>33</v>
      </c>
      <c r="W48" s="23">
        <v>41</v>
      </c>
      <c r="X48" s="23">
        <v>33</v>
      </c>
      <c r="Y48" s="23">
        <v>41</v>
      </c>
      <c r="Z48" s="23">
        <v>33</v>
      </c>
      <c r="AA48" s="23">
        <v>41</v>
      </c>
      <c r="AB48" s="23">
        <v>33</v>
      </c>
      <c r="AC48" s="23">
        <v>41</v>
      </c>
      <c r="AD48" s="23">
        <v>33</v>
      </c>
      <c r="AE48" s="23">
        <v>41</v>
      </c>
      <c r="AF48" s="23">
        <v>33</v>
      </c>
      <c r="AG48" s="23">
        <v>41</v>
      </c>
      <c r="AH48" s="23">
        <v>33</v>
      </c>
      <c r="AI48" s="23">
        <v>41</v>
      </c>
      <c r="AJ48" s="23">
        <v>33</v>
      </c>
      <c r="AK48" s="23">
        <v>41</v>
      </c>
      <c r="AL48" s="23">
        <v>33</v>
      </c>
      <c r="AM48" s="23">
        <v>41</v>
      </c>
      <c r="AN48" s="23">
        <v>33</v>
      </c>
      <c r="AO48" s="23">
        <v>41</v>
      </c>
      <c r="AP48" s="23">
        <v>33</v>
      </c>
      <c r="AQ48" s="23">
        <v>41</v>
      </c>
      <c r="AR48" s="23">
        <v>33</v>
      </c>
      <c r="AS48" s="23">
        <v>41</v>
      </c>
      <c r="AT48" s="23">
        <v>33</v>
      </c>
      <c r="AU48" s="23">
        <v>41</v>
      </c>
      <c r="AV48" s="23">
        <v>33</v>
      </c>
      <c r="AW48" s="23">
        <v>41</v>
      </c>
      <c r="AX48" s="23">
        <v>33</v>
      </c>
      <c r="AY48" s="23">
        <v>41</v>
      </c>
      <c r="AZ48" s="23">
        <v>33</v>
      </c>
      <c r="BA48" s="23">
        <v>41</v>
      </c>
      <c r="BB48" s="23">
        <v>33</v>
      </c>
      <c r="BC48" s="23">
        <v>41</v>
      </c>
      <c r="BD48" s="23">
        <v>33</v>
      </c>
      <c r="BE48" s="15">
        <v>41</v>
      </c>
      <c r="BF48" s="76">
        <v>33</v>
      </c>
      <c r="BG48" s="12"/>
      <c r="BH48" s="132" t="s">
        <v>72</v>
      </c>
      <c r="BI48" s="133"/>
      <c r="BJ48" s="108">
        <f>'detail par semaine'!BM45+'detail par semaine'!BZ45</f>
        <v>0</v>
      </c>
      <c r="BK48" s="66">
        <f>'detail par semaine'!CZ45+'detail par semaine'!CM45</f>
        <v>0</v>
      </c>
      <c r="BL48" s="65">
        <f>'detail par semaine'!DD45</f>
        <v>0</v>
      </c>
      <c r="BM48" s="66"/>
      <c r="BN48" s="66">
        <f>'detail par semaine'!DE45</f>
        <v>0</v>
      </c>
      <c r="BO48" s="109">
        <f t="shared" si="5"/>
        <v>11.81</v>
      </c>
      <c r="BQ48" s="71">
        <f t="shared" si="6"/>
        <v>94</v>
      </c>
    </row>
    <row r="49" spans="1:69" s="1" customFormat="1" ht="25.25" customHeight="1" thickBot="1" x14ac:dyDescent="0.2">
      <c r="A49" s="61"/>
      <c r="B49"/>
      <c r="C49"/>
      <c r="D49"/>
      <c r="E49" s="43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 s="7"/>
      <c r="AY49"/>
      <c r="AZ49"/>
      <c r="BA49"/>
      <c r="BB49"/>
      <c r="BC49"/>
      <c r="BD49"/>
      <c r="BE49"/>
      <c r="BF49"/>
      <c r="BH49"/>
      <c r="BI49"/>
      <c r="BM49" s="35"/>
    </row>
    <row r="50" spans="1:69" ht="25.25" customHeight="1" thickTop="1" x14ac:dyDescent="0.2">
      <c r="B50" s="12"/>
      <c r="C50" s="12"/>
      <c r="D50" s="12"/>
      <c r="E50" s="25"/>
      <c r="F50" s="22" t="s">
        <v>132</v>
      </c>
      <c r="G50" s="49"/>
      <c r="H50" s="49"/>
      <c r="I50" s="49"/>
      <c r="J50" s="49"/>
      <c r="K50" s="49"/>
      <c r="L50" s="49"/>
      <c r="M50" s="49"/>
      <c r="N50" s="50"/>
      <c r="O50" s="57"/>
      <c r="P50" s="57"/>
      <c r="Q50" s="57"/>
      <c r="R50" s="57"/>
      <c r="S50" s="57"/>
      <c r="T50" s="57"/>
      <c r="U50" s="57"/>
      <c r="V50" s="57"/>
      <c r="W50" s="5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3"/>
      <c r="AJ50" s="3"/>
      <c r="AK50" s="3"/>
      <c r="AL50" s="3"/>
      <c r="AM50" s="3"/>
      <c r="AN50" s="3"/>
      <c r="AO50" s="3"/>
      <c r="AP50" s="8"/>
      <c r="AQ50" s="3"/>
      <c r="AR50" s="3"/>
      <c r="AS50" s="3"/>
      <c r="AT50" s="3"/>
      <c r="AU50" s="3"/>
      <c r="AV50" s="3"/>
      <c r="AW50" s="3"/>
      <c r="AX50" s="6"/>
      <c r="AY50" s="3"/>
      <c r="AZ50" s="3"/>
      <c r="BA50" s="3"/>
      <c r="BB50" s="3"/>
      <c r="BC50" s="3"/>
      <c r="BD50" s="3"/>
      <c r="BE50" s="3"/>
      <c r="BF50" s="1"/>
    </row>
    <row r="51" spans="1:69" s="1" customFormat="1" ht="25.25" customHeight="1" x14ac:dyDescent="0.15">
      <c r="A51" s="61"/>
      <c r="B51" s="16"/>
      <c r="C51" s="16"/>
      <c r="D51" s="16"/>
      <c r="E51" s="44"/>
      <c r="F51" s="51"/>
      <c r="G51" s="21" t="s">
        <v>127</v>
      </c>
      <c r="H51" s="27"/>
      <c r="I51" s="27"/>
      <c r="J51" s="27"/>
      <c r="K51" s="27"/>
      <c r="L51" s="27"/>
      <c r="M51" s="27"/>
      <c r="N51" s="52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9"/>
      <c r="AY51" s="16"/>
      <c r="AZ51" s="16"/>
      <c r="BA51" s="16"/>
      <c r="BB51" s="16"/>
      <c r="BC51" s="16"/>
      <c r="BD51" s="16"/>
      <c r="BE51" s="16"/>
      <c r="BF51" s="16"/>
      <c r="BG51" s="5"/>
      <c r="BM51" s="35"/>
    </row>
    <row r="52" spans="1:69" s="16" customFormat="1" ht="25.25" customHeight="1" x14ac:dyDescent="0.15">
      <c r="A52" s="61"/>
      <c r="E52" s="44"/>
      <c r="F52" s="51"/>
      <c r="G52" s="21" t="s">
        <v>128</v>
      </c>
      <c r="H52" s="27"/>
      <c r="I52" s="27"/>
      <c r="J52" s="27"/>
      <c r="K52" s="27"/>
      <c r="L52" s="27"/>
      <c r="M52" s="27"/>
      <c r="N52" s="52"/>
      <c r="AX52" s="19"/>
      <c r="BG52" s="19"/>
      <c r="BM52" s="18"/>
    </row>
    <row r="53" spans="1:69" s="16" customFormat="1" ht="25.25" customHeight="1" x14ac:dyDescent="0.2">
      <c r="A53" s="61"/>
      <c r="E53" s="44"/>
      <c r="F53" s="51"/>
      <c r="G53" s="21" t="s">
        <v>49</v>
      </c>
      <c r="H53" s="27"/>
      <c r="I53" s="27"/>
      <c r="J53" s="27"/>
      <c r="K53" s="27"/>
      <c r="L53" s="27"/>
      <c r="M53" s="27"/>
      <c r="N53" s="52"/>
      <c r="T53" s="1"/>
      <c r="U53" s="1"/>
      <c r="V53" s="1"/>
      <c r="W53" s="1"/>
      <c r="X53" s="1"/>
      <c r="AH53" s="12"/>
      <c r="AI53" s="3"/>
      <c r="AO53" s="3"/>
      <c r="AP53" s="3"/>
      <c r="AQ53" s="3"/>
      <c r="AR53" s="3"/>
      <c r="AS53" s="3"/>
      <c r="AT53" s="3"/>
      <c r="AU53" s="3"/>
      <c r="AV53" s="3"/>
      <c r="AW53" s="3"/>
      <c r="AX53" s="6"/>
      <c r="AY53" s="3"/>
      <c r="AZ53" s="3"/>
      <c r="BA53" s="3"/>
      <c r="BB53" s="3"/>
      <c r="BC53" s="3"/>
      <c r="BD53" s="3"/>
      <c r="BE53" s="3"/>
      <c r="BF53" s="1"/>
      <c r="BG53" s="19"/>
      <c r="BM53" s="18"/>
    </row>
    <row r="54" spans="1:69" s="1" customFormat="1" ht="25.25" customHeight="1" thickBot="1" x14ac:dyDescent="0.25">
      <c r="A54" s="61"/>
      <c r="B54" s="16"/>
      <c r="C54" s="16"/>
      <c r="D54" s="16"/>
      <c r="E54" s="44"/>
      <c r="F54" s="51"/>
      <c r="G54" s="21"/>
      <c r="H54" s="27"/>
      <c r="I54" s="27"/>
      <c r="J54" s="27"/>
      <c r="K54" s="27"/>
      <c r="L54" s="27"/>
      <c r="M54" s="27"/>
      <c r="N54" s="52"/>
      <c r="AH54" s="12"/>
      <c r="AJ54" s="16"/>
      <c r="AK54" s="16"/>
      <c r="AL54" s="16"/>
      <c r="AM54" s="16"/>
      <c r="AN54" s="16"/>
      <c r="AO54" s="3"/>
      <c r="AP54" s="3"/>
      <c r="AQ54" s="3"/>
      <c r="AR54" s="3"/>
      <c r="AS54" s="3"/>
      <c r="AT54" s="3"/>
      <c r="AU54" s="3"/>
      <c r="AV54" s="3"/>
      <c r="AW54" s="3"/>
      <c r="AX54" s="6"/>
      <c r="AY54" s="3"/>
      <c r="AZ54" s="3"/>
      <c r="BA54" s="3"/>
      <c r="BB54" s="3"/>
      <c r="BC54" s="3"/>
      <c r="BD54" s="3"/>
      <c r="BE54" s="3"/>
      <c r="BG54" s="5"/>
      <c r="BM54" s="35"/>
    </row>
    <row r="55" spans="1:69" s="1" customFormat="1" ht="25.25" customHeight="1" x14ac:dyDescent="0.2">
      <c r="A55" s="61"/>
      <c r="B55" s="16"/>
      <c r="C55" s="16"/>
      <c r="D55" s="16"/>
      <c r="E55" s="44"/>
      <c r="F55" s="51"/>
      <c r="G55" s="21" t="s">
        <v>117</v>
      </c>
      <c r="H55" s="21"/>
      <c r="I55" s="21"/>
      <c r="J55" s="27"/>
      <c r="K55" s="27"/>
      <c r="L55" s="27"/>
      <c r="M55" s="27"/>
      <c r="N55" s="52"/>
      <c r="AH55" s="12"/>
      <c r="AJ55" s="16"/>
      <c r="AK55" s="16"/>
      <c r="AL55" s="16"/>
      <c r="AM55" s="16"/>
      <c r="AN55" s="16"/>
      <c r="BG55" s="5"/>
      <c r="BM55" s="35"/>
      <c r="BP55" s="134"/>
      <c r="BQ55" s="134"/>
    </row>
    <row r="56" spans="1:69" s="1" customFormat="1" ht="25.25" customHeight="1" x14ac:dyDescent="0.2">
      <c r="A56" s="61"/>
      <c r="B56" s="16"/>
      <c r="C56" s="16"/>
      <c r="D56" s="16"/>
      <c r="E56" s="44"/>
      <c r="F56" s="51"/>
      <c r="G56" s="21" t="s">
        <v>53</v>
      </c>
      <c r="H56" s="21"/>
      <c r="I56" s="21"/>
      <c r="J56" s="27"/>
      <c r="K56" s="27"/>
      <c r="L56" s="27"/>
      <c r="M56" s="27"/>
      <c r="N56" s="52"/>
      <c r="AH56" s="12"/>
      <c r="AJ56" s="16"/>
      <c r="AK56" s="16"/>
      <c r="AL56" s="16"/>
      <c r="AM56" s="16"/>
      <c r="AN56" s="16"/>
      <c r="BI56" s="2"/>
      <c r="BM56" s="35"/>
      <c r="BP56" s="135"/>
      <c r="BQ56" s="135"/>
    </row>
    <row r="57" spans="1:69" s="1" customFormat="1" ht="25.25" customHeight="1" thickBot="1" x14ac:dyDescent="0.25">
      <c r="A57" s="61"/>
      <c r="B57" s="16"/>
      <c r="C57" s="16"/>
      <c r="D57" s="16"/>
      <c r="E57" s="44"/>
      <c r="F57" s="53"/>
      <c r="G57" s="54"/>
      <c r="H57" s="54"/>
      <c r="I57" s="54"/>
      <c r="J57" s="54"/>
      <c r="K57" s="54"/>
      <c r="L57" s="54"/>
      <c r="M57" s="54"/>
      <c r="N57" s="55"/>
      <c r="AH57" s="12"/>
      <c r="AI57" s="3"/>
      <c r="AJ57" s="16"/>
      <c r="AK57" s="16"/>
      <c r="AL57" s="16"/>
      <c r="AM57" s="16"/>
      <c r="AN57" s="16"/>
      <c r="AO57" s="3"/>
      <c r="AR57" s="3"/>
      <c r="AS57" s="3"/>
      <c r="AT57" s="3"/>
      <c r="AU57" s="3"/>
      <c r="AV57" s="3"/>
      <c r="AW57" s="3"/>
      <c r="AX57" s="6"/>
      <c r="AY57" s="3"/>
      <c r="AZ57" s="3"/>
      <c r="BA57" s="3"/>
      <c r="BB57" s="3"/>
      <c r="BC57" s="3"/>
      <c r="BD57" s="3"/>
      <c r="BE57" s="3"/>
      <c r="BI57" s="2"/>
      <c r="BM57" s="35"/>
      <c r="BP57" s="136"/>
      <c r="BQ57" s="136"/>
    </row>
    <row r="58" spans="1:69" s="1" customFormat="1" ht="25.25" customHeight="1" thickTop="1" thickBot="1" x14ac:dyDescent="0.25">
      <c r="A58" s="61"/>
      <c r="B58" s="16"/>
      <c r="C58" s="16"/>
      <c r="D58" s="16"/>
      <c r="E58" s="44"/>
      <c r="AH58" s="12"/>
      <c r="AI58" s="3"/>
      <c r="AJ58" s="16"/>
      <c r="AK58" s="16"/>
      <c r="AL58" s="16"/>
      <c r="AM58" s="16"/>
      <c r="AN58" s="16"/>
      <c r="AO58" s="3"/>
      <c r="AP58" s="3"/>
      <c r="AQ58" s="3"/>
      <c r="AR58" s="3"/>
      <c r="AS58" s="3"/>
      <c r="AT58" s="3"/>
      <c r="AU58" s="3"/>
      <c r="AV58" s="3"/>
      <c r="AW58" s="3"/>
      <c r="AX58" s="6"/>
      <c r="AY58" s="3"/>
      <c r="AZ58" s="3"/>
      <c r="BA58" s="3"/>
      <c r="BB58" s="3"/>
      <c r="BC58" s="3"/>
      <c r="BD58" s="3"/>
      <c r="BE58" s="3"/>
      <c r="BG58" s="5"/>
      <c r="BM58" s="35"/>
    </row>
    <row r="59" spans="1:69" s="1" customFormat="1" ht="25.25" customHeight="1" thickTop="1" x14ac:dyDescent="0.2">
      <c r="A59" s="61"/>
      <c r="B59" s="16"/>
      <c r="C59" s="16"/>
      <c r="D59" s="16"/>
      <c r="E59" s="44"/>
      <c r="F59" s="137" t="s">
        <v>124</v>
      </c>
      <c r="G59" s="138"/>
      <c r="H59" s="138"/>
      <c r="I59" s="138"/>
      <c r="J59" s="138"/>
      <c r="K59" s="138"/>
      <c r="L59" s="138"/>
      <c r="M59" s="138"/>
      <c r="N59" s="138"/>
      <c r="O59" s="138"/>
      <c r="P59" s="139"/>
      <c r="AH59" s="12"/>
      <c r="AI59" s="3"/>
      <c r="AJ59" s="16"/>
      <c r="AK59" s="16"/>
      <c r="AL59" s="16"/>
      <c r="AM59" s="16"/>
      <c r="AN59" s="16"/>
      <c r="AO59" s="3"/>
      <c r="AR59" s="3"/>
      <c r="AS59" s="3"/>
      <c r="AT59" s="3"/>
      <c r="AU59" s="3"/>
      <c r="AV59" s="3"/>
      <c r="AW59" s="3"/>
      <c r="AX59" s="6"/>
      <c r="AY59" s="3"/>
      <c r="AZ59" s="3"/>
      <c r="BA59" s="3"/>
      <c r="BB59" s="3"/>
      <c r="BC59" s="3"/>
      <c r="BD59" s="3"/>
      <c r="BE59" s="3"/>
      <c r="BG59" s="5"/>
      <c r="BM59" s="35"/>
    </row>
    <row r="60" spans="1:69" s="1" customFormat="1" ht="25.25" customHeight="1" thickBot="1" x14ac:dyDescent="0.25">
      <c r="A60" s="61"/>
      <c r="B60" s="16"/>
      <c r="C60" s="16"/>
      <c r="D60" s="16"/>
      <c r="E60" s="44"/>
      <c r="F60" s="140"/>
      <c r="G60" s="141"/>
      <c r="H60" s="141"/>
      <c r="I60" s="141"/>
      <c r="J60" s="141"/>
      <c r="K60" s="141"/>
      <c r="L60" s="141"/>
      <c r="M60" s="141"/>
      <c r="N60" s="141"/>
      <c r="O60" s="141"/>
      <c r="P60" s="142"/>
      <c r="AH60" s="12"/>
      <c r="AI60" s="3"/>
      <c r="AJ60" s="16"/>
      <c r="AK60" s="16"/>
      <c r="AL60" s="16"/>
      <c r="AM60" s="16"/>
      <c r="AN60" s="16"/>
      <c r="AO60" s="3"/>
      <c r="AR60" s="3"/>
      <c r="AS60" s="3"/>
      <c r="AT60" s="3"/>
      <c r="AU60" s="3"/>
      <c r="AV60" s="3"/>
      <c r="AW60" s="3"/>
      <c r="AX60" s="6"/>
      <c r="AY60" s="3"/>
      <c r="AZ60" s="3"/>
      <c r="BA60" s="3"/>
      <c r="BB60" s="3"/>
      <c r="BC60" s="3"/>
      <c r="BD60" s="3"/>
      <c r="BE60" s="3"/>
      <c r="BG60" s="5"/>
      <c r="BM60" s="35"/>
    </row>
    <row r="61" spans="1:69" s="1" customFormat="1" ht="25.25" customHeight="1" thickTop="1" x14ac:dyDescent="0.2">
      <c r="A61" s="61"/>
      <c r="B61" s="16"/>
      <c r="C61" s="16"/>
      <c r="D61" s="16"/>
      <c r="E61" s="44"/>
      <c r="AH61" s="12"/>
      <c r="AI61" s="3"/>
      <c r="AJ61" s="16"/>
      <c r="AK61" s="16"/>
      <c r="AL61" s="16"/>
      <c r="AM61" s="16"/>
      <c r="AN61" s="16"/>
      <c r="AO61" s="3"/>
      <c r="AP61" s="3"/>
      <c r="AQ61" s="3"/>
      <c r="AR61" s="3"/>
      <c r="AS61" s="3"/>
      <c r="AT61" s="3"/>
      <c r="AU61" s="3"/>
      <c r="AV61" s="3"/>
      <c r="AW61" s="3"/>
      <c r="AX61" s="6"/>
      <c r="AY61" s="3"/>
      <c r="AZ61" s="3"/>
      <c r="BA61" s="3"/>
      <c r="BB61" s="3"/>
      <c r="BC61" s="3"/>
      <c r="BD61" s="3"/>
      <c r="BE61" s="3"/>
      <c r="BG61" s="5"/>
      <c r="BM61" s="35"/>
    </row>
    <row r="62" spans="1:69" s="1" customFormat="1" ht="25.25" customHeight="1" x14ac:dyDescent="0.2">
      <c r="A62" s="61"/>
      <c r="B62" s="16"/>
      <c r="C62" s="16"/>
      <c r="D62" s="16"/>
      <c r="E62" s="44"/>
      <c r="AH62" s="12"/>
      <c r="AI62" s="3"/>
      <c r="AJ62" s="16"/>
      <c r="AK62" s="16"/>
      <c r="AL62" s="16"/>
      <c r="AM62" s="16"/>
      <c r="AN62" s="16"/>
      <c r="AO62" s="3"/>
      <c r="AP62" s="3"/>
      <c r="AQ62" s="3"/>
      <c r="AR62" s="3"/>
      <c r="AS62" s="3"/>
      <c r="AT62" s="3"/>
      <c r="AU62" s="3"/>
      <c r="AV62" s="3"/>
      <c r="AW62" s="3"/>
      <c r="AX62" s="6"/>
      <c r="AY62" s="3"/>
      <c r="AZ62" s="3"/>
      <c r="BA62" s="3"/>
      <c r="BB62" s="3"/>
      <c r="BC62" s="3"/>
      <c r="BD62" s="3"/>
      <c r="BE62" s="3"/>
      <c r="BG62" s="5"/>
      <c r="BM62" s="35"/>
    </row>
    <row r="63" spans="1:69" s="1" customFormat="1" ht="25.25" customHeight="1" x14ac:dyDescent="0.2">
      <c r="A63" s="61"/>
      <c r="B63" s="16"/>
      <c r="C63" s="16"/>
      <c r="D63" s="16"/>
      <c r="E63" s="44"/>
      <c r="AH63" s="12"/>
      <c r="AI63" s="3"/>
      <c r="AJ63" s="16"/>
      <c r="AK63" s="16"/>
      <c r="AL63" s="16"/>
      <c r="AM63" s="16"/>
      <c r="AN63" s="16"/>
      <c r="AO63" s="3"/>
      <c r="AP63" s="3"/>
      <c r="AQ63" s="3"/>
      <c r="AR63" s="3"/>
      <c r="AS63" s="3"/>
      <c r="AT63" s="3"/>
      <c r="AU63" s="3"/>
      <c r="AV63" s="3"/>
      <c r="AW63" s="3"/>
      <c r="AX63" s="6"/>
      <c r="AY63" s="3"/>
      <c r="AZ63" s="3"/>
      <c r="BA63" s="3"/>
      <c r="BB63" s="3"/>
      <c r="BC63" s="3"/>
      <c r="BD63" s="3"/>
      <c r="BE63" s="3"/>
      <c r="BG63" s="5"/>
      <c r="BM63" s="35"/>
    </row>
    <row r="64" spans="1:69" s="1" customFormat="1" ht="25.25" customHeight="1" x14ac:dyDescent="0.2">
      <c r="A64" s="61"/>
      <c r="B64" s="16"/>
      <c r="C64" s="16"/>
      <c r="D64" s="16"/>
      <c r="E64" s="44"/>
      <c r="AH64" s="12"/>
      <c r="AI64" s="3"/>
      <c r="AJ64" s="16"/>
      <c r="AK64" s="16"/>
      <c r="AL64" s="16"/>
      <c r="AM64" s="16"/>
      <c r="AN64" s="16"/>
      <c r="AO64" s="3"/>
      <c r="AP64" s="3"/>
      <c r="AQ64" s="3"/>
      <c r="AR64" s="3"/>
      <c r="AS64" s="3"/>
      <c r="AT64" s="3"/>
      <c r="AU64" s="3"/>
      <c r="AV64" s="3"/>
      <c r="AW64" s="3"/>
      <c r="AX64" s="6"/>
      <c r="AY64" s="3"/>
      <c r="AZ64" s="3"/>
      <c r="BA64" s="3"/>
      <c r="BB64" s="3"/>
      <c r="BC64" s="3"/>
      <c r="BD64" s="3"/>
      <c r="BE64" s="3"/>
      <c r="BG64" s="5"/>
      <c r="BM64" s="35"/>
    </row>
    <row r="65" spans="1:65" s="1" customFormat="1" ht="25.25" customHeight="1" x14ac:dyDescent="0.2">
      <c r="A65" s="61"/>
      <c r="B65" s="16"/>
      <c r="C65" s="16"/>
      <c r="D65" s="16"/>
      <c r="E65" s="44"/>
      <c r="AH65" s="12"/>
      <c r="AI65" s="3"/>
      <c r="AJ65" s="16"/>
      <c r="AK65" s="16"/>
      <c r="AL65" s="16"/>
      <c r="AM65" s="16"/>
      <c r="AN65" s="16"/>
      <c r="AO65" s="3"/>
      <c r="AP65" s="3"/>
      <c r="AQ65" s="3"/>
      <c r="AR65" s="3"/>
      <c r="AS65" s="3"/>
      <c r="AT65" s="3"/>
      <c r="AU65" s="3"/>
      <c r="AV65" s="3"/>
      <c r="AW65" s="3"/>
      <c r="AX65" s="6"/>
      <c r="AY65" s="3"/>
      <c r="AZ65" s="3"/>
      <c r="BA65" s="3"/>
      <c r="BB65" s="3"/>
      <c r="BC65" s="3"/>
      <c r="BD65" s="3"/>
      <c r="BE65" s="3"/>
      <c r="BG65" s="5"/>
      <c r="BM65" s="35"/>
    </row>
    <row r="66" spans="1:65" s="1" customFormat="1" ht="25.25" customHeight="1" x14ac:dyDescent="0.2">
      <c r="A66" s="61"/>
      <c r="B66" s="16"/>
      <c r="C66" s="16"/>
      <c r="D66" s="16"/>
      <c r="E66" s="44"/>
      <c r="AH66" s="12"/>
      <c r="AI66" s="3"/>
      <c r="AJ66" s="16"/>
      <c r="AK66" s="16"/>
      <c r="AL66" s="16"/>
      <c r="AM66" s="16"/>
      <c r="AN66" s="16"/>
      <c r="AO66" s="3"/>
      <c r="AP66" s="3"/>
      <c r="AQ66" s="3"/>
      <c r="AR66" s="3"/>
      <c r="AS66" s="3"/>
      <c r="AT66" s="3"/>
      <c r="AU66" s="3"/>
      <c r="AV66" s="3"/>
      <c r="AW66" s="3"/>
      <c r="AX66" s="6"/>
      <c r="AY66" s="3"/>
      <c r="AZ66" s="3"/>
      <c r="BA66" s="3"/>
      <c r="BB66" s="3"/>
      <c r="BC66" s="3"/>
      <c r="BD66" s="3"/>
      <c r="BE66" s="3"/>
      <c r="BG66" s="5"/>
      <c r="BM66" s="35"/>
    </row>
    <row r="67" spans="1:65" s="1" customFormat="1" ht="25.25" customHeight="1" x14ac:dyDescent="0.2">
      <c r="A67" s="61"/>
      <c r="B67" s="16"/>
      <c r="C67" s="16"/>
      <c r="D67" s="16"/>
      <c r="E67" s="44"/>
      <c r="AH67" s="12"/>
      <c r="AI67" s="3"/>
      <c r="AJ67" s="16"/>
      <c r="AK67" s="16"/>
      <c r="AL67" s="16"/>
      <c r="AM67" s="16"/>
      <c r="AN67" s="16"/>
      <c r="AO67" s="3"/>
      <c r="AP67" s="3"/>
      <c r="AQ67" s="3"/>
      <c r="AR67" s="3"/>
      <c r="AS67" s="3"/>
      <c r="AT67" s="3"/>
      <c r="AU67" s="3"/>
      <c r="AV67" s="3"/>
      <c r="AW67" s="3"/>
      <c r="AX67" s="6"/>
      <c r="AY67" s="3"/>
      <c r="AZ67" s="3"/>
      <c r="BA67" s="3"/>
      <c r="BB67" s="3"/>
      <c r="BC67" s="3"/>
      <c r="BD67" s="3"/>
      <c r="BE67" s="3"/>
      <c r="BG67" s="5"/>
      <c r="BM67" s="35"/>
    </row>
    <row r="68" spans="1:65" s="1" customFormat="1" ht="25.25" customHeight="1" x14ac:dyDescent="0.2">
      <c r="A68" s="61"/>
      <c r="B68" s="16"/>
      <c r="C68" s="16"/>
      <c r="D68" s="16"/>
      <c r="E68" s="44"/>
      <c r="AH68" s="12"/>
      <c r="AI68" s="3"/>
      <c r="AJ68" s="16"/>
      <c r="AK68" s="16"/>
      <c r="AL68" s="16"/>
      <c r="AM68" s="16"/>
      <c r="AN68" s="16"/>
      <c r="AO68" s="3"/>
      <c r="AP68" s="3"/>
      <c r="AQ68" s="3"/>
      <c r="AR68" s="3"/>
      <c r="AS68" s="3"/>
      <c r="AT68" s="3"/>
      <c r="AU68" s="3"/>
      <c r="AV68" s="3"/>
      <c r="AW68" s="3"/>
      <c r="AX68" s="6"/>
      <c r="AY68" s="3"/>
      <c r="AZ68" s="3"/>
      <c r="BA68" s="3"/>
      <c r="BB68" s="3"/>
      <c r="BC68" s="3"/>
      <c r="BD68" s="3"/>
      <c r="BE68" s="3"/>
      <c r="BG68" s="5"/>
      <c r="BM68" s="35"/>
    </row>
    <row r="69" spans="1:65" s="1" customFormat="1" ht="25.25" customHeight="1" x14ac:dyDescent="0.2">
      <c r="A69" s="61"/>
      <c r="B69" s="16"/>
      <c r="C69" s="16"/>
      <c r="D69" s="16"/>
      <c r="E69" s="44"/>
      <c r="AH69" s="12"/>
      <c r="AI69" s="3"/>
      <c r="AJ69" s="16"/>
      <c r="AK69" s="16"/>
      <c r="AL69" s="16"/>
      <c r="AM69" s="16"/>
      <c r="AN69" s="16"/>
      <c r="AO69" s="3"/>
      <c r="AP69" s="3"/>
      <c r="AQ69" s="3"/>
      <c r="AR69" s="3"/>
      <c r="AS69" s="3"/>
      <c r="AT69" s="3"/>
      <c r="AU69" s="3"/>
      <c r="AV69" s="3"/>
      <c r="AW69" s="3"/>
      <c r="AX69" s="6"/>
      <c r="AY69" s="3"/>
      <c r="AZ69" s="3"/>
      <c r="BA69" s="3"/>
      <c r="BB69" s="3"/>
      <c r="BC69" s="3"/>
      <c r="BD69" s="3"/>
      <c r="BE69" s="3"/>
      <c r="BG69" s="5"/>
      <c r="BM69" s="35"/>
    </row>
    <row r="70" spans="1:65" s="1" customFormat="1" ht="25.25" customHeight="1" x14ac:dyDescent="0.2">
      <c r="A70" s="61"/>
      <c r="B70" s="16"/>
      <c r="C70" s="16"/>
      <c r="D70" s="16"/>
      <c r="E70" s="44"/>
      <c r="AH70" s="12"/>
      <c r="AI70" s="3"/>
      <c r="AJ70" s="16"/>
      <c r="AK70" s="16"/>
      <c r="AL70" s="16"/>
      <c r="AM70" s="16"/>
      <c r="AN70" s="16"/>
      <c r="AO70" s="3"/>
      <c r="AP70" s="3"/>
      <c r="AQ70" s="3"/>
      <c r="AR70" s="3"/>
      <c r="AS70" s="3"/>
      <c r="AT70" s="3"/>
      <c r="AU70" s="3"/>
      <c r="AV70" s="3"/>
      <c r="AW70" s="3"/>
      <c r="AX70" s="6"/>
      <c r="AY70" s="3"/>
      <c r="AZ70" s="3"/>
      <c r="BA70" s="3"/>
      <c r="BB70" s="3"/>
      <c r="BC70" s="3"/>
      <c r="BD70" s="3"/>
      <c r="BE70" s="3"/>
      <c r="BG70" s="5"/>
      <c r="BM70" s="35"/>
    </row>
    <row r="71" spans="1:65" s="1" customFormat="1" ht="25.25" customHeight="1" x14ac:dyDescent="0.2">
      <c r="A71" s="61"/>
      <c r="B71" s="16"/>
      <c r="C71" s="16"/>
      <c r="D71" s="16"/>
      <c r="E71" s="44"/>
      <c r="AH71" s="12"/>
      <c r="AI71" s="3"/>
      <c r="AJ71" s="16"/>
      <c r="AK71" s="16"/>
      <c r="AL71" s="16"/>
      <c r="AM71" s="16"/>
      <c r="AN71" s="16"/>
      <c r="AO71" s="3"/>
      <c r="AP71" s="3"/>
      <c r="AQ71" s="3"/>
      <c r="AR71" s="3"/>
      <c r="AS71" s="3"/>
      <c r="AT71" s="3"/>
      <c r="AU71" s="3"/>
      <c r="AV71" s="3"/>
      <c r="AW71" s="3"/>
      <c r="AX71" s="6"/>
      <c r="AY71" s="3"/>
      <c r="AZ71" s="3"/>
      <c r="BA71" s="3"/>
      <c r="BB71" s="3"/>
      <c r="BC71" s="3"/>
      <c r="BD71" s="3"/>
      <c r="BE71" s="3"/>
      <c r="BG71" s="5"/>
      <c r="BM71" s="35"/>
    </row>
    <row r="72" spans="1:65" s="1" customFormat="1" ht="25.25" customHeight="1" x14ac:dyDescent="0.2">
      <c r="A72" s="61"/>
      <c r="B72" s="16"/>
      <c r="C72" s="16"/>
      <c r="D72" s="16"/>
      <c r="E72" s="44"/>
      <c r="AH72" s="12"/>
      <c r="AI72" s="3"/>
      <c r="AJ72" s="16"/>
      <c r="AK72" s="16"/>
      <c r="AL72" s="16"/>
      <c r="AM72" s="16"/>
      <c r="AN72" s="16"/>
      <c r="AO72" s="3"/>
      <c r="AP72" s="3"/>
      <c r="AQ72" s="3"/>
      <c r="AR72" s="3"/>
      <c r="AS72" s="3"/>
      <c r="AT72" s="3"/>
      <c r="AU72" s="3"/>
      <c r="AV72" s="3"/>
      <c r="AW72" s="3"/>
      <c r="AX72" s="6"/>
      <c r="AY72" s="3"/>
      <c r="AZ72" s="3"/>
      <c r="BA72" s="3"/>
      <c r="BB72" s="3"/>
      <c r="BC72" s="3"/>
      <c r="BD72" s="3"/>
      <c r="BE72" s="3"/>
      <c r="BG72" s="5"/>
      <c r="BM72" s="35"/>
    </row>
    <row r="73" spans="1:65" s="1" customFormat="1" ht="25.25" customHeight="1" x14ac:dyDescent="0.2">
      <c r="A73" s="61"/>
      <c r="B73" s="16"/>
      <c r="C73" s="16"/>
      <c r="D73" s="16"/>
      <c r="E73" s="44"/>
      <c r="AH73" s="12"/>
      <c r="AI73" s="3"/>
      <c r="AJ73" s="16"/>
      <c r="AK73" s="16"/>
      <c r="AL73" s="16"/>
      <c r="AM73" s="16"/>
      <c r="AN73" s="16"/>
      <c r="AO73" s="3"/>
      <c r="AP73" s="3"/>
      <c r="AQ73" s="3"/>
      <c r="AR73" s="3"/>
      <c r="AS73" s="3"/>
      <c r="AT73" s="3"/>
      <c r="AU73" s="3"/>
      <c r="AV73" s="3"/>
      <c r="AW73" s="3"/>
      <c r="AX73" s="6"/>
      <c r="AY73" s="3"/>
      <c r="AZ73" s="3"/>
      <c r="BA73" s="3"/>
      <c r="BB73" s="3"/>
      <c r="BC73" s="3"/>
      <c r="BD73" s="3"/>
      <c r="BE73" s="3"/>
      <c r="BG73" s="5"/>
      <c r="BM73" s="35"/>
    </row>
    <row r="74" spans="1:65" s="1" customFormat="1" ht="25.25" customHeight="1" x14ac:dyDescent="0.2">
      <c r="A74" s="61"/>
      <c r="B74" s="16"/>
      <c r="C74" s="16"/>
      <c r="D74" s="16"/>
      <c r="E74" s="44"/>
      <c r="AH74" s="12"/>
      <c r="AI74" s="3"/>
      <c r="AJ74" s="16"/>
      <c r="AK74" s="16"/>
      <c r="AL74" s="16"/>
      <c r="AM74" s="16"/>
      <c r="AN74" s="16"/>
      <c r="AO74" s="3"/>
      <c r="AP74" s="3"/>
      <c r="AQ74" s="3"/>
      <c r="AR74" s="3"/>
      <c r="AS74" s="3"/>
      <c r="AT74" s="3"/>
      <c r="AU74" s="3"/>
      <c r="AV74" s="3"/>
      <c r="AW74" s="3"/>
      <c r="AX74" s="6"/>
      <c r="AY74" s="3"/>
      <c r="AZ74" s="3"/>
      <c r="BA74" s="3"/>
      <c r="BB74" s="3"/>
      <c r="BC74" s="3"/>
      <c r="BD74" s="3"/>
      <c r="BE74" s="3"/>
      <c r="BG74" s="5"/>
      <c r="BM74" s="35"/>
    </row>
    <row r="75" spans="1:65" s="1" customFormat="1" ht="25.25" customHeight="1" x14ac:dyDescent="0.2">
      <c r="A75" s="61"/>
      <c r="B75" s="16"/>
      <c r="C75" s="16"/>
      <c r="D75" s="16"/>
      <c r="E75" s="44"/>
      <c r="AH75" s="12"/>
      <c r="AI75" s="3"/>
      <c r="AJ75" s="16"/>
      <c r="AK75" s="16"/>
      <c r="AL75" s="16"/>
      <c r="AM75" s="16"/>
      <c r="AN75" s="16"/>
      <c r="AO75" s="3"/>
      <c r="AP75" s="3"/>
      <c r="AQ75" s="3"/>
      <c r="AR75" s="3"/>
      <c r="AS75" s="3"/>
      <c r="AT75" s="3"/>
      <c r="AU75" s="3"/>
      <c r="AV75" s="3"/>
      <c r="AW75" s="3"/>
      <c r="AX75" s="6"/>
      <c r="AY75" s="3"/>
      <c r="AZ75" s="3"/>
      <c r="BA75" s="3"/>
      <c r="BB75" s="3"/>
      <c r="BC75" s="3"/>
      <c r="BD75" s="3"/>
      <c r="BE75" s="3"/>
      <c r="BG75" s="5"/>
      <c r="BM75" s="35"/>
    </row>
    <row r="76" spans="1:65" s="1" customFormat="1" ht="25.25" customHeight="1" x14ac:dyDescent="0.2">
      <c r="A76" s="61"/>
      <c r="B76" s="16"/>
      <c r="C76" s="16"/>
      <c r="D76" s="16"/>
      <c r="E76" s="44"/>
      <c r="AH76" s="12"/>
      <c r="AI76" s="3"/>
      <c r="AJ76" s="16"/>
      <c r="AK76" s="16"/>
      <c r="AL76" s="16"/>
      <c r="AM76" s="16"/>
      <c r="AN76" s="16"/>
      <c r="AO76" s="3"/>
      <c r="AP76" s="3"/>
      <c r="AQ76" s="3"/>
      <c r="AR76" s="3"/>
      <c r="AS76" s="3"/>
      <c r="AT76" s="3"/>
      <c r="AU76" s="3"/>
      <c r="AV76" s="3"/>
      <c r="AW76" s="3"/>
      <c r="AX76" s="6"/>
      <c r="AY76" s="3"/>
      <c r="AZ76" s="3"/>
      <c r="BA76" s="3"/>
      <c r="BB76" s="3"/>
      <c r="BC76" s="3"/>
      <c r="BD76" s="3"/>
      <c r="BE76" s="3"/>
      <c r="BG76" s="5"/>
      <c r="BM76" s="35"/>
    </row>
    <row r="77" spans="1:65" s="1" customFormat="1" ht="25.25" customHeight="1" x14ac:dyDescent="0.2">
      <c r="A77" s="61"/>
      <c r="B77" s="16"/>
      <c r="C77" s="16"/>
      <c r="D77" s="16"/>
      <c r="E77" s="44"/>
      <c r="AH77" s="12"/>
      <c r="AI77" s="3"/>
      <c r="AJ77" s="16"/>
      <c r="AK77" s="16"/>
      <c r="AL77" s="16"/>
      <c r="AM77" s="16"/>
      <c r="AN77" s="16"/>
      <c r="AO77" s="3"/>
      <c r="AP77" s="3"/>
      <c r="AQ77" s="3"/>
      <c r="AR77" s="3"/>
      <c r="AS77" s="3"/>
      <c r="AT77" s="3"/>
      <c r="AU77" s="3"/>
      <c r="AV77" s="3"/>
      <c r="AW77" s="3"/>
      <c r="AX77" s="6"/>
      <c r="AY77" s="3"/>
      <c r="AZ77" s="3"/>
      <c r="BA77" s="3"/>
      <c r="BB77" s="3"/>
      <c r="BC77" s="3"/>
      <c r="BD77" s="3"/>
      <c r="BE77" s="3"/>
      <c r="BG77" s="5"/>
      <c r="BM77" s="35"/>
    </row>
    <row r="78" spans="1:65" s="1" customFormat="1" ht="25.25" customHeight="1" x14ac:dyDescent="0.2">
      <c r="A78" s="61"/>
      <c r="B78" s="16"/>
      <c r="C78" s="16"/>
      <c r="D78" s="16"/>
      <c r="E78" s="44"/>
      <c r="AH78" s="12"/>
      <c r="AI78" s="3"/>
      <c r="AJ78" s="16"/>
      <c r="AK78" s="16"/>
      <c r="AL78" s="16"/>
      <c r="AM78" s="16"/>
      <c r="AN78" s="16"/>
      <c r="AO78" s="3"/>
      <c r="AP78" s="3"/>
      <c r="AQ78" s="3"/>
      <c r="AR78" s="3"/>
      <c r="AS78" s="3"/>
      <c r="AT78" s="3"/>
      <c r="AU78" s="3"/>
      <c r="AV78" s="3"/>
      <c r="AW78" s="3"/>
      <c r="AX78" s="6"/>
      <c r="AY78" s="3"/>
      <c r="AZ78" s="3"/>
      <c r="BA78" s="3"/>
      <c r="BB78" s="3"/>
      <c r="BC78" s="3"/>
      <c r="BD78" s="3"/>
      <c r="BE78" s="3"/>
      <c r="BG78" s="5"/>
      <c r="BM78" s="35"/>
    </row>
    <row r="79" spans="1:65" s="1" customFormat="1" ht="25.25" customHeight="1" x14ac:dyDescent="0.2">
      <c r="A79" s="61"/>
      <c r="B79" s="16"/>
      <c r="C79" s="16"/>
      <c r="D79" s="16"/>
      <c r="E79" s="44"/>
      <c r="AH79" s="12"/>
      <c r="AI79" s="3"/>
      <c r="AJ79" s="16"/>
      <c r="AK79" s="16"/>
      <c r="AL79" s="16"/>
      <c r="AM79" s="16"/>
      <c r="AN79" s="16"/>
      <c r="AO79" s="3"/>
      <c r="AP79" s="3"/>
      <c r="AQ79" s="3"/>
      <c r="AR79" s="3"/>
      <c r="AS79" s="3"/>
      <c r="AT79" s="3"/>
      <c r="AU79" s="3"/>
      <c r="AV79" s="3"/>
      <c r="AW79" s="3"/>
      <c r="AX79" s="6"/>
      <c r="AY79" s="3"/>
      <c r="AZ79" s="3"/>
      <c r="BA79" s="3"/>
      <c r="BB79" s="3"/>
      <c r="BC79" s="3"/>
      <c r="BD79" s="3"/>
      <c r="BE79" s="3"/>
      <c r="BG79" s="5"/>
      <c r="BM79" s="35"/>
    </row>
    <row r="80" spans="1:65" s="1" customFormat="1" ht="25.25" customHeight="1" x14ac:dyDescent="0.2">
      <c r="A80" s="61"/>
      <c r="B80" s="16"/>
      <c r="C80" s="16"/>
      <c r="D80" s="16"/>
      <c r="E80" s="44"/>
      <c r="AH80" s="12"/>
      <c r="AI80" s="3"/>
      <c r="AJ80" s="16"/>
      <c r="AK80" s="16"/>
      <c r="AL80" s="16"/>
      <c r="AM80" s="16"/>
      <c r="AN80" s="16"/>
      <c r="AO80" s="3"/>
      <c r="AP80" s="3"/>
      <c r="AQ80" s="3"/>
      <c r="AR80" s="3"/>
      <c r="AS80" s="3"/>
      <c r="AT80" s="3"/>
      <c r="AU80" s="3"/>
      <c r="AV80" s="3"/>
      <c r="AW80" s="3"/>
      <c r="AX80" s="6"/>
      <c r="AY80" s="3"/>
      <c r="AZ80" s="3"/>
      <c r="BA80" s="3"/>
      <c r="BB80" s="3"/>
      <c r="BC80" s="3"/>
      <c r="BD80" s="3"/>
      <c r="BE80" s="3"/>
      <c r="BG80" s="5"/>
      <c r="BM80" s="35"/>
    </row>
    <row r="81" spans="1:65" s="1" customFormat="1" ht="25.25" customHeight="1" x14ac:dyDescent="0.2">
      <c r="A81" s="61"/>
      <c r="B81" s="16"/>
      <c r="C81" s="16"/>
      <c r="D81" s="16"/>
      <c r="E81" s="44"/>
      <c r="AH81" s="12"/>
      <c r="AI81" s="3"/>
      <c r="AJ81" s="16"/>
      <c r="AK81" s="16"/>
      <c r="AL81" s="16"/>
      <c r="AM81" s="16"/>
      <c r="AN81" s="16"/>
      <c r="AO81" s="3"/>
      <c r="AP81" s="3"/>
      <c r="AQ81" s="3"/>
      <c r="AR81" s="3"/>
      <c r="AS81" s="3"/>
      <c r="AT81" s="3"/>
      <c r="AU81" s="3"/>
      <c r="AV81" s="3"/>
      <c r="AW81" s="3"/>
      <c r="AX81" s="6"/>
      <c r="AY81" s="3"/>
      <c r="AZ81" s="3"/>
      <c r="BA81" s="3"/>
      <c r="BB81" s="3"/>
      <c r="BC81" s="3"/>
      <c r="BD81" s="3"/>
      <c r="BE81" s="3"/>
      <c r="BG81" s="5"/>
      <c r="BM81" s="35"/>
    </row>
    <row r="82" spans="1:65" s="1" customFormat="1" ht="25.25" customHeight="1" x14ac:dyDescent="0.2">
      <c r="A82" s="61"/>
      <c r="B82" s="16"/>
      <c r="C82" s="16"/>
      <c r="D82" s="16"/>
      <c r="E82" s="44"/>
      <c r="AH82" s="12"/>
      <c r="AI82" s="3"/>
      <c r="AJ82" s="16"/>
      <c r="AK82" s="16"/>
      <c r="AL82" s="16"/>
      <c r="AM82" s="16"/>
      <c r="AN82" s="16"/>
      <c r="AO82" s="3"/>
      <c r="AP82" s="3"/>
      <c r="AQ82" s="3"/>
      <c r="AR82" s="3"/>
      <c r="AS82" s="3"/>
      <c r="AT82" s="3"/>
      <c r="AU82" s="3"/>
      <c r="AV82" s="3"/>
      <c r="AW82" s="3"/>
      <c r="AX82" s="6"/>
      <c r="AY82" s="3"/>
      <c r="AZ82" s="3"/>
      <c r="BA82" s="3"/>
      <c r="BB82" s="3"/>
      <c r="BC82" s="3"/>
      <c r="BD82" s="3"/>
      <c r="BE82" s="3"/>
      <c r="BG82" s="5"/>
      <c r="BM82" s="35"/>
    </row>
    <row r="83" spans="1:65" s="1" customFormat="1" ht="25.25" customHeight="1" x14ac:dyDescent="0.2">
      <c r="A83" s="61"/>
      <c r="B83" s="16"/>
      <c r="C83" s="16"/>
      <c r="D83" s="16"/>
      <c r="E83" s="44"/>
      <c r="AH83" s="12"/>
      <c r="AI83" s="3"/>
      <c r="AJ83" s="16"/>
      <c r="AK83" s="16"/>
      <c r="AL83" s="16"/>
      <c r="AM83" s="16"/>
      <c r="AN83" s="16"/>
      <c r="AO83" s="3"/>
      <c r="AP83" s="3"/>
      <c r="AQ83" s="3"/>
      <c r="AR83" s="3"/>
      <c r="AS83" s="3"/>
      <c r="AT83" s="3"/>
      <c r="AU83" s="3"/>
      <c r="AV83" s="3"/>
      <c r="AW83" s="3"/>
      <c r="AX83" s="6"/>
      <c r="AY83" s="3"/>
      <c r="AZ83" s="3"/>
      <c r="BA83" s="3"/>
      <c r="BB83" s="3"/>
      <c r="BC83" s="3"/>
      <c r="BD83" s="3"/>
      <c r="BE83" s="3"/>
      <c r="BG83" s="5"/>
      <c r="BM83" s="35"/>
    </row>
    <row r="84" spans="1:65" s="1" customFormat="1" ht="25.25" customHeight="1" x14ac:dyDescent="0.2">
      <c r="A84" s="61"/>
      <c r="B84" s="16"/>
      <c r="C84" s="16"/>
      <c r="D84" s="16"/>
      <c r="E84" s="16"/>
      <c r="AH84" s="12"/>
      <c r="AI84" s="3"/>
      <c r="AJ84" s="16"/>
      <c r="AK84" s="16"/>
      <c r="AL84" s="16"/>
      <c r="AM84" s="16"/>
      <c r="AN84" s="16"/>
      <c r="AO84" s="3"/>
      <c r="AP84" s="3"/>
      <c r="AQ84" s="3"/>
      <c r="AR84" s="3"/>
      <c r="AS84" s="3"/>
      <c r="AT84" s="3"/>
      <c r="AU84" s="3"/>
      <c r="AV84" s="3"/>
      <c r="AW84" s="3"/>
      <c r="AX84" s="6"/>
      <c r="AY84" s="3"/>
      <c r="AZ84" s="3"/>
      <c r="BA84" s="3"/>
      <c r="BB84" s="3"/>
      <c r="BC84" s="3"/>
      <c r="BD84" s="3"/>
      <c r="BE84" s="3"/>
      <c r="BG84" s="5"/>
      <c r="BM84" s="35"/>
    </row>
    <row r="85" spans="1:65" s="1" customFormat="1" ht="25.25" customHeight="1" x14ac:dyDescent="0.2">
      <c r="A85" s="61"/>
      <c r="B85" s="16"/>
      <c r="C85" s="16"/>
      <c r="D85" s="16"/>
      <c r="E85" s="16"/>
      <c r="AH85" s="12"/>
      <c r="AI85" s="3"/>
      <c r="AJ85" s="16"/>
      <c r="AK85" s="16"/>
      <c r="AL85" s="16"/>
      <c r="AM85" s="16"/>
      <c r="AN85" s="16"/>
      <c r="AO85" s="3"/>
      <c r="AP85" s="3"/>
      <c r="AQ85" s="3"/>
      <c r="AR85" s="3"/>
      <c r="AS85" s="3"/>
      <c r="AT85" s="3"/>
      <c r="AU85" s="3"/>
      <c r="AV85" s="3"/>
      <c r="AW85" s="3"/>
      <c r="AX85" s="6"/>
      <c r="AY85" s="3"/>
      <c r="AZ85" s="3"/>
      <c r="BA85" s="3"/>
      <c r="BB85" s="3"/>
      <c r="BC85" s="3"/>
      <c r="BD85" s="3"/>
      <c r="BE85" s="3"/>
      <c r="BG85" s="5"/>
      <c r="BM85" s="35"/>
    </row>
    <row r="86" spans="1:65" s="1" customFormat="1" ht="25.25" customHeight="1" x14ac:dyDescent="0.15">
      <c r="A86" s="61"/>
      <c r="B86" s="16"/>
      <c r="C86" s="16"/>
      <c r="D86" s="16"/>
      <c r="E86" s="1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16"/>
      <c r="AK86" s="16"/>
      <c r="AL86" s="16"/>
      <c r="AM86" s="16"/>
      <c r="AN86" s="16"/>
      <c r="AO86" s="3"/>
      <c r="AP86" s="3"/>
      <c r="AQ86" s="3"/>
      <c r="AR86" s="3"/>
      <c r="AS86" s="3"/>
      <c r="AT86" s="3"/>
      <c r="AU86" s="3"/>
      <c r="AV86" s="3"/>
      <c r="AW86" s="3"/>
      <c r="AX86" s="6"/>
      <c r="AY86" s="3"/>
      <c r="AZ86" s="3"/>
      <c r="BA86" s="3"/>
      <c r="BB86" s="3"/>
      <c r="BC86" s="3"/>
      <c r="BD86" s="3"/>
      <c r="BE86" s="3"/>
      <c r="BG86" s="5"/>
      <c r="BM86" s="35"/>
    </row>
    <row r="87" spans="1:65" s="1" customFormat="1" x14ac:dyDescent="0.15">
      <c r="A87" s="61"/>
      <c r="B87" s="16"/>
      <c r="C87" s="16"/>
      <c r="D87" s="16"/>
      <c r="E87" s="16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 s="16"/>
      <c r="AK87" s="16"/>
      <c r="AL87" s="16"/>
      <c r="AM87" s="16"/>
      <c r="AN87" s="16"/>
      <c r="AO87"/>
      <c r="AP87"/>
      <c r="AQ87"/>
      <c r="AR87"/>
      <c r="AS87"/>
      <c r="AT87"/>
      <c r="AU87"/>
      <c r="AV87"/>
      <c r="AW87"/>
      <c r="AX87" s="7"/>
      <c r="AY87"/>
      <c r="AZ87"/>
      <c r="BA87"/>
      <c r="BB87"/>
      <c r="BC87"/>
      <c r="BD87"/>
      <c r="BE87"/>
      <c r="BF87"/>
      <c r="BG87" s="5"/>
      <c r="BM87" s="35"/>
    </row>
    <row r="88" spans="1:65" x14ac:dyDescent="0.15">
      <c r="B88" s="16"/>
      <c r="C88" s="16"/>
      <c r="D88" s="16"/>
      <c r="E88" s="16"/>
    </row>
    <row r="89" spans="1:65" ht="25" customHeight="1" x14ac:dyDescent="0.3">
      <c r="B89" s="20"/>
      <c r="C89" s="20"/>
      <c r="D89" s="20"/>
    </row>
    <row r="90" spans="1:65" ht="25" customHeight="1" x14ac:dyDescent="0.3">
      <c r="B90" s="20"/>
      <c r="C90" s="20"/>
      <c r="D90" s="20"/>
    </row>
    <row r="91" spans="1:65" ht="25" customHeight="1" x14ac:dyDescent="0.15"/>
  </sheetData>
  <mergeCells count="46">
    <mergeCell ref="B1:B2"/>
    <mergeCell ref="D1:AM2"/>
    <mergeCell ref="BH10:BI10"/>
    <mergeCell ref="BH11:BI11"/>
    <mergeCell ref="BH8:BI8"/>
    <mergeCell ref="BH9:BI9"/>
    <mergeCell ref="BH17:BI17"/>
    <mergeCell ref="BH18:BI18"/>
    <mergeCell ref="BH19:BI19"/>
    <mergeCell ref="BH20:BI20"/>
    <mergeCell ref="BH12:BI12"/>
    <mergeCell ref="BH13:BI13"/>
    <mergeCell ref="BH14:BI14"/>
    <mergeCell ref="BH15:BI15"/>
    <mergeCell ref="BH16:BI16"/>
    <mergeCell ref="BH21:BI21"/>
    <mergeCell ref="BH22:BI22"/>
    <mergeCell ref="BH23:BI23"/>
    <mergeCell ref="BH24:BI24"/>
    <mergeCell ref="BH25:BI25"/>
    <mergeCell ref="BH34:BI34"/>
    <mergeCell ref="BH35:BI35"/>
    <mergeCell ref="BH36:BI36"/>
    <mergeCell ref="BH26:BI26"/>
    <mergeCell ref="BH27:BI27"/>
    <mergeCell ref="BH29:BI29"/>
    <mergeCell ref="BH30:BI30"/>
    <mergeCell ref="BH31:BI31"/>
    <mergeCell ref="BH32:BI32"/>
    <mergeCell ref="BH33:BI33"/>
    <mergeCell ref="BJ3:BO6"/>
    <mergeCell ref="BH48:BI48"/>
    <mergeCell ref="BP55:BQ57"/>
    <mergeCell ref="F59:P60"/>
    <mergeCell ref="BH43:BI43"/>
    <mergeCell ref="BH44:BI44"/>
    <mergeCell ref="BH45:BI45"/>
    <mergeCell ref="BH46:BI46"/>
    <mergeCell ref="BH47:BI47"/>
    <mergeCell ref="BH38:BI38"/>
    <mergeCell ref="BH39:BI39"/>
    <mergeCell ref="BH40:BI40"/>
    <mergeCell ref="BH41:BI41"/>
    <mergeCell ref="BH42:BI42"/>
    <mergeCell ref="BH37:BI37"/>
    <mergeCell ref="BH28:BI28"/>
  </mergeCells>
  <conditionalFormatting sqref="E7:BF7">
    <cfRule type="expression" dxfId="21" priority="18" stopIfTrue="1">
      <formula>E6=1</formula>
    </cfRule>
  </conditionalFormatting>
  <conditionalFormatting sqref="E8:E83">
    <cfRule type="expression" dxfId="20" priority="15" stopIfTrue="1">
      <formula>$E8&lt;0</formula>
    </cfRule>
  </conditionalFormatting>
  <conditionalFormatting sqref="F82:BF83 F74:J81 T74:BF81 F67:BF73 T51:BF51 T60:BF66 T52:X59 AH52:BF59 F61:J66 F59 F8:BF50">
    <cfRule type="expression" dxfId="19" priority="16" stopIfTrue="1">
      <formula>F8&gt;$D8</formula>
    </cfRule>
    <cfRule type="expression" dxfId="18" priority="17" stopIfTrue="1">
      <formula>F8&lt;$D8</formula>
    </cfRule>
  </conditionalFormatting>
  <conditionalFormatting sqref="F50:N57">
    <cfRule type="expression" dxfId="17" priority="19" stopIfTrue="1">
      <formula>F50&gt;$D74</formula>
    </cfRule>
    <cfRule type="expression" dxfId="16" priority="20" stopIfTrue="1">
      <formula>F50&lt;$D74</formula>
    </cfRule>
  </conditionalFormatting>
  <conditionalFormatting sqref="F50:N53 F54:J57">
    <cfRule type="expression" dxfId="15" priority="21" stopIfTrue="1">
      <formula>F50&gt;$D51</formula>
    </cfRule>
    <cfRule type="expression" dxfId="14" priority="22" stopIfTrue="1">
      <formula>F50&lt;$D51</formula>
    </cfRule>
  </conditionalFormatting>
  <conditionalFormatting sqref="F54:N57">
    <cfRule type="expression" dxfId="13" priority="23" stopIfTrue="1">
      <formula>F54&gt;$D63</formula>
    </cfRule>
    <cfRule type="expression" dxfId="12" priority="24" stopIfTrue="1">
      <formula>F54&lt;$D63</formula>
    </cfRule>
  </conditionalFormatting>
  <conditionalFormatting sqref="F50:N57">
    <cfRule type="expression" dxfId="11" priority="25" stopIfTrue="1">
      <formula>F50&gt;$D52</formula>
    </cfRule>
    <cfRule type="expression" dxfId="10" priority="26" stopIfTrue="1">
      <formula>F50&lt;$D52</formula>
    </cfRule>
  </conditionalFormatting>
  <conditionalFormatting sqref="F59">
    <cfRule type="expression" dxfId="9" priority="3" stopIfTrue="1">
      <formula>F59&gt;$D83</formula>
    </cfRule>
    <cfRule type="expression" dxfId="8" priority="4" stopIfTrue="1">
      <formula>F59&lt;$D83</formula>
    </cfRule>
  </conditionalFormatting>
  <conditionalFormatting sqref="F59">
    <cfRule type="expression" dxfId="7" priority="5" stopIfTrue="1">
      <formula>F59&gt;$D60</formula>
    </cfRule>
    <cfRule type="expression" dxfId="6" priority="6" stopIfTrue="1">
      <formula>F59&lt;$D60</formula>
    </cfRule>
  </conditionalFormatting>
  <conditionalFormatting sqref="F59">
    <cfRule type="expression" dxfId="5" priority="7" stopIfTrue="1">
      <formula>F59&gt;$D61</formula>
    </cfRule>
    <cfRule type="expression" dxfId="4" priority="8" stopIfTrue="1">
      <formula>F59&lt;$D61</formula>
    </cfRule>
  </conditionalFormatting>
  <conditionalFormatting sqref="BQ8:BQ48">
    <cfRule type="cellIs" dxfId="3" priority="272" stopIfTrue="1" operator="greaterThan">
      <formula>$C$14</formula>
    </cfRule>
    <cfRule type="cellIs" dxfId="2" priority="273" stopIfTrue="1" operator="between">
      <formula>$C$13</formula>
      <formula>$D$13</formula>
    </cfRule>
    <cfRule type="cellIs" dxfId="1" priority="274" stopIfTrue="1" operator="between">
      <formula>$C$12</formula>
      <formula>$D$12</formula>
    </cfRule>
    <cfRule type="cellIs" dxfId="0" priority="275" stopIfTrue="1" operator="between">
      <formula>$C$11</formula>
      <formula>$D$11</formula>
    </cfRule>
  </conditionalFormatting>
  <pageMargins left="0.25" right="0.25" top="0.75" bottom="0.75" header="0.3" footer="0.3"/>
  <pageSetup paperSize="8" scale="5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REGLES</vt:lpstr>
      <vt:lpstr>paramètres</vt:lpstr>
      <vt:lpstr>detail par semaine</vt:lpstr>
      <vt:lpstr>MODU 2025</vt:lpstr>
      <vt:lpstr>'MODU 2025'!Print_Area</vt:lpstr>
      <vt:lpstr>'MODU 2025'!Print_Titles</vt:lpstr>
    </vt:vector>
  </TitlesOfParts>
  <Company>SOBAL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EBT</dc:creator>
  <cp:lastModifiedBy>da Silva, Arnaud</cp:lastModifiedBy>
  <cp:lastPrinted>2024-12-13T17:02:17Z</cp:lastPrinted>
  <dcterms:created xsi:type="dcterms:W3CDTF">2009-01-09T13:17:25Z</dcterms:created>
  <dcterms:modified xsi:type="dcterms:W3CDTF">2025-02-18T19:31:58Z</dcterms:modified>
</cp:coreProperties>
</file>