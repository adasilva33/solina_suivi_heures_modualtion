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dslv/Downloads/"/>
    </mc:Choice>
  </mc:AlternateContent>
  <xr:revisionPtr revIDLastSave="0" documentId="13_ncr:1_{53F6BA84-7AD3-6E48-BD8D-4D3DDC3344F2}" xr6:coauthVersionLast="47" xr6:coauthVersionMax="47" xr10:uidLastSave="{00000000-0000-0000-0000-000000000000}"/>
  <bookViews>
    <workbookView xWindow="0" yWindow="760" windowWidth="30240" windowHeight="17540" activeTab="2" xr2:uid="{837C05E8-56EF-4E1E-B95F-5007036FEB5F}"/>
  </bookViews>
  <sheets>
    <sheet name="REGLES" sheetId="179" r:id="rId1"/>
    <sheet name="paramètres" sheetId="184" r:id="rId2"/>
    <sheet name="detail par semaine" sheetId="185" r:id="rId3"/>
    <sheet name="MODU 2025" sheetId="182" r:id="rId4"/>
  </sheets>
  <externalReferences>
    <externalReference r:id="rId5"/>
  </externalReferences>
  <definedNames>
    <definedName name="_xlnm._FilterDatabase" localSheetId="3" hidden="1">'MODU 2025'!$B$7:$BI$48</definedName>
    <definedName name="_xleta.LEFT" hidden="1" xlm="1">#NAME?</definedName>
    <definedName name="INTERIM">[1]Interim!$A$3:$A$37</definedName>
    <definedName name="_xlnm.Print_Area" localSheetId="3">'MODU 2025'!$B$1:$BR$48</definedName>
    <definedName name="_xlnm.Print_Titles" localSheetId="3">'MODU 2025'!$B:$B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L8" i="182" l="1"/>
  <c r="BD5" i="185"/>
  <c r="BP6" i="185"/>
  <c r="AP6" i="185" a="1"/>
  <c r="AP6" i="185" s="1"/>
  <c r="BC6" i="185"/>
  <c r="BD6" i="185"/>
  <c r="BE6" i="185"/>
  <c r="BF6" i="185"/>
  <c r="BG6" i="185"/>
  <c r="BH6" i="185"/>
  <c r="BI6" i="185"/>
  <c r="BJ6" i="185"/>
  <c r="BK6" i="185"/>
  <c r="BL6" i="185"/>
  <c r="BM6" i="185"/>
  <c r="BC7" i="185"/>
  <c r="BD7" i="185"/>
  <c r="BE7" i="185"/>
  <c r="BF7" i="185"/>
  <c r="BG7" i="185"/>
  <c r="BH7" i="185"/>
  <c r="BI7" i="185"/>
  <c r="BJ7" i="185"/>
  <c r="BK7" i="185"/>
  <c r="BL7" i="185"/>
  <c r="BM7" i="185"/>
  <c r="BC8" i="185"/>
  <c r="BD8" i="185"/>
  <c r="BE8" i="185"/>
  <c r="BF8" i="185"/>
  <c r="BG8" i="185"/>
  <c r="BH8" i="185"/>
  <c r="BI8" i="185"/>
  <c r="BJ8" i="185"/>
  <c r="BK8" i="185"/>
  <c r="BL8" i="185"/>
  <c r="BM8" i="185"/>
  <c r="BC9" i="185"/>
  <c r="BD9" i="185"/>
  <c r="BE9" i="185"/>
  <c r="BF9" i="185"/>
  <c r="BG9" i="185"/>
  <c r="BH9" i="185"/>
  <c r="BI9" i="185"/>
  <c r="BJ9" i="185"/>
  <c r="BK9" i="185"/>
  <c r="BL9" i="185"/>
  <c r="BM9" i="185"/>
  <c r="BC10" i="185"/>
  <c r="BD10" i="185"/>
  <c r="BE10" i="185"/>
  <c r="BF10" i="185"/>
  <c r="BG10" i="185"/>
  <c r="BH10" i="185"/>
  <c r="BI10" i="185"/>
  <c r="BJ10" i="185"/>
  <c r="BK10" i="185"/>
  <c r="BL10" i="185"/>
  <c r="BM10" i="185"/>
  <c r="BC11" i="185"/>
  <c r="BD11" i="185"/>
  <c r="BE11" i="185"/>
  <c r="BF11" i="185"/>
  <c r="BG11" i="185"/>
  <c r="BH11" i="185"/>
  <c r="BI11" i="185"/>
  <c r="BJ11" i="185"/>
  <c r="BK11" i="185"/>
  <c r="BL11" i="185"/>
  <c r="BM11" i="185"/>
  <c r="BC12" i="185"/>
  <c r="BD12" i="185"/>
  <c r="BE12" i="185"/>
  <c r="BF12" i="185"/>
  <c r="BG12" i="185"/>
  <c r="BH12" i="185"/>
  <c r="BI12" i="185"/>
  <c r="BJ12" i="185"/>
  <c r="BK12" i="185"/>
  <c r="BL12" i="185"/>
  <c r="BM12" i="185"/>
  <c r="BC13" i="185"/>
  <c r="BD13" i="185"/>
  <c r="BE13" i="185"/>
  <c r="BF13" i="185"/>
  <c r="BG13" i="185"/>
  <c r="BH13" i="185"/>
  <c r="BI13" i="185"/>
  <c r="BJ13" i="185"/>
  <c r="BK13" i="185"/>
  <c r="BL13" i="185"/>
  <c r="BM13" i="185"/>
  <c r="BC14" i="185"/>
  <c r="BD14" i="185"/>
  <c r="BE14" i="185"/>
  <c r="BF14" i="185"/>
  <c r="BG14" i="185"/>
  <c r="BH14" i="185"/>
  <c r="BI14" i="185"/>
  <c r="BJ14" i="185"/>
  <c r="BK14" i="185"/>
  <c r="BL14" i="185"/>
  <c r="BM14" i="185"/>
  <c r="BC15" i="185"/>
  <c r="BD15" i="185"/>
  <c r="BE15" i="185"/>
  <c r="BF15" i="185"/>
  <c r="BG15" i="185"/>
  <c r="BH15" i="185"/>
  <c r="BI15" i="185"/>
  <c r="BJ15" i="185"/>
  <c r="BK15" i="185"/>
  <c r="BL15" i="185"/>
  <c r="BM15" i="185"/>
  <c r="BC16" i="185"/>
  <c r="BD16" i="185"/>
  <c r="BE16" i="185"/>
  <c r="BF16" i="185"/>
  <c r="BG16" i="185"/>
  <c r="BH16" i="185"/>
  <c r="BI16" i="185"/>
  <c r="BJ16" i="185"/>
  <c r="BK16" i="185"/>
  <c r="BL16" i="185"/>
  <c r="BM16" i="185"/>
  <c r="BC17" i="185"/>
  <c r="BD17" i="185"/>
  <c r="BE17" i="185"/>
  <c r="BF17" i="185"/>
  <c r="BG17" i="185"/>
  <c r="BH17" i="185"/>
  <c r="BI17" i="185"/>
  <c r="BJ17" i="185"/>
  <c r="BK17" i="185"/>
  <c r="BL17" i="185"/>
  <c r="BM17" i="185"/>
  <c r="BC18" i="185"/>
  <c r="BD18" i="185"/>
  <c r="BE18" i="185"/>
  <c r="BF18" i="185"/>
  <c r="BG18" i="185"/>
  <c r="BH18" i="185"/>
  <c r="BI18" i="185"/>
  <c r="BJ18" i="185"/>
  <c r="BK18" i="185"/>
  <c r="BL18" i="185"/>
  <c r="BM18" i="185"/>
  <c r="BC19" i="185"/>
  <c r="BD19" i="185"/>
  <c r="BE19" i="185"/>
  <c r="BF19" i="185"/>
  <c r="BG19" i="185"/>
  <c r="BH19" i="185"/>
  <c r="BI19" i="185"/>
  <c r="BJ19" i="185"/>
  <c r="BK19" i="185"/>
  <c r="BL19" i="185"/>
  <c r="BM19" i="185"/>
  <c r="BC20" i="185"/>
  <c r="BD20" i="185"/>
  <c r="BE20" i="185"/>
  <c r="BF20" i="185"/>
  <c r="BG20" i="185"/>
  <c r="BH20" i="185"/>
  <c r="BI20" i="185"/>
  <c r="BJ20" i="185"/>
  <c r="BK20" i="185"/>
  <c r="BL20" i="185"/>
  <c r="BM20" i="185"/>
  <c r="BC21" i="185"/>
  <c r="BD21" i="185"/>
  <c r="BE21" i="185"/>
  <c r="BF21" i="185"/>
  <c r="BG21" i="185"/>
  <c r="BH21" i="185"/>
  <c r="BI21" i="185"/>
  <c r="BJ21" i="185"/>
  <c r="BK21" i="185"/>
  <c r="BL21" i="185"/>
  <c r="BM21" i="185"/>
  <c r="BC22" i="185"/>
  <c r="BD22" i="185"/>
  <c r="BE22" i="185"/>
  <c r="BF22" i="185"/>
  <c r="BG22" i="185"/>
  <c r="BH22" i="185"/>
  <c r="BI22" i="185"/>
  <c r="BJ22" i="185"/>
  <c r="BK22" i="185"/>
  <c r="BL22" i="185"/>
  <c r="BM22" i="185"/>
  <c r="BC23" i="185"/>
  <c r="BD23" i="185"/>
  <c r="BE23" i="185"/>
  <c r="BF23" i="185"/>
  <c r="BG23" i="185"/>
  <c r="BH23" i="185"/>
  <c r="BI23" i="185"/>
  <c r="BJ23" i="185"/>
  <c r="BK23" i="185"/>
  <c r="BL23" i="185"/>
  <c r="BM23" i="185"/>
  <c r="BC24" i="185"/>
  <c r="BD24" i="185"/>
  <c r="BE24" i="185"/>
  <c r="BF24" i="185"/>
  <c r="BG24" i="185"/>
  <c r="BH24" i="185"/>
  <c r="BI24" i="185"/>
  <c r="BJ24" i="185"/>
  <c r="BK24" i="185"/>
  <c r="BL24" i="185"/>
  <c r="BM24" i="185"/>
  <c r="BC25" i="185"/>
  <c r="BD25" i="185"/>
  <c r="BE25" i="185"/>
  <c r="BF25" i="185"/>
  <c r="BG25" i="185"/>
  <c r="BH25" i="185"/>
  <c r="BI25" i="185"/>
  <c r="BJ25" i="185"/>
  <c r="BK25" i="185"/>
  <c r="BL25" i="185"/>
  <c r="BM25" i="185"/>
  <c r="BC26" i="185"/>
  <c r="BD26" i="185"/>
  <c r="BE26" i="185"/>
  <c r="BF26" i="185"/>
  <c r="BG26" i="185"/>
  <c r="BH26" i="185"/>
  <c r="BI26" i="185"/>
  <c r="BJ26" i="185"/>
  <c r="BK26" i="185"/>
  <c r="BL26" i="185"/>
  <c r="BM26" i="185"/>
  <c r="BC27" i="185"/>
  <c r="BD27" i="185"/>
  <c r="BE27" i="185"/>
  <c r="BF27" i="185"/>
  <c r="BG27" i="185"/>
  <c r="BH27" i="185"/>
  <c r="BI27" i="185"/>
  <c r="BJ27" i="185"/>
  <c r="BK27" i="185"/>
  <c r="BL27" i="185"/>
  <c r="BM27" i="185"/>
  <c r="BC28" i="185"/>
  <c r="BD28" i="185"/>
  <c r="BE28" i="185"/>
  <c r="BF28" i="185"/>
  <c r="BG28" i="185"/>
  <c r="BH28" i="185"/>
  <c r="BI28" i="185"/>
  <c r="BJ28" i="185"/>
  <c r="BK28" i="185"/>
  <c r="BL28" i="185"/>
  <c r="BM28" i="185"/>
  <c r="BC29" i="185"/>
  <c r="BD29" i="185"/>
  <c r="BE29" i="185"/>
  <c r="BF29" i="185"/>
  <c r="BG29" i="185"/>
  <c r="BH29" i="185"/>
  <c r="BI29" i="185"/>
  <c r="BJ29" i="185"/>
  <c r="BK29" i="185"/>
  <c r="BL29" i="185"/>
  <c r="BM29" i="185"/>
  <c r="BC30" i="185"/>
  <c r="BD30" i="185"/>
  <c r="BE30" i="185"/>
  <c r="BF30" i="185"/>
  <c r="BG30" i="185"/>
  <c r="BH30" i="185"/>
  <c r="BI30" i="185"/>
  <c r="BJ30" i="185"/>
  <c r="BK30" i="185"/>
  <c r="BL30" i="185"/>
  <c r="BM30" i="185"/>
  <c r="BC31" i="185"/>
  <c r="BD31" i="185"/>
  <c r="BE31" i="185"/>
  <c r="BF31" i="185"/>
  <c r="BG31" i="185"/>
  <c r="BH31" i="185"/>
  <c r="BI31" i="185"/>
  <c r="BJ31" i="185"/>
  <c r="BK31" i="185"/>
  <c r="BL31" i="185"/>
  <c r="BM31" i="185"/>
  <c r="BC32" i="185"/>
  <c r="BD32" i="185"/>
  <c r="BE32" i="185"/>
  <c r="BF32" i="185"/>
  <c r="BG32" i="185"/>
  <c r="BH32" i="185"/>
  <c r="BI32" i="185"/>
  <c r="BJ32" i="185"/>
  <c r="BK32" i="185"/>
  <c r="BL32" i="185"/>
  <c r="BM32" i="185"/>
  <c r="BC33" i="185"/>
  <c r="BD33" i="185"/>
  <c r="BE33" i="185"/>
  <c r="BF33" i="185"/>
  <c r="BG33" i="185"/>
  <c r="BH33" i="185"/>
  <c r="BI33" i="185"/>
  <c r="BJ33" i="185"/>
  <c r="BK33" i="185"/>
  <c r="BL33" i="185"/>
  <c r="BM33" i="185"/>
  <c r="BC34" i="185"/>
  <c r="BD34" i="185"/>
  <c r="BE34" i="185"/>
  <c r="BF34" i="185"/>
  <c r="BG34" i="185"/>
  <c r="BH34" i="185"/>
  <c r="BI34" i="185"/>
  <c r="BJ34" i="185"/>
  <c r="BK34" i="185"/>
  <c r="BL34" i="185"/>
  <c r="BM34" i="185"/>
  <c r="BC35" i="185"/>
  <c r="BD35" i="185"/>
  <c r="BE35" i="185"/>
  <c r="BF35" i="185"/>
  <c r="BG35" i="185"/>
  <c r="BH35" i="185"/>
  <c r="BI35" i="185"/>
  <c r="BJ35" i="185"/>
  <c r="BK35" i="185"/>
  <c r="BL35" i="185"/>
  <c r="BM35" i="185"/>
  <c r="BC36" i="185"/>
  <c r="BD36" i="185"/>
  <c r="BE36" i="185"/>
  <c r="BF36" i="185"/>
  <c r="BG36" i="185"/>
  <c r="BH36" i="185"/>
  <c r="BI36" i="185"/>
  <c r="BJ36" i="185"/>
  <c r="BK36" i="185"/>
  <c r="BL36" i="185"/>
  <c r="BM36" i="185"/>
  <c r="BC37" i="185"/>
  <c r="BD37" i="185"/>
  <c r="BE37" i="185"/>
  <c r="BF37" i="185"/>
  <c r="BG37" i="185"/>
  <c r="BH37" i="185"/>
  <c r="BI37" i="185"/>
  <c r="BJ37" i="185"/>
  <c r="BK37" i="185"/>
  <c r="BL37" i="185"/>
  <c r="BM37" i="185"/>
  <c r="BC38" i="185"/>
  <c r="BD38" i="185"/>
  <c r="BE38" i="185"/>
  <c r="BF38" i="185"/>
  <c r="BG38" i="185"/>
  <c r="BH38" i="185"/>
  <c r="BI38" i="185"/>
  <c r="BJ38" i="185"/>
  <c r="BK38" i="185"/>
  <c r="BL38" i="185"/>
  <c r="BM38" i="185"/>
  <c r="BC39" i="185"/>
  <c r="BD39" i="185"/>
  <c r="BE39" i="185"/>
  <c r="BF39" i="185"/>
  <c r="BG39" i="185"/>
  <c r="BH39" i="185"/>
  <c r="BI39" i="185"/>
  <c r="BJ39" i="185"/>
  <c r="BK39" i="185"/>
  <c r="BL39" i="185"/>
  <c r="BM39" i="185"/>
  <c r="BC40" i="185"/>
  <c r="BD40" i="185"/>
  <c r="BE40" i="185"/>
  <c r="BF40" i="185"/>
  <c r="BG40" i="185"/>
  <c r="BH40" i="185"/>
  <c r="BI40" i="185"/>
  <c r="BJ40" i="185"/>
  <c r="BK40" i="185"/>
  <c r="BL40" i="185"/>
  <c r="BM40" i="185"/>
  <c r="BC41" i="185"/>
  <c r="BD41" i="185"/>
  <c r="BE41" i="185"/>
  <c r="BF41" i="185"/>
  <c r="BG41" i="185"/>
  <c r="BH41" i="185"/>
  <c r="BI41" i="185"/>
  <c r="BJ41" i="185"/>
  <c r="BK41" i="185"/>
  <c r="BL41" i="185"/>
  <c r="BM41" i="185"/>
  <c r="BC42" i="185"/>
  <c r="BD42" i="185"/>
  <c r="BE42" i="185"/>
  <c r="BF42" i="185"/>
  <c r="BG42" i="185"/>
  <c r="BH42" i="185"/>
  <c r="BI42" i="185"/>
  <c r="BJ42" i="185"/>
  <c r="BK42" i="185"/>
  <c r="BL42" i="185"/>
  <c r="BM42" i="185"/>
  <c r="BC43" i="185"/>
  <c r="BD43" i="185"/>
  <c r="BE43" i="185"/>
  <c r="BF43" i="185"/>
  <c r="BG43" i="185"/>
  <c r="BH43" i="185"/>
  <c r="BI43" i="185"/>
  <c r="BJ43" i="185"/>
  <c r="BK43" i="185"/>
  <c r="BL43" i="185"/>
  <c r="BM43" i="185"/>
  <c r="BC44" i="185"/>
  <c r="BD44" i="185"/>
  <c r="BE44" i="185"/>
  <c r="BF44" i="185"/>
  <c r="BG44" i="185"/>
  <c r="BH44" i="185"/>
  <c r="BI44" i="185"/>
  <c r="BJ44" i="185"/>
  <c r="BK44" i="185"/>
  <c r="BL44" i="185"/>
  <c r="BM44" i="185"/>
  <c r="BC45" i="185"/>
  <c r="BD45" i="185"/>
  <c r="BE45" i="185"/>
  <c r="BF45" i="185"/>
  <c r="BG45" i="185"/>
  <c r="BH45" i="185"/>
  <c r="BI45" i="185"/>
  <c r="BJ45" i="185"/>
  <c r="BK45" i="185"/>
  <c r="BL45" i="185"/>
  <c r="BM45" i="185"/>
  <c r="BE5" i="185"/>
  <c r="BF5" i="185"/>
  <c r="BG5" i="185"/>
  <c r="BH5" i="185"/>
  <c r="BI5" i="185"/>
  <c r="BJ5" i="185"/>
  <c r="BK5" i="185"/>
  <c r="BL5" i="185"/>
  <c r="BM5" i="185"/>
  <c r="BC5" i="185"/>
  <c r="AP5" i="185" a="1"/>
  <c r="AP5" i="185"/>
  <c r="AF5" i="185"/>
  <c r="AD5" i="185"/>
  <c r="AE5" i="185"/>
  <c r="AO6" i="185" a="1"/>
  <c r="AO6" i="185"/>
  <c r="AR6" i="185" a="1"/>
  <c r="AR6" i="185" s="1"/>
  <c r="AS6" i="185" a="1"/>
  <c r="AS6" i="185"/>
  <c r="AT6" i="185" a="1"/>
  <c r="AT6" i="185"/>
  <c r="AU6" i="185" a="1"/>
  <c r="AU6" i="185"/>
  <c r="AV6" i="185" a="1"/>
  <c r="AV6" i="185"/>
  <c r="AW6" i="185" a="1"/>
  <c r="AW6" i="185" s="1"/>
  <c r="AX6" i="185" a="1"/>
  <c r="AX6" i="185" s="1"/>
  <c r="AY6" i="185" a="1"/>
  <c r="AY6" i="185"/>
  <c r="AO7" i="185" a="1"/>
  <c r="AO7" i="185"/>
  <c r="AP7" i="185" a="1"/>
  <c r="AP7" i="185"/>
  <c r="AQ7" i="185" a="1"/>
  <c r="AQ7" i="185" s="1"/>
  <c r="AR7" i="185" a="1"/>
  <c r="AR7" i="185" s="1"/>
  <c r="AS7" i="185" a="1"/>
  <c r="AS7" i="185"/>
  <c r="AT7" i="185" a="1"/>
  <c r="AT7" i="185"/>
  <c r="AU7" i="185" a="1"/>
  <c r="AU7" i="185"/>
  <c r="AV7" i="185" a="1"/>
  <c r="AV7" i="185" s="1"/>
  <c r="AW7" i="185" a="1"/>
  <c r="AW7" i="185"/>
  <c r="AX7" i="185" a="1"/>
  <c r="AX7" i="185"/>
  <c r="AY7" i="185" a="1"/>
  <c r="AY7" i="185"/>
  <c r="AO8" i="185" a="1"/>
  <c r="AO8" i="185"/>
  <c r="AP8" i="185" a="1"/>
  <c r="AP8" i="185" s="1"/>
  <c r="AQ8" i="185" a="1"/>
  <c r="AQ8" i="185"/>
  <c r="AR8" i="185" a="1"/>
  <c r="AR8" i="185" s="1"/>
  <c r="AS8" i="185" a="1"/>
  <c r="AS8" i="185"/>
  <c r="AT8" i="185" a="1"/>
  <c r="AT8" i="185" s="1"/>
  <c r="AU8" i="185" a="1"/>
  <c r="AU8" i="185" s="1"/>
  <c r="AV8" i="185" a="1"/>
  <c r="AV8" i="185"/>
  <c r="AW8" i="185" a="1"/>
  <c r="AW8" i="185" s="1"/>
  <c r="AX8" i="185" a="1"/>
  <c r="AX8" i="185"/>
  <c r="AY8" i="185" a="1"/>
  <c r="AY8" i="185" s="1"/>
  <c r="AO9" i="185" a="1"/>
  <c r="AO9" i="185" s="1"/>
  <c r="AP9" i="185" a="1"/>
  <c r="AP9" i="185" s="1"/>
  <c r="AQ9" i="185" a="1"/>
  <c r="AQ9" i="185" s="1"/>
  <c r="AR9" i="185" a="1"/>
  <c r="AR9" i="185"/>
  <c r="AS9" i="185" a="1"/>
  <c r="AS9" i="185"/>
  <c r="AT9" i="185" a="1"/>
  <c r="AT9" i="185" s="1"/>
  <c r="AU9" i="185" a="1"/>
  <c r="AU9" i="185"/>
  <c r="AV9" i="185" a="1"/>
  <c r="AV9" i="185" s="1"/>
  <c r="AW9" i="185" a="1"/>
  <c r="AW9" i="185"/>
  <c r="AX9" i="185" a="1"/>
  <c r="AX9" i="185" s="1"/>
  <c r="AY9" i="185" a="1"/>
  <c r="AY9" i="185" s="1"/>
  <c r="AO10" i="185" a="1"/>
  <c r="AO10" i="185" s="1"/>
  <c r="AP10" i="185" a="1"/>
  <c r="AP10" i="185" s="1"/>
  <c r="AQ10" i="185" a="1"/>
  <c r="AQ10" i="185"/>
  <c r="AR10" i="185" a="1"/>
  <c r="AR10" i="185"/>
  <c r="AS10" i="185" a="1"/>
  <c r="AS10" i="185" s="1"/>
  <c r="AT10" i="185" a="1"/>
  <c r="AT10" i="185"/>
  <c r="AU10" i="185" a="1"/>
  <c r="AU10" i="185" s="1"/>
  <c r="AV10" i="185" a="1"/>
  <c r="AV10" i="185"/>
  <c r="AW10" i="185" a="1"/>
  <c r="AW10" i="185" s="1"/>
  <c r="AX10" i="185" a="1"/>
  <c r="AX10" i="185" s="1"/>
  <c r="AY10" i="185" a="1"/>
  <c r="AY10" i="185"/>
  <c r="AO11" i="185" a="1"/>
  <c r="AO11" i="185" s="1"/>
  <c r="AP11" i="185" a="1"/>
  <c r="AP11" i="185"/>
  <c r="AQ11" i="185" a="1"/>
  <c r="AQ11" i="185" s="1"/>
  <c r="AR11" i="185" a="1"/>
  <c r="AR11" i="185" s="1"/>
  <c r="AS11" i="185" a="1"/>
  <c r="AS11" i="185" s="1"/>
  <c r="AT11" i="185" a="1"/>
  <c r="AT11" i="185" s="1"/>
  <c r="AU11" i="185" a="1"/>
  <c r="AU11" i="185"/>
  <c r="AV11" i="185" a="1"/>
  <c r="AV11" i="185"/>
  <c r="AW11" i="185" a="1"/>
  <c r="AW11" i="185" s="1"/>
  <c r="AX11" i="185" a="1"/>
  <c r="AX11" i="185"/>
  <c r="AY11" i="185" a="1"/>
  <c r="AY11" i="185" s="1"/>
  <c r="AO12" i="185" a="1"/>
  <c r="AO12" i="185"/>
  <c r="AP12" i="185" a="1"/>
  <c r="AP12" i="185" s="1"/>
  <c r="AQ12" i="185" a="1"/>
  <c r="AQ12" i="185" s="1"/>
  <c r="AR12" i="185" a="1"/>
  <c r="AR12" i="185" s="1"/>
  <c r="AS12" i="185" a="1"/>
  <c r="AS12" i="185" s="1"/>
  <c r="AT12" i="185" a="1"/>
  <c r="AT12" i="185"/>
  <c r="AU12" i="185" a="1"/>
  <c r="AU12" i="185"/>
  <c r="AV12" i="185" a="1"/>
  <c r="AV12" i="185" s="1"/>
  <c r="AW12" i="185" a="1"/>
  <c r="AW12" i="185"/>
  <c r="AX12" i="185" a="1"/>
  <c r="AX12" i="185" s="1"/>
  <c r="AY12" i="185" a="1"/>
  <c r="AY12" i="185"/>
  <c r="AO13" i="185" a="1"/>
  <c r="AO13" i="185" s="1"/>
  <c r="AP13" i="185" a="1"/>
  <c r="AP13" i="185" s="1"/>
  <c r="AQ13" i="185" a="1"/>
  <c r="AQ13" i="185"/>
  <c r="AR13" i="185" a="1"/>
  <c r="AR13" i="185" s="1"/>
  <c r="AS13" i="185" a="1"/>
  <c r="AS13" i="185"/>
  <c r="AT13" i="185" a="1"/>
  <c r="AT13" i="185" s="1"/>
  <c r="AU13" i="185" a="1"/>
  <c r="AU13" i="185" s="1"/>
  <c r="AV13" i="185" a="1"/>
  <c r="AV13" i="185" s="1"/>
  <c r="AW13" i="185" a="1"/>
  <c r="AW13" i="185" s="1"/>
  <c r="AX13" i="185" a="1"/>
  <c r="AX13" i="185"/>
  <c r="AY13" i="185" a="1"/>
  <c r="AY13" i="185"/>
  <c r="AO14" i="185" a="1"/>
  <c r="AO14" i="185" s="1"/>
  <c r="AP14" i="185" a="1"/>
  <c r="AP14" i="185"/>
  <c r="AQ14" i="185" a="1"/>
  <c r="AQ14" i="185" s="1"/>
  <c r="AR14" i="185" a="1"/>
  <c r="AR14" i="185"/>
  <c r="AS14" i="185" a="1"/>
  <c r="AS14" i="185" s="1"/>
  <c r="AT14" i="185" a="1"/>
  <c r="AT14" i="185" s="1"/>
  <c r="AU14" i="185" a="1"/>
  <c r="AU14" i="185" s="1"/>
  <c r="AV14" i="185" a="1"/>
  <c r="AV14" i="185" s="1"/>
  <c r="AW14" i="185" a="1"/>
  <c r="AW14" i="185"/>
  <c r="AX14" i="185" a="1"/>
  <c r="AX14" i="185" s="1"/>
  <c r="AY14" i="185" a="1"/>
  <c r="AY14" i="185" s="1"/>
  <c r="AO15" i="185" a="1"/>
  <c r="AO15" i="185"/>
  <c r="AP15" i="185" a="1"/>
  <c r="AP15" i="185" s="1"/>
  <c r="AQ15" i="185" a="1"/>
  <c r="AQ15" i="185"/>
  <c r="AR15" i="185" a="1"/>
  <c r="AR15" i="185" s="1"/>
  <c r="AS15" i="185" a="1"/>
  <c r="AS15" i="185" s="1"/>
  <c r="AT15" i="185" a="1"/>
  <c r="AT15" i="185"/>
  <c r="AU15" i="185" a="1"/>
  <c r="AU15" i="185" s="1"/>
  <c r="AV15" i="185" a="1"/>
  <c r="AV15" i="185"/>
  <c r="AW15" i="185" a="1"/>
  <c r="AW15" i="185" s="1"/>
  <c r="AX15" i="185" a="1"/>
  <c r="AX15" i="185" s="1"/>
  <c r="AY15" i="185" a="1"/>
  <c r="AY15" i="185" s="1"/>
  <c r="AO16" i="185" a="1"/>
  <c r="AO16" i="185" s="1"/>
  <c r="AP16" i="185" a="1"/>
  <c r="AP16" i="185"/>
  <c r="AQ16" i="185" a="1"/>
  <c r="AQ16" i="185"/>
  <c r="AR16" i="185" a="1"/>
  <c r="AR16" i="185" s="1"/>
  <c r="AS16" i="185" a="1"/>
  <c r="AS16" i="185"/>
  <c r="AT16" i="185" a="1"/>
  <c r="AT16" i="185" s="1"/>
  <c r="AU16" i="185" a="1"/>
  <c r="AU16" i="185"/>
  <c r="AV16" i="185" a="1"/>
  <c r="AV16" i="185" s="1"/>
  <c r="AW16" i="185" a="1"/>
  <c r="AW16" i="185" s="1"/>
  <c r="AX16" i="185" a="1"/>
  <c r="AX16" i="185"/>
  <c r="AY16" i="185" a="1"/>
  <c r="AY16" i="185" s="1"/>
  <c r="AO17" i="185" a="1"/>
  <c r="AO17" i="185"/>
  <c r="AP17" i="185" a="1"/>
  <c r="AP17" i="185" s="1"/>
  <c r="AQ17" i="185" a="1"/>
  <c r="AQ17" i="185" s="1"/>
  <c r="AR17" i="185" a="1"/>
  <c r="AR17" i="185"/>
  <c r="AS17" i="185" a="1"/>
  <c r="AS17" i="185" s="1"/>
  <c r="AT17" i="185" a="1"/>
  <c r="AT17" i="185"/>
  <c r="AU17" i="185" a="1"/>
  <c r="AU17" i="185" s="1"/>
  <c r="AV17" i="185" a="1"/>
  <c r="AV17" i="185" s="1"/>
  <c r="AW17" i="185" a="1"/>
  <c r="AW17" i="185"/>
  <c r="AX17" i="185" a="1"/>
  <c r="AX17" i="185" s="1"/>
  <c r="AY17" i="185" a="1"/>
  <c r="AY17" i="185"/>
  <c r="AO18" i="185" a="1"/>
  <c r="AO18" i="185" s="1"/>
  <c r="AP18" i="185" a="1"/>
  <c r="AP18" i="185" s="1"/>
  <c r="AQ18" i="185" a="1"/>
  <c r="AQ18" i="185" s="1"/>
  <c r="AR18" i="185" a="1"/>
  <c r="AR18" i="185" s="1"/>
  <c r="AS18" i="185" a="1"/>
  <c r="AS18" i="185"/>
  <c r="AT18" i="185" a="1"/>
  <c r="AT18" i="185"/>
  <c r="AU18" i="185" a="1"/>
  <c r="AU18" i="185" s="1"/>
  <c r="AV18" i="185" a="1"/>
  <c r="AV18" i="185"/>
  <c r="AW18" i="185" a="1"/>
  <c r="AW18" i="185" s="1"/>
  <c r="AX18" i="185" a="1"/>
  <c r="AX18" i="185"/>
  <c r="AY18" i="185" a="1"/>
  <c r="AY18" i="185" s="1"/>
  <c r="AO19" i="185" a="1"/>
  <c r="AO19" i="185" s="1"/>
  <c r="AP19" i="185" a="1"/>
  <c r="AP19" i="185"/>
  <c r="AQ19" i="185" a="1"/>
  <c r="AQ19" i="185" s="1"/>
  <c r="AR19" i="185" a="1"/>
  <c r="AR19" i="185"/>
  <c r="AS19" i="185" a="1"/>
  <c r="AS19" i="185" s="1"/>
  <c r="AT19" i="185" a="1"/>
  <c r="AT19" i="185" s="1"/>
  <c r="AU19" i="185" a="1"/>
  <c r="AU19" i="185"/>
  <c r="AV19" i="185" a="1"/>
  <c r="AV19" i="185" s="1"/>
  <c r="AW19" i="185" a="1"/>
  <c r="AW19" i="185"/>
  <c r="AX19" i="185" a="1"/>
  <c r="AX19" i="185" s="1"/>
  <c r="AY19" i="185" a="1"/>
  <c r="AY19" i="185" s="1"/>
  <c r="AO20" i="185" a="1"/>
  <c r="AO20" i="185"/>
  <c r="AP20" i="185" a="1"/>
  <c r="AP20" i="185" s="1"/>
  <c r="AQ20" i="185" a="1"/>
  <c r="AQ20" i="185"/>
  <c r="AR20" i="185" a="1"/>
  <c r="AR20" i="185" s="1"/>
  <c r="AS20" i="185" a="1"/>
  <c r="AS20" i="185" s="1"/>
  <c r="AT20" i="185" a="1"/>
  <c r="AT20" i="185" s="1"/>
  <c r="AU20" i="185" a="1"/>
  <c r="AU20" i="185" s="1"/>
  <c r="AV20" i="185" a="1"/>
  <c r="AV20" i="185"/>
  <c r="AW20" i="185" a="1"/>
  <c r="AW20" i="185"/>
  <c r="AX20" i="185" a="1"/>
  <c r="AX20" i="185" s="1"/>
  <c r="AY20" i="185" a="1"/>
  <c r="AY20" i="185"/>
  <c r="AO21" i="185" a="1"/>
  <c r="AO21" i="185" s="1"/>
  <c r="AP21" i="185" a="1"/>
  <c r="AP21" i="185"/>
  <c r="AQ21" i="185" a="1"/>
  <c r="AQ21" i="185" s="1"/>
  <c r="AR21" i="185" a="1"/>
  <c r="AR21" i="185" s="1"/>
  <c r="AS21" i="185" a="1"/>
  <c r="AS21" i="185"/>
  <c r="AT21" i="185" a="1"/>
  <c r="AT21" i="185" s="1"/>
  <c r="AU21" i="185" a="1"/>
  <c r="AU21" i="185"/>
  <c r="AV21" i="185" a="1"/>
  <c r="AV21" i="185" s="1"/>
  <c r="AW21" i="185" a="1"/>
  <c r="AW21" i="185" s="1"/>
  <c r="AX21" i="185" a="1"/>
  <c r="AX21" i="185"/>
  <c r="AY21" i="185" a="1"/>
  <c r="AY21" i="185" s="1"/>
  <c r="AO22" i="185" a="1"/>
  <c r="AO22" i="185"/>
  <c r="AP22" i="185" a="1"/>
  <c r="AP22" i="185" s="1"/>
  <c r="AQ22" i="185" a="1"/>
  <c r="AQ22" i="185" s="1"/>
  <c r="AR22" i="185" a="1"/>
  <c r="AR22" i="185"/>
  <c r="AS22" i="185" a="1"/>
  <c r="AS22" i="185" s="1"/>
  <c r="AT22" i="185" a="1"/>
  <c r="AT22" i="185"/>
  <c r="AU22" i="185" a="1"/>
  <c r="AU22" i="185" s="1"/>
  <c r="AV22" i="185" a="1"/>
  <c r="AV22" i="185" s="1"/>
  <c r="AW22" i="185" a="1"/>
  <c r="AW22" i="185" s="1"/>
  <c r="AX22" i="185" a="1"/>
  <c r="AX22" i="185" s="1"/>
  <c r="AY22" i="185" a="1"/>
  <c r="AY22" i="185"/>
  <c r="AO23" i="185" a="1"/>
  <c r="AO23" i="185"/>
  <c r="AP23" i="185" a="1"/>
  <c r="AP23" i="185" s="1"/>
  <c r="AQ23" i="185" a="1"/>
  <c r="AQ23" i="185"/>
  <c r="AR23" i="185" a="1"/>
  <c r="AR23" i="185" s="1"/>
  <c r="AS23" i="185" a="1"/>
  <c r="AS23" i="185"/>
  <c r="AT23" i="185" a="1"/>
  <c r="AT23" i="185" s="1"/>
  <c r="AU23" i="185" a="1"/>
  <c r="AU23" i="185" s="1"/>
  <c r="AV23" i="185" a="1"/>
  <c r="AV23" i="185"/>
  <c r="AW23" i="185" a="1"/>
  <c r="AW23" i="185" s="1"/>
  <c r="AX23" i="185" a="1"/>
  <c r="AX23" i="185"/>
  <c r="AY23" i="185" a="1"/>
  <c r="AY23" i="185" s="1"/>
  <c r="AO24" i="185" a="1"/>
  <c r="AO24" i="185" s="1"/>
  <c r="AP24" i="185" a="1"/>
  <c r="AP24" i="185"/>
  <c r="AQ24" i="185" a="1"/>
  <c r="AQ24" i="185" s="1"/>
  <c r="AR24" i="185" a="1"/>
  <c r="AR24" i="185"/>
  <c r="AS24" i="185" a="1"/>
  <c r="AS24" i="185" s="1"/>
  <c r="AT24" i="185" a="1"/>
  <c r="AT24" i="185" s="1"/>
  <c r="AU24" i="185" a="1"/>
  <c r="AU24" i="185"/>
  <c r="AV24" i="185" a="1"/>
  <c r="AV24" i="185" s="1"/>
  <c r="AW24" i="185" a="1"/>
  <c r="AW24" i="185"/>
  <c r="AX24" i="185" a="1"/>
  <c r="AX24" i="185" s="1"/>
  <c r="AY24" i="185" a="1"/>
  <c r="AY24" i="185" s="1"/>
  <c r="AO25" i="185" a="1"/>
  <c r="AO25" i="185" s="1"/>
  <c r="AP25" i="185" a="1"/>
  <c r="AP25" i="185" s="1"/>
  <c r="AQ25" i="185" a="1"/>
  <c r="AQ25" i="185"/>
  <c r="AR25" i="185" a="1"/>
  <c r="AR25" i="185"/>
  <c r="AS25" i="185" a="1"/>
  <c r="AS25" i="185" s="1"/>
  <c r="AT25" i="185" a="1"/>
  <c r="AT25" i="185"/>
  <c r="AU25" i="185" a="1"/>
  <c r="AU25" i="185" s="1"/>
  <c r="AV25" i="185" a="1"/>
  <c r="AV25" i="185"/>
  <c r="AW25" i="185" a="1"/>
  <c r="AW25" i="185" s="1"/>
  <c r="AX25" i="185" a="1"/>
  <c r="AX25" i="185" s="1"/>
  <c r="AY25" i="185" a="1"/>
  <c r="AY25" i="185"/>
  <c r="AO26" i="185" a="1"/>
  <c r="AO26" i="185" s="1"/>
  <c r="AP26" i="185" a="1"/>
  <c r="AP26" i="185"/>
  <c r="AQ26" i="185" a="1"/>
  <c r="AQ26" i="185" s="1"/>
  <c r="AR26" i="185" a="1"/>
  <c r="AR26" i="185" s="1"/>
  <c r="AS26" i="185" a="1"/>
  <c r="AS26" i="185"/>
  <c r="AT26" i="185" a="1"/>
  <c r="AT26" i="185" s="1"/>
  <c r="AU26" i="185" a="1"/>
  <c r="AU26" i="185"/>
  <c r="AV26" i="185" a="1"/>
  <c r="AV26" i="185" s="1"/>
  <c r="AW26" i="185" a="1"/>
  <c r="AW26" i="185" s="1"/>
  <c r="AX26" i="185" a="1"/>
  <c r="AX26" i="185"/>
  <c r="AY26" i="185" a="1"/>
  <c r="AY26" i="185" s="1"/>
  <c r="AO27" i="185" a="1"/>
  <c r="AO27" i="185"/>
  <c r="AP27" i="185" a="1"/>
  <c r="AP27" i="185" s="1"/>
  <c r="AQ27" i="185" a="1"/>
  <c r="AQ27" i="185" s="1"/>
  <c r="AR27" i="185" a="1"/>
  <c r="AR27" i="185" s="1"/>
  <c r="AS27" i="185" a="1"/>
  <c r="AS27" i="185" s="1"/>
  <c r="AT27" i="185" a="1"/>
  <c r="AT27" i="185"/>
  <c r="AU27" i="185" a="1"/>
  <c r="AU27" i="185"/>
  <c r="AV27" i="185" a="1"/>
  <c r="AV27" i="185" s="1"/>
  <c r="AW27" i="185" a="1"/>
  <c r="AW27" i="185"/>
  <c r="AX27" i="185" a="1"/>
  <c r="AX27" i="185" s="1"/>
  <c r="AY27" i="185" a="1"/>
  <c r="AY27" i="185"/>
  <c r="AO28" i="185" a="1"/>
  <c r="AO28" i="185" s="1"/>
  <c r="AP28" i="185" a="1"/>
  <c r="AP28" i="185" s="1"/>
  <c r="AQ28" i="185" a="1"/>
  <c r="AQ28" i="185"/>
  <c r="AR28" i="185" a="1"/>
  <c r="AR28" i="185" s="1"/>
  <c r="AS28" i="185" a="1"/>
  <c r="AS28" i="185"/>
  <c r="AT28" i="185" a="1"/>
  <c r="AT28" i="185" s="1"/>
  <c r="AU28" i="185" a="1"/>
  <c r="AU28" i="185" s="1"/>
  <c r="AV28" i="185" a="1"/>
  <c r="AV28" i="185"/>
  <c r="AW28" i="185" a="1"/>
  <c r="AW28" i="185" s="1"/>
  <c r="AX28" i="185" a="1"/>
  <c r="AX28" i="185"/>
  <c r="AY28" i="185" a="1"/>
  <c r="AY28" i="185" s="1"/>
  <c r="AO29" i="185" a="1"/>
  <c r="AO29" i="185" s="1"/>
  <c r="AP29" i="185" a="1"/>
  <c r="AP29" i="185"/>
  <c r="AQ29" i="185" a="1"/>
  <c r="AQ29" i="185" s="1"/>
  <c r="AR29" i="185" a="1"/>
  <c r="AR29" i="185"/>
  <c r="AS29" i="185" a="1"/>
  <c r="AS29" i="185" s="1"/>
  <c r="AT29" i="185" a="1"/>
  <c r="AT29" i="185" s="1"/>
  <c r="AU29" i="185" a="1"/>
  <c r="AU29" i="185" s="1"/>
  <c r="AV29" i="185" a="1"/>
  <c r="AV29" i="185" s="1"/>
  <c r="AW29" i="185" a="1"/>
  <c r="AW29" i="185"/>
  <c r="AX29" i="185" a="1"/>
  <c r="AX29" i="185"/>
  <c r="AY29" i="185" a="1"/>
  <c r="AY29" i="185" s="1"/>
  <c r="AO30" i="185" a="1"/>
  <c r="AO30" i="185"/>
  <c r="AP30" i="185" a="1"/>
  <c r="AP30" i="185" s="1"/>
  <c r="AQ30" i="185" a="1"/>
  <c r="AQ30" i="185"/>
  <c r="AR30" i="185" a="1"/>
  <c r="AR30" i="185" s="1"/>
  <c r="AS30" i="185" a="1"/>
  <c r="AS30" i="185" s="1"/>
  <c r="AT30" i="185" a="1"/>
  <c r="AT30" i="185"/>
  <c r="AU30" i="185" a="1"/>
  <c r="AU30" i="185" s="1"/>
  <c r="AV30" i="185" a="1"/>
  <c r="AV30" i="185"/>
  <c r="AW30" i="185" a="1"/>
  <c r="AW30" i="185" s="1"/>
  <c r="AX30" i="185" a="1"/>
  <c r="AX30" i="185" s="1"/>
  <c r="AY30" i="185" a="1"/>
  <c r="AY30" i="185"/>
  <c r="AO31" i="185" a="1"/>
  <c r="AO31" i="185" s="1"/>
  <c r="AP31" i="185" a="1"/>
  <c r="AP31" i="185"/>
  <c r="AQ31" i="185" a="1"/>
  <c r="AQ31" i="185" s="1"/>
  <c r="AR31" i="185" a="1"/>
  <c r="AR31" i="185" s="1"/>
  <c r="AS31" i="185" a="1"/>
  <c r="AS31" i="185"/>
  <c r="AT31" i="185" a="1"/>
  <c r="AT31" i="185" s="1"/>
  <c r="AU31" i="185" a="1"/>
  <c r="AU31" i="185"/>
  <c r="AV31" i="185" a="1"/>
  <c r="AV31" i="185" s="1"/>
  <c r="AW31" i="185" a="1"/>
  <c r="AW31" i="185" s="1"/>
  <c r="AX31" i="185" a="1"/>
  <c r="AX31" i="185" s="1"/>
  <c r="AY31" i="185" a="1"/>
  <c r="AY31" i="185" s="1"/>
  <c r="AO32" i="185" a="1"/>
  <c r="AO32" i="185"/>
  <c r="AP32" i="185" a="1"/>
  <c r="AP32" i="185"/>
  <c r="AQ32" i="185" a="1"/>
  <c r="AQ32" i="185" s="1"/>
  <c r="AR32" i="185" a="1"/>
  <c r="AR32" i="185"/>
  <c r="AS32" i="185" a="1"/>
  <c r="AS32" i="185" s="1"/>
  <c r="AT32" i="185" a="1"/>
  <c r="AT32" i="185"/>
  <c r="AU32" i="185" a="1"/>
  <c r="AU32" i="185" s="1"/>
  <c r="AV32" i="185" a="1"/>
  <c r="AV32" i="185" s="1"/>
  <c r="AW32" i="185" a="1"/>
  <c r="AW32" i="185"/>
  <c r="AX32" i="185" a="1"/>
  <c r="AX32" i="185" s="1"/>
  <c r="AY32" i="185" a="1"/>
  <c r="AY32" i="185"/>
  <c r="AO33" i="185" a="1"/>
  <c r="AO33" i="185" s="1"/>
  <c r="AP33" i="185" a="1"/>
  <c r="AP33" i="185" s="1"/>
  <c r="AQ33" i="185" a="1"/>
  <c r="AQ33" i="185"/>
  <c r="AR33" i="185" a="1"/>
  <c r="AR33" i="185" s="1"/>
  <c r="AS33" i="185" a="1"/>
  <c r="AS33" i="185"/>
  <c r="AT33" i="185" a="1"/>
  <c r="AT33" i="185" s="1"/>
  <c r="AU33" i="185" a="1"/>
  <c r="AU33" i="185" s="1"/>
  <c r="AV33" i="185" a="1"/>
  <c r="AV33" i="185"/>
  <c r="AW33" i="185" a="1"/>
  <c r="AW33" i="185" s="1"/>
  <c r="AX33" i="185" a="1"/>
  <c r="AX33" i="185"/>
  <c r="AY33" i="185" a="1"/>
  <c r="AY33" i="185" s="1"/>
  <c r="AO34" i="185" a="1"/>
  <c r="AO34" i="185" s="1"/>
  <c r="AP34" i="185" a="1"/>
  <c r="AP34" i="185" s="1"/>
  <c r="AQ34" i="185" a="1"/>
  <c r="AQ34" i="185" s="1"/>
  <c r="AR34" i="185" a="1"/>
  <c r="AR34" i="185"/>
  <c r="AS34" i="185" a="1"/>
  <c r="AS34" i="185"/>
  <c r="AT34" i="185" a="1"/>
  <c r="AT34" i="185" s="1"/>
  <c r="AU34" i="185" a="1"/>
  <c r="AU34" i="185"/>
  <c r="AV34" i="185" a="1"/>
  <c r="AV34" i="185" s="1"/>
  <c r="AW34" i="185" a="1"/>
  <c r="AW34" i="185"/>
  <c r="AX34" i="185" a="1"/>
  <c r="AX34" i="185" s="1"/>
  <c r="AY34" i="185" a="1"/>
  <c r="AY34" i="185" s="1"/>
  <c r="AO35" i="185" a="1"/>
  <c r="AO35" i="185"/>
  <c r="AP35" i="185" a="1"/>
  <c r="AP35" i="185" s="1"/>
  <c r="AQ35" i="185" a="1"/>
  <c r="AQ35" i="185"/>
  <c r="AR35" i="185" a="1"/>
  <c r="AR35" i="185" s="1"/>
  <c r="AS35" i="185" a="1"/>
  <c r="AS35" i="185" s="1"/>
  <c r="AT35" i="185" a="1"/>
  <c r="AT35" i="185"/>
  <c r="AU35" i="185" a="1"/>
  <c r="AU35" i="185" s="1"/>
  <c r="AV35" i="185" a="1"/>
  <c r="AV35" i="185"/>
  <c r="AW35" i="185" a="1"/>
  <c r="AW35" i="185" s="1"/>
  <c r="AX35" i="185" a="1"/>
  <c r="AX35" i="185" s="1"/>
  <c r="AY35" i="185" a="1"/>
  <c r="AY35" i="185"/>
  <c r="AO36" i="185" a="1"/>
  <c r="AO36" i="185" s="1"/>
  <c r="AP36" i="185" a="1"/>
  <c r="AP36" i="185"/>
  <c r="AQ36" i="185" a="1"/>
  <c r="AQ36" i="185" s="1"/>
  <c r="AR36" i="185" a="1"/>
  <c r="AR36" i="185" s="1"/>
  <c r="AS36" i="185" a="1"/>
  <c r="AS36" i="185" s="1"/>
  <c r="AT36" i="185" a="1"/>
  <c r="AT36" i="185" s="1"/>
  <c r="AU36" i="185" a="1"/>
  <c r="AU36" i="185"/>
  <c r="AV36" i="185" a="1"/>
  <c r="AV36" i="185"/>
  <c r="AW36" i="185" a="1"/>
  <c r="AW36" i="185" s="1"/>
  <c r="AX36" i="185" a="1"/>
  <c r="AX36" i="185"/>
  <c r="AY36" i="185" a="1"/>
  <c r="AY36" i="185" s="1"/>
  <c r="AO37" i="185" a="1"/>
  <c r="AO37" i="185"/>
  <c r="AP37" i="185" a="1"/>
  <c r="AP37" i="185" s="1"/>
  <c r="AQ37" i="185" a="1"/>
  <c r="AQ37" i="185" s="1"/>
  <c r="AR37" i="185" a="1"/>
  <c r="AR37" i="185"/>
  <c r="AS37" i="185" a="1"/>
  <c r="AS37" i="185" s="1"/>
  <c r="AT37" i="185" a="1"/>
  <c r="AT37" i="185"/>
  <c r="AU37" i="185" a="1"/>
  <c r="AU37" i="185" s="1"/>
  <c r="AV37" i="185" a="1"/>
  <c r="AV37" i="185" s="1"/>
  <c r="AW37" i="185" a="1"/>
  <c r="AW37" i="185"/>
  <c r="AX37" i="185" a="1"/>
  <c r="AX37" i="185" s="1"/>
  <c r="AY37" i="185" a="1"/>
  <c r="AY37" i="185"/>
  <c r="AO38" i="185" a="1"/>
  <c r="AO38" i="185" s="1"/>
  <c r="AP38" i="185" a="1"/>
  <c r="AP38" i="185" s="1"/>
  <c r="AQ38" i="185" a="1"/>
  <c r="AQ38" i="185"/>
  <c r="AR38" i="185" a="1"/>
  <c r="AR38" i="185" s="1"/>
  <c r="AS38" i="185" a="1"/>
  <c r="AS38" i="185"/>
  <c r="AT38" i="185" a="1"/>
  <c r="AT38" i="185" s="1"/>
  <c r="AU38" i="185" a="1"/>
  <c r="AU38" i="185" s="1"/>
  <c r="AV38" i="185" a="1"/>
  <c r="AV38" i="185" s="1"/>
  <c r="AW38" i="185" a="1"/>
  <c r="AW38" i="185" s="1"/>
  <c r="AX38" i="185" a="1"/>
  <c r="AX38" i="185"/>
  <c r="AY38" i="185" a="1"/>
  <c r="AY38" i="185"/>
  <c r="AO39" i="185" a="1"/>
  <c r="AO39" i="185" s="1"/>
  <c r="AP39" i="185" a="1"/>
  <c r="AP39" i="185"/>
  <c r="AQ39" i="185" a="1"/>
  <c r="AQ39" i="185" s="1"/>
  <c r="AR39" i="185" a="1"/>
  <c r="AR39" i="185"/>
  <c r="AS39" i="185" a="1"/>
  <c r="AS39" i="185"/>
  <c r="AT39" i="185" a="1"/>
  <c r="AT39" i="185" s="1"/>
  <c r="AU39" i="185" a="1"/>
  <c r="AU39" i="185"/>
  <c r="AV39" i="185" a="1"/>
  <c r="AV39" i="185" s="1"/>
  <c r="AW39" i="185" a="1"/>
  <c r="AW39" i="185"/>
  <c r="AX39" i="185" a="1"/>
  <c r="AX39" i="185" s="1"/>
  <c r="AY39" i="185" a="1"/>
  <c r="AY39" i="185" s="1"/>
  <c r="AO40" i="185" a="1"/>
  <c r="AO40" i="185"/>
  <c r="AP40" i="185" a="1"/>
  <c r="AP40" i="185" s="1"/>
  <c r="AQ40" i="185" a="1"/>
  <c r="AQ40" i="185"/>
  <c r="AR40" i="185" a="1"/>
  <c r="AR40" i="185" s="1"/>
  <c r="AS40" i="185" a="1"/>
  <c r="AS40" i="185" s="1"/>
  <c r="AT40" i="185" a="1"/>
  <c r="AT40" i="185"/>
  <c r="AU40" i="185" a="1"/>
  <c r="AU40" i="185" s="1"/>
  <c r="AV40" i="185" a="1"/>
  <c r="AV40" i="185"/>
  <c r="AW40" i="185" a="1"/>
  <c r="AW40" i="185"/>
  <c r="AX40" i="185" a="1"/>
  <c r="AX40" i="185" s="1"/>
  <c r="AY40" i="185" a="1"/>
  <c r="AY40" i="185" s="1"/>
  <c r="AO41" i="185" a="1"/>
  <c r="AO41" i="185" s="1"/>
  <c r="AP41" i="185" a="1"/>
  <c r="AP41" i="185"/>
  <c r="AQ41" i="185" a="1"/>
  <c r="AQ41" i="185"/>
  <c r="AR41" i="185" a="1"/>
  <c r="AR41" i="185" s="1"/>
  <c r="AS41" i="185" a="1"/>
  <c r="AS41" i="185"/>
  <c r="AT41" i="185" a="1"/>
  <c r="AT41" i="185" s="1"/>
  <c r="AU41" i="185" a="1"/>
  <c r="AU41" i="185"/>
  <c r="AV41" i="185" a="1"/>
  <c r="AV41" i="185"/>
  <c r="AW41" i="185" a="1"/>
  <c r="AW41" i="185" s="1"/>
  <c r="AX41" i="185" a="1"/>
  <c r="AX41" i="185"/>
  <c r="AY41" i="185" a="1"/>
  <c r="AY41" i="185" s="1"/>
  <c r="AO42" i="185" a="1"/>
  <c r="AO42" i="185"/>
  <c r="AP42" i="185" a="1"/>
  <c r="AP42" i="185" s="1"/>
  <c r="AQ42" i="185" a="1"/>
  <c r="AQ42" i="185" s="1"/>
  <c r="AR42" i="185" a="1"/>
  <c r="AR42" i="185"/>
  <c r="AS42" i="185" a="1"/>
  <c r="AS42" i="185" s="1"/>
  <c r="AT42" i="185" a="1"/>
  <c r="AT42" i="185"/>
  <c r="AU42" i="185" a="1"/>
  <c r="AU42" i="185" s="1"/>
  <c r="AV42" i="185" a="1"/>
  <c r="AV42" i="185" s="1"/>
  <c r="AW42" i="185" a="1"/>
  <c r="AW42" i="185"/>
  <c r="AX42" i="185" a="1"/>
  <c r="AX42" i="185" s="1"/>
  <c r="AY42" i="185" a="1"/>
  <c r="AY42" i="185"/>
  <c r="AO43" i="185" a="1"/>
  <c r="AO43" i="185"/>
  <c r="AP43" i="185" a="1"/>
  <c r="AP43" i="185" s="1"/>
  <c r="AQ43" i="185" a="1"/>
  <c r="AQ43" i="185" s="1"/>
  <c r="AR43" i="185" a="1"/>
  <c r="AR43" i="185" s="1"/>
  <c r="AS43" i="185" a="1"/>
  <c r="AS43" i="185"/>
  <c r="AT43" i="185" a="1"/>
  <c r="AT43" i="185"/>
  <c r="AU43" i="185" a="1"/>
  <c r="AU43" i="185" s="1"/>
  <c r="AV43" i="185" a="1"/>
  <c r="AV43" i="185"/>
  <c r="AW43" i="185" a="1"/>
  <c r="AW43" i="185" s="1"/>
  <c r="AX43" i="185" a="1"/>
  <c r="AX43" i="185"/>
  <c r="AY43" i="185" a="1"/>
  <c r="AY43" i="185"/>
  <c r="AO44" i="185" a="1"/>
  <c r="AO44" i="185" s="1"/>
  <c r="AP44" i="185" a="1"/>
  <c r="AP44" i="185"/>
  <c r="AQ44" i="185" a="1"/>
  <c r="AQ44" i="185" s="1"/>
  <c r="AR44" i="185" a="1"/>
  <c r="AR44" i="185"/>
  <c r="AS44" i="185" a="1"/>
  <c r="AS44" i="185" s="1"/>
  <c r="AT44" i="185" a="1"/>
  <c r="AT44" i="185" s="1"/>
  <c r="AU44" i="185" a="1"/>
  <c r="AU44" i="185"/>
  <c r="AV44" i="185" a="1"/>
  <c r="AV44" i="185" s="1"/>
  <c r="AW44" i="185" a="1"/>
  <c r="AW44" i="185"/>
  <c r="AX44" i="185" a="1"/>
  <c r="AX44" i="185" s="1"/>
  <c r="AY44" i="185" a="1"/>
  <c r="AY44" i="185" s="1"/>
  <c r="AO45" i="185" a="1"/>
  <c r="AO45" i="185"/>
  <c r="AP45" i="185" a="1"/>
  <c r="AP45" i="185" s="1"/>
  <c r="AQ45" i="185" a="1"/>
  <c r="AQ45" i="185"/>
  <c r="AR45" i="185" a="1"/>
  <c r="AR45" i="185"/>
  <c r="AS45" i="185" a="1"/>
  <c r="AS45" i="185" s="1"/>
  <c r="AT45" i="185" a="1"/>
  <c r="AT45" i="185"/>
  <c r="AU45" i="185" a="1"/>
  <c r="AU45" i="185" s="1"/>
  <c r="AV45" i="185" a="1"/>
  <c r="AV45" i="185"/>
  <c r="AW45" i="185" a="1"/>
  <c r="AW45" i="185"/>
  <c r="AX45" i="185" a="1"/>
  <c r="AX45" i="185" s="1"/>
  <c r="AY45" i="185" a="1"/>
  <c r="AY45" i="185" s="1"/>
  <c r="AR5" i="185" a="1"/>
  <c r="AR5" i="185"/>
  <c r="AS5" i="185" a="1"/>
  <c r="AS5" i="185"/>
  <c r="AT5" i="185" a="1"/>
  <c r="AT5" i="185"/>
  <c r="AU5" i="185" a="1"/>
  <c r="AU5" i="185"/>
  <c r="AV5" i="185" a="1"/>
  <c r="AV5" i="185" s="1"/>
  <c r="AW5" i="185" a="1"/>
  <c r="AW5" i="185"/>
  <c r="AX5" i="185" a="1"/>
  <c r="AX5" i="185"/>
  <c r="AY5" i="185" a="1"/>
  <c r="AY5" i="185"/>
  <c r="AC6" i="185"/>
  <c r="AE6" i="185"/>
  <c r="AG6" i="185"/>
  <c r="AI6" i="185"/>
  <c r="AK6" i="185"/>
  <c r="AM6" i="185"/>
  <c r="AC7" i="185"/>
  <c r="AE7" i="185"/>
  <c r="AG7" i="185"/>
  <c r="AI7" i="185"/>
  <c r="AK7" i="185"/>
  <c r="AM7" i="185"/>
  <c r="AC8" i="185"/>
  <c r="AE8" i="185"/>
  <c r="AG8" i="185"/>
  <c r="AI8" i="185"/>
  <c r="AK8" i="185"/>
  <c r="AM8" i="185"/>
  <c r="AC9" i="185"/>
  <c r="AE9" i="185"/>
  <c r="AG9" i="185"/>
  <c r="AI9" i="185"/>
  <c r="AK9" i="185"/>
  <c r="AM9" i="185"/>
  <c r="AC10" i="185"/>
  <c r="AE10" i="185"/>
  <c r="AG10" i="185"/>
  <c r="AI10" i="185"/>
  <c r="AK10" i="185"/>
  <c r="AM10" i="185"/>
  <c r="AC11" i="185"/>
  <c r="AE11" i="185"/>
  <c r="AG11" i="185"/>
  <c r="AI11" i="185"/>
  <c r="AK11" i="185"/>
  <c r="AM11" i="185"/>
  <c r="AC12" i="185"/>
  <c r="AE12" i="185"/>
  <c r="AG12" i="185"/>
  <c r="AI12" i="185"/>
  <c r="AK12" i="185"/>
  <c r="AM12" i="185"/>
  <c r="AC13" i="185"/>
  <c r="AE13" i="185"/>
  <c r="AG13" i="185"/>
  <c r="AI13" i="185"/>
  <c r="AK13" i="185"/>
  <c r="AM13" i="185"/>
  <c r="AC14" i="185"/>
  <c r="AE14" i="185"/>
  <c r="AG14" i="185"/>
  <c r="AI14" i="185"/>
  <c r="AK14" i="185"/>
  <c r="AM14" i="185"/>
  <c r="AC15" i="185"/>
  <c r="AE15" i="185"/>
  <c r="AG15" i="185"/>
  <c r="AI15" i="185"/>
  <c r="AK15" i="185"/>
  <c r="AM15" i="185"/>
  <c r="AC16" i="185"/>
  <c r="AE16" i="185"/>
  <c r="AG16" i="185"/>
  <c r="AI16" i="185"/>
  <c r="AK16" i="185"/>
  <c r="AM16" i="185"/>
  <c r="AC17" i="185"/>
  <c r="AE17" i="185"/>
  <c r="AG17" i="185"/>
  <c r="AI17" i="185"/>
  <c r="AK17" i="185"/>
  <c r="AM17" i="185"/>
  <c r="AC18" i="185"/>
  <c r="AE18" i="185"/>
  <c r="AG18" i="185"/>
  <c r="AI18" i="185"/>
  <c r="AK18" i="185"/>
  <c r="AM18" i="185"/>
  <c r="AC19" i="185"/>
  <c r="AE19" i="185"/>
  <c r="AG19" i="185"/>
  <c r="AI19" i="185"/>
  <c r="AK19" i="185"/>
  <c r="AM19" i="185"/>
  <c r="AC20" i="185"/>
  <c r="AE20" i="185"/>
  <c r="AG20" i="185"/>
  <c r="AI20" i="185"/>
  <c r="AK20" i="185"/>
  <c r="AM20" i="185"/>
  <c r="AC21" i="185"/>
  <c r="AE21" i="185"/>
  <c r="AG21" i="185"/>
  <c r="AI21" i="185"/>
  <c r="AK21" i="185"/>
  <c r="AM21" i="185"/>
  <c r="AC22" i="185"/>
  <c r="AE22" i="185"/>
  <c r="AG22" i="185"/>
  <c r="AI22" i="185"/>
  <c r="AK22" i="185"/>
  <c r="AM22" i="185"/>
  <c r="AC23" i="185"/>
  <c r="AE23" i="185"/>
  <c r="AG23" i="185"/>
  <c r="AI23" i="185"/>
  <c r="AK23" i="185"/>
  <c r="AM23" i="185"/>
  <c r="AC24" i="185"/>
  <c r="AE24" i="185"/>
  <c r="AG24" i="185"/>
  <c r="AI24" i="185"/>
  <c r="AK24" i="185"/>
  <c r="AM24" i="185"/>
  <c r="AC25" i="185"/>
  <c r="AE25" i="185"/>
  <c r="AG25" i="185"/>
  <c r="AI25" i="185"/>
  <c r="AK25" i="185"/>
  <c r="AM25" i="185"/>
  <c r="AC26" i="185"/>
  <c r="AE26" i="185"/>
  <c r="AG26" i="185"/>
  <c r="AI26" i="185"/>
  <c r="AK26" i="185"/>
  <c r="AM26" i="185"/>
  <c r="AC27" i="185"/>
  <c r="AE27" i="185"/>
  <c r="AG27" i="185"/>
  <c r="AI27" i="185"/>
  <c r="AK27" i="185"/>
  <c r="AM27" i="185"/>
  <c r="AC28" i="185"/>
  <c r="AE28" i="185"/>
  <c r="AG28" i="185"/>
  <c r="AI28" i="185"/>
  <c r="AK28" i="185"/>
  <c r="AM28" i="185"/>
  <c r="AC29" i="185"/>
  <c r="AE29" i="185"/>
  <c r="AG29" i="185"/>
  <c r="AI29" i="185"/>
  <c r="AK29" i="185"/>
  <c r="AM29" i="185"/>
  <c r="AC30" i="185"/>
  <c r="AE30" i="185"/>
  <c r="AG30" i="185"/>
  <c r="AI30" i="185"/>
  <c r="AK30" i="185"/>
  <c r="AM30" i="185"/>
  <c r="AC31" i="185"/>
  <c r="AE31" i="185"/>
  <c r="AG31" i="185"/>
  <c r="AI31" i="185"/>
  <c r="AK31" i="185"/>
  <c r="AM31" i="185"/>
  <c r="AC32" i="185"/>
  <c r="AE32" i="185"/>
  <c r="AG32" i="185"/>
  <c r="AI32" i="185"/>
  <c r="AK32" i="185"/>
  <c r="AM32" i="185"/>
  <c r="AC33" i="185"/>
  <c r="AE33" i="185"/>
  <c r="AG33" i="185"/>
  <c r="AI33" i="185"/>
  <c r="AK33" i="185"/>
  <c r="AM33" i="185"/>
  <c r="AC34" i="185"/>
  <c r="AE34" i="185"/>
  <c r="AG34" i="185"/>
  <c r="AI34" i="185"/>
  <c r="AK34" i="185"/>
  <c r="AM34" i="185"/>
  <c r="AC35" i="185"/>
  <c r="AE35" i="185"/>
  <c r="AG35" i="185"/>
  <c r="AI35" i="185"/>
  <c r="AK35" i="185"/>
  <c r="AM35" i="185"/>
  <c r="AC36" i="185"/>
  <c r="AE36" i="185"/>
  <c r="AG36" i="185"/>
  <c r="AI36" i="185"/>
  <c r="AK36" i="185"/>
  <c r="AM36" i="185"/>
  <c r="AC37" i="185"/>
  <c r="AE37" i="185"/>
  <c r="AG37" i="185"/>
  <c r="AI37" i="185"/>
  <c r="AK37" i="185"/>
  <c r="AM37" i="185"/>
  <c r="AC38" i="185"/>
  <c r="AE38" i="185"/>
  <c r="AG38" i="185"/>
  <c r="AI38" i="185"/>
  <c r="AK38" i="185"/>
  <c r="AM38" i="185"/>
  <c r="AC39" i="185"/>
  <c r="AE39" i="185"/>
  <c r="AG39" i="185"/>
  <c r="AI39" i="185"/>
  <c r="AK39" i="185"/>
  <c r="AM39" i="185"/>
  <c r="AC40" i="185"/>
  <c r="AE40" i="185"/>
  <c r="AG40" i="185"/>
  <c r="AI40" i="185"/>
  <c r="AK40" i="185"/>
  <c r="AM40" i="185"/>
  <c r="AC41" i="185"/>
  <c r="AE41" i="185"/>
  <c r="AG41" i="185"/>
  <c r="AI41" i="185"/>
  <c r="AK41" i="185"/>
  <c r="AM41" i="185"/>
  <c r="AC42" i="185"/>
  <c r="AE42" i="185"/>
  <c r="AG42" i="185"/>
  <c r="AI42" i="185"/>
  <c r="AK42" i="185"/>
  <c r="AM42" i="185"/>
  <c r="AC43" i="185"/>
  <c r="AE43" i="185"/>
  <c r="AG43" i="185"/>
  <c r="AI43" i="185"/>
  <c r="AK43" i="185"/>
  <c r="AM43" i="185"/>
  <c r="AC44" i="185"/>
  <c r="AE44" i="185"/>
  <c r="AG44" i="185"/>
  <c r="AI44" i="185"/>
  <c r="AK44" i="185"/>
  <c r="AM44" i="185"/>
  <c r="AC45" i="185"/>
  <c r="AD45" i="185"/>
  <c r="AE45" i="185"/>
  <c r="AF45" i="185"/>
  <c r="AG45" i="185"/>
  <c r="AH45" i="185"/>
  <c r="AI45" i="185"/>
  <c r="AJ45" i="185"/>
  <c r="AK45" i="185"/>
  <c r="AL45" i="185"/>
  <c r="AM45" i="185"/>
  <c r="AG5" i="185"/>
  <c r="AI5" i="185"/>
  <c r="AK5" i="185"/>
  <c r="AM5" i="185"/>
  <c r="AC5" i="185"/>
  <c r="AO5" i="185" s="1" a="1"/>
  <c r="AO5" i="185" s="1"/>
  <c r="Y14" i="185"/>
  <c r="Z34" i="185"/>
  <c r="E5" i="185"/>
  <c r="B6" i="185"/>
  <c r="B7" i="185"/>
  <c r="B8" i="185"/>
  <c r="B9" i="185"/>
  <c r="B10" i="185"/>
  <c r="B11" i="185"/>
  <c r="B12" i="185"/>
  <c r="B13" i="185"/>
  <c r="B14" i="185"/>
  <c r="B15" i="185"/>
  <c r="B16" i="185"/>
  <c r="B17" i="185"/>
  <c r="B18" i="185"/>
  <c r="B19" i="185"/>
  <c r="B20" i="185"/>
  <c r="B21" i="185"/>
  <c r="B22" i="185"/>
  <c r="B23" i="185"/>
  <c r="B24" i="185"/>
  <c r="B25" i="185"/>
  <c r="B26" i="185"/>
  <c r="B27" i="185"/>
  <c r="B28" i="185"/>
  <c r="B29" i="185"/>
  <c r="B30" i="185"/>
  <c r="B31" i="185"/>
  <c r="B32" i="185"/>
  <c r="B33" i="185"/>
  <c r="B34" i="185"/>
  <c r="B35" i="185"/>
  <c r="B36" i="185"/>
  <c r="B37" i="185"/>
  <c r="B38" i="185"/>
  <c r="B39" i="185"/>
  <c r="B40" i="185"/>
  <c r="B41" i="185"/>
  <c r="B42" i="185"/>
  <c r="B43" i="185"/>
  <c r="B44" i="185"/>
  <c r="B5" i="185"/>
  <c r="E6" i="185"/>
  <c r="F6" i="185"/>
  <c r="G6" i="185"/>
  <c r="H6" i="185"/>
  <c r="I6" i="185"/>
  <c r="J6" i="185"/>
  <c r="K6" i="185"/>
  <c r="L6" i="185"/>
  <c r="M6" i="185"/>
  <c r="N6" i="185"/>
  <c r="O6" i="185"/>
  <c r="E7" i="185"/>
  <c r="F7" i="185"/>
  <c r="G7" i="185"/>
  <c r="H7" i="185"/>
  <c r="I7" i="185"/>
  <c r="J7" i="185"/>
  <c r="K7" i="185"/>
  <c r="L7" i="185"/>
  <c r="M7" i="185"/>
  <c r="N7" i="185"/>
  <c r="O7" i="185"/>
  <c r="E8" i="185"/>
  <c r="F8" i="185"/>
  <c r="G8" i="185"/>
  <c r="H8" i="185"/>
  <c r="I8" i="185"/>
  <c r="J8" i="185"/>
  <c r="K8" i="185"/>
  <c r="L8" i="185"/>
  <c r="M8" i="185"/>
  <c r="N8" i="185"/>
  <c r="O8" i="185"/>
  <c r="E9" i="185"/>
  <c r="F9" i="185"/>
  <c r="G9" i="185"/>
  <c r="H9" i="185"/>
  <c r="I9" i="185"/>
  <c r="J9" i="185"/>
  <c r="K9" i="185"/>
  <c r="L9" i="185"/>
  <c r="M9" i="185"/>
  <c r="N9" i="185"/>
  <c r="O9" i="185"/>
  <c r="E10" i="185"/>
  <c r="F10" i="185"/>
  <c r="G10" i="185"/>
  <c r="H10" i="185"/>
  <c r="I10" i="185"/>
  <c r="J10" i="185"/>
  <c r="K10" i="185"/>
  <c r="AH10" i="185" s="1"/>
  <c r="L10" i="185"/>
  <c r="M10" i="185"/>
  <c r="N10" i="185"/>
  <c r="O10" i="185"/>
  <c r="E11" i="185"/>
  <c r="F11" i="185"/>
  <c r="G11" i="185"/>
  <c r="H11" i="185"/>
  <c r="I11" i="185"/>
  <c r="J11" i="185"/>
  <c r="K11" i="185"/>
  <c r="L11" i="185"/>
  <c r="M11" i="185"/>
  <c r="N11" i="185"/>
  <c r="O11" i="185"/>
  <c r="E12" i="185"/>
  <c r="F12" i="185"/>
  <c r="G12" i="185"/>
  <c r="H12" i="185"/>
  <c r="I12" i="185"/>
  <c r="AF12" i="185" s="1"/>
  <c r="J12" i="185"/>
  <c r="K12" i="185"/>
  <c r="L12" i="185"/>
  <c r="M12" i="185"/>
  <c r="N12" i="185"/>
  <c r="O12" i="185"/>
  <c r="E13" i="185"/>
  <c r="F13" i="185"/>
  <c r="G13" i="185"/>
  <c r="H13" i="185"/>
  <c r="I13" i="185"/>
  <c r="J13" i="185"/>
  <c r="K13" i="185"/>
  <c r="L13" i="185"/>
  <c r="M13" i="185"/>
  <c r="N13" i="185"/>
  <c r="O13" i="185"/>
  <c r="E14" i="185"/>
  <c r="F14" i="185"/>
  <c r="G14" i="185"/>
  <c r="H14" i="185"/>
  <c r="I14" i="185"/>
  <c r="J14" i="185"/>
  <c r="K14" i="185"/>
  <c r="L14" i="185"/>
  <c r="M14" i="185"/>
  <c r="N14" i="185"/>
  <c r="O14" i="185"/>
  <c r="E15" i="185"/>
  <c r="F15" i="185"/>
  <c r="G15" i="185"/>
  <c r="H15" i="185"/>
  <c r="I15" i="185"/>
  <c r="J15" i="185"/>
  <c r="K15" i="185"/>
  <c r="L15" i="185"/>
  <c r="M15" i="185"/>
  <c r="N15" i="185"/>
  <c r="O15" i="185"/>
  <c r="E16" i="185"/>
  <c r="F16" i="185"/>
  <c r="G16" i="185"/>
  <c r="H16" i="185"/>
  <c r="I16" i="185"/>
  <c r="J16" i="185"/>
  <c r="K16" i="185"/>
  <c r="L16" i="185"/>
  <c r="M16" i="185"/>
  <c r="N16" i="185"/>
  <c r="O16" i="185"/>
  <c r="E17" i="185"/>
  <c r="F17" i="185"/>
  <c r="G17" i="185"/>
  <c r="H17" i="185"/>
  <c r="I17" i="185"/>
  <c r="J17" i="185"/>
  <c r="K17" i="185"/>
  <c r="L17" i="185"/>
  <c r="M17" i="185"/>
  <c r="N17" i="185"/>
  <c r="O17" i="185"/>
  <c r="E18" i="185"/>
  <c r="F18" i="185"/>
  <c r="G18" i="185"/>
  <c r="H18" i="185"/>
  <c r="I18" i="185"/>
  <c r="J18" i="185"/>
  <c r="K18" i="185"/>
  <c r="L18" i="185"/>
  <c r="M18" i="185"/>
  <c r="AJ18" i="185" s="1"/>
  <c r="N18" i="185"/>
  <c r="O18" i="185"/>
  <c r="E19" i="185"/>
  <c r="F19" i="185"/>
  <c r="G19" i="185"/>
  <c r="H19" i="185"/>
  <c r="I19" i="185"/>
  <c r="J19" i="185"/>
  <c r="K19" i="185"/>
  <c r="L19" i="185"/>
  <c r="M19" i="185"/>
  <c r="N19" i="185"/>
  <c r="O19" i="185"/>
  <c r="E20" i="185"/>
  <c r="F20" i="185"/>
  <c r="G20" i="185"/>
  <c r="H20" i="185"/>
  <c r="I20" i="185"/>
  <c r="J20" i="185"/>
  <c r="K20" i="185"/>
  <c r="L20" i="185"/>
  <c r="M20" i="185"/>
  <c r="N20" i="185"/>
  <c r="O20" i="185"/>
  <c r="E21" i="185"/>
  <c r="F21" i="185"/>
  <c r="G21" i="185"/>
  <c r="H21" i="185"/>
  <c r="I21" i="185"/>
  <c r="J21" i="185"/>
  <c r="K21" i="185"/>
  <c r="L21" i="185"/>
  <c r="M21" i="185"/>
  <c r="N21" i="185"/>
  <c r="O21" i="185"/>
  <c r="E22" i="185"/>
  <c r="F22" i="185"/>
  <c r="G22" i="185"/>
  <c r="H22" i="185"/>
  <c r="I22" i="185"/>
  <c r="J22" i="185"/>
  <c r="K22" i="185"/>
  <c r="L22" i="185"/>
  <c r="M22" i="185"/>
  <c r="N22" i="185"/>
  <c r="O22" i="185"/>
  <c r="E23" i="185"/>
  <c r="F23" i="185"/>
  <c r="G23" i="185"/>
  <c r="H23" i="185"/>
  <c r="I23" i="185"/>
  <c r="J23" i="185"/>
  <c r="K23" i="185"/>
  <c r="L23" i="185"/>
  <c r="M23" i="185"/>
  <c r="N23" i="185"/>
  <c r="O23" i="185"/>
  <c r="E24" i="185"/>
  <c r="F24" i="185"/>
  <c r="G24" i="185"/>
  <c r="H24" i="185"/>
  <c r="I24" i="185"/>
  <c r="J24" i="185"/>
  <c r="K24" i="185"/>
  <c r="L24" i="185"/>
  <c r="M24" i="185"/>
  <c r="N24" i="185"/>
  <c r="O24" i="185"/>
  <c r="E25" i="185"/>
  <c r="F25" i="185"/>
  <c r="G25" i="185"/>
  <c r="H25" i="185"/>
  <c r="I25" i="185"/>
  <c r="J25" i="185"/>
  <c r="K25" i="185"/>
  <c r="L25" i="185"/>
  <c r="M25" i="185"/>
  <c r="N25" i="185"/>
  <c r="O25" i="185"/>
  <c r="E26" i="185"/>
  <c r="F26" i="185"/>
  <c r="G26" i="185"/>
  <c r="H26" i="185"/>
  <c r="I26" i="185"/>
  <c r="J26" i="185"/>
  <c r="K26" i="185"/>
  <c r="L26" i="185"/>
  <c r="M26" i="185"/>
  <c r="N26" i="185"/>
  <c r="O26" i="185"/>
  <c r="E27" i="185"/>
  <c r="F27" i="185"/>
  <c r="G27" i="185"/>
  <c r="H27" i="185"/>
  <c r="I27" i="185"/>
  <c r="J27" i="185"/>
  <c r="K27" i="185"/>
  <c r="L27" i="185"/>
  <c r="M27" i="185"/>
  <c r="N27" i="185"/>
  <c r="O27" i="185"/>
  <c r="E28" i="185"/>
  <c r="F28" i="185"/>
  <c r="G28" i="185"/>
  <c r="H28" i="185"/>
  <c r="I28" i="185"/>
  <c r="J28" i="185"/>
  <c r="K28" i="185"/>
  <c r="L28" i="185"/>
  <c r="M28" i="185"/>
  <c r="N28" i="185"/>
  <c r="O28" i="185"/>
  <c r="E29" i="185"/>
  <c r="F29" i="185"/>
  <c r="G29" i="185"/>
  <c r="H29" i="185"/>
  <c r="I29" i="185"/>
  <c r="J29" i="185"/>
  <c r="K29" i="185"/>
  <c r="L29" i="185"/>
  <c r="M29" i="185"/>
  <c r="N29" i="185"/>
  <c r="O29" i="185"/>
  <c r="E30" i="185"/>
  <c r="F30" i="185"/>
  <c r="G30" i="185"/>
  <c r="H30" i="185"/>
  <c r="I30" i="185"/>
  <c r="J30" i="185"/>
  <c r="K30" i="185"/>
  <c r="AH30" i="185" s="1"/>
  <c r="L30" i="185"/>
  <c r="M30" i="185"/>
  <c r="N30" i="185"/>
  <c r="O30" i="185"/>
  <c r="E31" i="185"/>
  <c r="F31" i="185"/>
  <c r="G31" i="185"/>
  <c r="H31" i="185"/>
  <c r="I31" i="185"/>
  <c r="J31" i="185"/>
  <c r="K31" i="185"/>
  <c r="L31" i="185"/>
  <c r="M31" i="185"/>
  <c r="N31" i="185"/>
  <c r="O31" i="185"/>
  <c r="E32" i="185"/>
  <c r="F32" i="185"/>
  <c r="G32" i="185"/>
  <c r="H32" i="185"/>
  <c r="I32" i="185"/>
  <c r="AF32" i="185" s="1"/>
  <c r="J32" i="185"/>
  <c r="K32" i="185"/>
  <c r="L32" i="185"/>
  <c r="M32" i="185"/>
  <c r="N32" i="185"/>
  <c r="O32" i="185"/>
  <c r="E33" i="185"/>
  <c r="F33" i="185"/>
  <c r="G33" i="185"/>
  <c r="H33" i="185"/>
  <c r="I33" i="185"/>
  <c r="J33" i="185"/>
  <c r="K33" i="185"/>
  <c r="L33" i="185"/>
  <c r="M33" i="185"/>
  <c r="N33" i="185"/>
  <c r="O33" i="185"/>
  <c r="E34" i="185"/>
  <c r="F34" i="185"/>
  <c r="G34" i="185"/>
  <c r="H34" i="185"/>
  <c r="I34" i="185"/>
  <c r="J34" i="185"/>
  <c r="K34" i="185"/>
  <c r="L34" i="185"/>
  <c r="M34" i="185"/>
  <c r="N34" i="185"/>
  <c r="O34" i="185"/>
  <c r="E35" i="185"/>
  <c r="F35" i="185"/>
  <c r="G35" i="185"/>
  <c r="H35" i="185"/>
  <c r="I35" i="185"/>
  <c r="J35" i="185"/>
  <c r="K35" i="185"/>
  <c r="L35" i="185"/>
  <c r="M35" i="185"/>
  <c r="N35" i="185"/>
  <c r="O35" i="185"/>
  <c r="E36" i="185"/>
  <c r="F36" i="185"/>
  <c r="G36" i="185"/>
  <c r="H36" i="185"/>
  <c r="I36" i="185"/>
  <c r="J36" i="185"/>
  <c r="K36" i="185"/>
  <c r="L36" i="185"/>
  <c r="M36" i="185"/>
  <c r="N36" i="185"/>
  <c r="O36" i="185"/>
  <c r="AL36" i="185" s="1"/>
  <c r="E37" i="185"/>
  <c r="F37" i="185"/>
  <c r="G37" i="185"/>
  <c r="H37" i="185"/>
  <c r="I37" i="185"/>
  <c r="J37" i="185"/>
  <c r="K37" i="185"/>
  <c r="L37" i="185"/>
  <c r="M37" i="185"/>
  <c r="N37" i="185"/>
  <c r="O37" i="185"/>
  <c r="E38" i="185"/>
  <c r="F38" i="185"/>
  <c r="G38" i="185"/>
  <c r="H38" i="185"/>
  <c r="I38" i="185"/>
  <c r="J38" i="185"/>
  <c r="K38" i="185"/>
  <c r="L38" i="185"/>
  <c r="M38" i="185"/>
  <c r="AJ38" i="185" s="1"/>
  <c r="N38" i="185"/>
  <c r="O38" i="185"/>
  <c r="E39" i="185"/>
  <c r="F39" i="185"/>
  <c r="G39" i="185"/>
  <c r="H39" i="185"/>
  <c r="I39" i="185"/>
  <c r="J39" i="185"/>
  <c r="K39" i="185"/>
  <c r="L39" i="185"/>
  <c r="M39" i="185"/>
  <c r="N39" i="185"/>
  <c r="O39" i="185"/>
  <c r="E40" i="185"/>
  <c r="F40" i="185"/>
  <c r="G40" i="185"/>
  <c r="H40" i="185"/>
  <c r="I40" i="185"/>
  <c r="J40" i="185"/>
  <c r="K40" i="185"/>
  <c r="L40" i="185"/>
  <c r="M40" i="185"/>
  <c r="N40" i="185"/>
  <c r="O40" i="185"/>
  <c r="E41" i="185"/>
  <c r="F41" i="185"/>
  <c r="G41" i="185"/>
  <c r="H41" i="185"/>
  <c r="I41" i="185"/>
  <c r="J41" i="185"/>
  <c r="K41" i="185"/>
  <c r="L41" i="185"/>
  <c r="M41" i="185"/>
  <c r="N41" i="185"/>
  <c r="O41" i="185"/>
  <c r="E42" i="185"/>
  <c r="F42" i="185"/>
  <c r="G42" i="185"/>
  <c r="H42" i="185"/>
  <c r="I42" i="185"/>
  <c r="J42" i="185"/>
  <c r="K42" i="185"/>
  <c r="L42" i="185"/>
  <c r="M42" i="185"/>
  <c r="N42" i="185"/>
  <c r="O42" i="185"/>
  <c r="E43" i="185"/>
  <c r="F43" i="185"/>
  <c r="G43" i="185"/>
  <c r="H43" i="185"/>
  <c r="I43" i="185"/>
  <c r="J43" i="185"/>
  <c r="K43" i="185"/>
  <c r="L43" i="185"/>
  <c r="M43" i="185"/>
  <c r="N43" i="185"/>
  <c r="O43" i="185"/>
  <c r="E44" i="185"/>
  <c r="F44" i="185"/>
  <c r="G44" i="185"/>
  <c r="H44" i="185"/>
  <c r="I44" i="185"/>
  <c r="J44" i="185"/>
  <c r="K44" i="185"/>
  <c r="L44" i="185"/>
  <c r="M44" i="185"/>
  <c r="N44" i="185"/>
  <c r="O44" i="185"/>
  <c r="F5" i="185"/>
  <c r="G5" i="185"/>
  <c r="H5" i="185"/>
  <c r="I5" i="185"/>
  <c r="J5" i="185"/>
  <c r="K5" i="185"/>
  <c r="L5" i="185"/>
  <c r="M5" i="185"/>
  <c r="N5" i="185"/>
  <c r="O5" i="185"/>
  <c r="F4" i="185"/>
  <c r="AD4" i="185" s="1"/>
  <c r="BD4" i="185" s="1"/>
  <c r="G4" i="185"/>
  <c r="AE4" i="185" s="1"/>
  <c r="BE4" i="185" s="1"/>
  <c r="H4" i="185"/>
  <c r="AF4" i="185" s="1"/>
  <c r="BF4" i="185" s="1"/>
  <c r="I4" i="185"/>
  <c r="AG4" i="185" s="1"/>
  <c r="BG4" i="185" s="1"/>
  <c r="J4" i="185"/>
  <c r="AH4" i="185" s="1"/>
  <c r="BH4" i="185" s="1"/>
  <c r="K4" i="185"/>
  <c r="AI4" i="185" s="1"/>
  <c r="BI4" i="185" s="1"/>
  <c r="L4" i="185"/>
  <c r="AJ4" i="185" s="1"/>
  <c r="BJ4" i="185" s="1"/>
  <c r="M4" i="185"/>
  <c r="AK4" i="185" s="1"/>
  <c r="BK4" i="185" s="1"/>
  <c r="N4" i="185"/>
  <c r="AL4" i="185" s="1"/>
  <c r="BL4" i="185" s="1"/>
  <c r="O4" i="185"/>
  <c r="AM4" i="185" s="1"/>
  <c r="BM4" i="185" s="1"/>
  <c r="E4" i="185"/>
  <c r="AC4" i="185" s="1"/>
  <c r="BC4" i="185" s="1"/>
  <c r="C5" i="185"/>
  <c r="D5" i="185"/>
  <c r="C6" i="185"/>
  <c r="D6" i="185"/>
  <c r="C7" i="185"/>
  <c r="Q7" i="185" s="1"/>
  <c r="D7" i="185"/>
  <c r="C8" i="185"/>
  <c r="S8" i="185" s="1"/>
  <c r="D8" i="185"/>
  <c r="C9" i="185"/>
  <c r="V9" i="185" s="1"/>
  <c r="D9" i="185"/>
  <c r="C10" i="185"/>
  <c r="S10" i="185" s="1"/>
  <c r="D10" i="185"/>
  <c r="C11" i="185"/>
  <c r="AA11" i="185" s="1"/>
  <c r="D11" i="185"/>
  <c r="C12" i="185"/>
  <c r="D12" i="185"/>
  <c r="C13" i="185"/>
  <c r="Z13" i="185" s="1"/>
  <c r="D13" i="185"/>
  <c r="C14" i="185"/>
  <c r="Q14" i="185" s="1"/>
  <c r="D14" i="185"/>
  <c r="C15" i="185"/>
  <c r="D15" i="185"/>
  <c r="C16" i="185"/>
  <c r="D16" i="185"/>
  <c r="C17" i="185"/>
  <c r="D17" i="185"/>
  <c r="C18" i="185"/>
  <c r="D18" i="185"/>
  <c r="C19" i="185"/>
  <c r="V19" i="185" s="1"/>
  <c r="D19" i="185"/>
  <c r="C20" i="185"/>
  <c r="D20" i="185"/>
  <c r="C21" i="185"/>
  <c r="D21" i="185"/>
  <c r="C22" i="185"/>
  <c r="D22" i="185"/>
  <c r="C23" i="185"/>
  <c r="U23" i="185" s="1"/>
  <c r="D23" i="185"/>
  <c r="C24" i="185"/>
  <c r="Q24" i="185" s="1"/>
  <c r="D24" i="185"/>
  <c r="C25" i="185"/>
  <c r="X25" i="185" s="1"/>
  <c r="D25" i="185"/>
  <c r="C26" i="185"/>
  <c r="S26" i="185" s="1"/>
  <c r="D26" i="185"/>
  <c r="C27" i="185"/>
  <c r="D27" i="185"/>
  <c r="C28" i="185"/>
  <c r="S28" i="185" s="1"/>
  <c r="D28" i="185"/>
  <c r="C29" i="185"/>
  <c r="V29" i="185" s="1"/>
  <c r="D29" i="185"/>
  <c r="C30" i="185"/>
  <c r="S30" i="185" s="1"/>
  <c r="D30" i="185"/>
  <c r="C31" i="185"/>
  <c r="D31" i="185"/>
  <c r="C32" i="185"/>
  <c r="D32" i="185"/>
  <c r="C33" i="185"/>
  <c r="D33" i="185"/>
  <c r="C34" i="185"/>
  <c r="Q34" i="185" s="1"/>
  <c r="D34" i="185"/>
  <c r="C35" i="185"/>
  <c r="D35" i="185"/>
  <c r="C36" i="185"/>
  <c r="D36" i="185"/>
  <c r="C37" i="185"/>
  <c r="D37" i="185"/>
  <c r="C38" i="185"/>
  <c r="Y38" i="185" s="1"/>
  <c r="D38" i="185"/>
  <c r="C39" i="185"/>
  <c r="V39" i="185" s="1"/>
  <c r="D39" i="185"/>
  <c r="C40" i="185"/>
  <c r="T40" i="185" s="1"/>
  <c r="D40" i="185"/>
  <c r="C41" i="185"/>
  <c r="X41" i="185" s="1"/>
  <c r="D41" i="185"/>
  <c r="C42" i="185"/>
  <c r="U42" i="185" s="1"/>
  <c r="D42" i="185"/>
  <c r="C43" i="185"/>
  <c r="AA43" i="185" s="1"/>
  <c r="D43" i="185"/>
  <c r="C44" i="185"/>
  <c r="Q44" i="185" s="1"/>
  <c r="D44" i="185"/>
  <c r="D4" i="185"/>
  <c r="C4" i="185"/>
  <c r="AY4" i="185"/>
  <c r="AX4" i="185"/>
  <c r="AW4" i="185"/>
  <c r="AV4" i="185"/>
  <c r="AU4" i="185"/>
  <c r="AT4" i="185"/>
  <c r="AS4" i="185"/>
  <c r="AR4" i="185"/>
  <c r="AQ4" i="185"/>
  <c r="AP4" i="185"/>
  <c r="AO4" i="185"/>
  <c r="AD14" i="185" l="1"/>
  <c r="AH39" i="185"/>
  <c r="T34" i="185"/>
  <c r="Z44" i="185"/>
  <c r="R29" i="185"/>
  <c r="AD44" i="185"/>
  <c r="AH27" i="185"/>
  <c r="AD24" i="185"/>
  <c r="AF11" i="185"/>
  <c r="W44" i="185"/>
  <c r="Y34" i="185"/>
  <c r="Y44" i="185"/>
  <c r="W24" i="185"/>
  <c r="AF21" i="185"/>
  <c r="Y39" i="185"/>
  <c r="U24" i="185"/>
  <c r="T14" i="185"/>
  <c r="AL33" i="185"/>
  <c r="X44" i="185"/>
  <c r="AF31" i="185"/>
  <c r="X39" i="185"/>
  <c r="Q19" i="185"/>
  <c r="AD34" i="185"/>
  <c r="Q29" i="185"/>
  <c r="AF41" i="185"/>
  <c r="V24" i="185"/>
  <c r="Q39" i="185"/>
  <c r="Z14" i="185"/>
  <c r="AL26" i="185"/>
  <c r="AL6" i="185"/>
  <c r="AL35" i="185"/>
  <c r="Z11" i="185"/>
  <c r="T24" i="185"/>
  <c r="AA41" i="185"/>
  <c r="V44" i="185"/>
  <c r="AA39" i="185"/>
  <c r="AH40" i="185"/>
  <c r="S34" i="185"/>
  <c r="AA9" i="185"/>
  <c r="U29" i="185"/>
  <c r="T19" i="185"/>
  <c r="Z9" i="185"/>
  <c r="T29" i="185"/>
  <c r="S19" i="185"/>
  <c r="Y9" i="185"/>
  <c r="Z39" i="185"/>
  <c r="S29" i="185"/>
  <c r="R19" i="185"/>
  <c r="U9" i="185"/>
  <c r="T20" i="185"/>
  <c r="Q20" i="185"/>
  <c r="R20" i="185"/>
  <c r="Z30" i="185"/>
  <c r="X35" i="185"/>
  <c r="Y35" i="185"/>
  <c r="V35" i="185"/>
  <c r="X20" i="185"/>
  <c r="Q40" i="185"/>
  <c r="U35" i="185"/>
  <c r="Y25" i="185"/>
  <c r="T35" i="185"/>
  <c r="T30" i="185"/>
  <c r="T15" i="185"/>
  <c r="Y15" i="185"/>
  <c r="W15" i="185"/>
  <c r="S35" i="185"/>
  <c r="X15" i="185"/>
  <c r="Q10" i="185"/>
  <c r="T10" i="185"/>
  <c r="X10" i="185"/>
  <c r="Y10" i="185"/>
  <c r="Z10" i="185"/>
  <c r="AA10" i="185"/>
  <c r="R10" i="185"/>
  <c r="AA30" i="185"/>
  <c r="W42" i="185"/>
  <c r="AA42" i="185"/>
  <c r="Z32" i="185"/>
  <c r="X32" i="185"/>
  <c r="W32" i="185"/>
  <c r="AA12" i="185"/>
  <c r="Q12" i="185"/>
  <c r="AL16" i="185"/>
  <c r="Q42" i="185"/>
  <c r="V15" i="185"/>
  <c r="W25" i="185"/>
  <c r="S25" i="185"/>
  <c r="U25" i="185"/>
  <c r="T25" i="185"/>
  <c r="S37" i="185"/>
  <c r="T37" i="185"/>
  <c r="Q22" i="185"/>
  <c r="R22" i="185"/>
  <c r="W22" i="185"/>
  <c r="V22" i="185"/>
  <c r="Z37" i="185"/>
  <c r="AA20" i="185"/>
  <c r="U15" i="185"/>
  <c r="S40" i="185"/>
  <c r="W40" i="185"/>
  <c r="Z40" i="185"/>
  <c r="X40" i="185"/>
  <c r="AA40" i="185"/>
  <c r="Y40" i="185"/>
  <c r="Y30" i="185"/>
  <c r="Q30" i="185"/>
  <c r="R30" i="185"/>
  <c r="T5" i="185"/>
  <c r="W5" i="185"/>
  <c r="U5" i="185"/>
  <c r="V5" i="185"/>
  <c r="Q5" i="185"/>
  <c r="X5" i="185"/>
  <c r="AA17" i="185"/>
  <c r="R17" i="185"/>
  <c r="T17" i="185"/>
  <c r="S17" i="185"/>
  <c r="Q31" i="185"/>
  <c r="R31" i="185"/>
  <c r="S31" i="185"/>
  <c r="W31" i="185"/>
  <c r="Y31" i="185"/>
  <c r="AA21" i="185"/>
  <c r="Q21" i="185"/>
  <c r="R21" i="185"/>
  <c r="W21" i="185"/>
  <c r="X11" i="185"/>
  <c r="Q11" i="185"/>
  <c r="S6" i="185"/>
  <c r="W6" i="185"/>
  <c r="AL25" i="185"/>
  <c r="AH19" i="185"/>
  <c r="AH9" i="185"/>
  <c r="Y5" i="185"/>
  <c r="Z41" i="185"/>
  <c r="V37" i="185"/>
  <c r="AA32" i="185"/>
  <c r="Z20" i="185"/>
  <c r="X6" i="185"/>
  <c r="R27" i="185"/>
  <c r="W27" i="185"/>
  <c r="U27" i="185"/>
  <c r="V27" i="185"/>
  <c r="AH20" i="185"/>
  <c r="AA36" i="185"/>
  <c r="S36" i="185"/>
  <c r="W36" i="185"/>
  <c r="T36" i="185"/>
  <c r="U36" i="185"/>
  <c r="R26" i="185"/>
  <c r="U26" i="185"/>
  <c r="W26" i="185"/>
  <c r="V16" i="185"/>
  <c r="R16" i="185"/>
  <c r="T16" i="185"/>
  <c r="AH29" i="185"/>
  <c r="AL15" i="185"/>
  <c r="S5" i="185"/>
  <c r="R41" i="185"/>
  <c r="U37" i="185"/>
  <c r="Y32" i="185"/>
  <c r="T26" i="185"/>
  <c r="Y20" i="185"/>
  <c r="AD41" i="185"/>
  <c r="AL34" i="185"/>
  <c r="AL24" i="185"/>
  <c r="AL14" i="185"/>
  <c r="AF10" i="185"/>
  <c r="AJ6" i="185"/>
  <c r="AF39" i="185"/>
  <c r="AJ35" i="185"/>
  <c r="AL23" i="185"/>
  <c r="AJ15" i="185"/>
  <c r="AD11" i="185"/>
  <c r="AH7" i="185"/>
  <c r="U44" i="185"/>
  <c r="AA19" i="185"/>
  <c r="AD43" i="185"/>
  <c r="AD33" i="185"/>
  <c r="AJ28" i="185"/>
  <c r="AD23" i="185"/>
  <c r="AD13" i="185"/>
  <c r="AJ8" i="185"/>
  <c r="AJ5" i="185"/>
  <c r="AJ44" i="185"/>
  <c r="AL42" i="185"/>
  <c r="AD40" i="185"/>
  <c r="AF38" i="185"/>
  <c r="AH36" i="185"/>
  <c r="AJ34" i="185"/>
  <c r="AL32" i="185"/>
  <c r="AD30" i="185"/>
  <c r="AF28" i="185"/>
  <c r="AH26" i="185"/>
  <c r="AJ24" i="185"/>
  <c r="AL22" i="185"/>
  <c r="AD20" i="185"/>
  <c r="AF18" i="185"/>
  <c r="AH16" i="185"/>
  <c r="AJ14" i="185"/>
  <c r="AL12" i="185"/>
  <c r="AD10" i="185"/>
  <c r="AF8" i="185"/>
  <c r="AH6" i="185"/>
  <c r="T44" i="185"/>
  <c r="T39" i="185"/>
  <c r="W34" i="185"/>
  <c r="Z29" i="185"/>
  <c r="Z24" i="185"/>
  <c r="Z19" i="185"/>
  <c r="W14" i="185"/>
  <c r="S9" i="185"/>
  <c r="AL44" i="185"/>
  <c r="AF40" i="185"/>
  <c r="AJ36" i="185"/>
  <c r="AD32" i="185"/>
  <c r="AH28" i="185"/>
  <c r="AJ26" i="185"/>
  <c r="AD22" i="185"/>
  <c r="AH18" i="185"/>
  <c r="AD12" i="185"/>
  <c r="AL43" i="185"/>
  <c r="AF29" i="185"/>
  <c r="AF19" i="185"/>
  <c r="AL13" i="185"/>
  <c r="AF9" i="185"/>
  <c r="U39" i="185"/>
  <c r="AA29" i="185"/>
  <c r="X14" i="185"/>
  <c r="AL41" i="185"/>
  <c r="AJ33" i="185"/>
  <c r="AL31" i="185"/>
  <c r="AD29" i="185"/>
  <c r="AH25" i="185"/>
  <c r="AJ23" i="185"/>
  <c r="AF17" i="185"/>
  <c r="AH15" i="185"/>
  <c r="AJ13" i="185"/>
  <c r="AD9" i="185"/>
  <c r="AF7" i="185"/>
  <c r="S44" i="185"/>
  <c r="S39" i="185"/>
  <c r="V34" i="185"/>
  <c r="Y29" i="185"/>
  <c r="Y24" i="185"/>
  <c r="Y19" i="185"/>
  <c r="V14" i="185"/>
  <c r="R9" i="185"/>
  <c r="AL5" i="185"/>
  <c r="AD42" i="185"/>
  <c r="AH38" i="185"/>
  <c r="AF30" i="185"/>
  <c r="AJ25" i="185"/>
  <c r="AF20" i="185"/>
  <c r="AJ16" i="185"/>
  <c r="AH8" i="185"/>
  <c r="AH37" i="185"/>
  <c r="AD31" i="185"/>
  <c r="AD21" i="185"/>
  <c r="AH17" i="185"/>
  <c r="X34" i="185"/>
  <c r="T9" i="185"/>
  <c r="AJ43" i="185"/>
  <c r="AD39" i="185"/>
  <c r="AF37" i="185"/>
  <c r="AH35" i="185"/>
  <c r="AF27" i="185"/>
  <c r="AL21" i="185"/>
  <c r="AD19" i="185"/>
  <c r="AL11" i="185"/>
  <c r="AF42" i="185"/>
  <c r="AJ37" i="185"/>
  <c r="AJ27" i="185"/>
  <c r="AF22" i="185"/>
  <c r="AJ17" i="185"/>
  <c r="AJ7" i="185"/>
  <c r="AH5" i="185"/>
  <c r="AH44" i="185"/>
  <c r="AJ42" i="185"/>
  <c r="AL40" i="185"/>
  <c r="AD38" i="185"/>
  <c r="AF36" i="185"/>
  <c r="AH34" i="185"/>
  <c r="AJ32" i="185"/>
  <c r="AL30" i="185"/>
  <c r="AD28" i="185"/>
  <c r="AF26" i="185"/>
  <c r="AH24" i="185"/>
  <c r="AJ22" i="185"/>
  <c r="AL20" i="185"/>
  <c r="AD18" i="185"/>
  <c r="AF16" i="185"/>
  <c r="AH14" i="185"/>
  <c r="AJ12" i="185"/>
  <c r="AL10" i="185"/>
  <c r="AD8" i="185"/>
  <c r="AF6" i="185"/>
  <c r="R39" i="185"/>
  <c r="U34" i="185"/>
  <c r="X29" i="185"/>
  <c r="X24" i="185"/>
  <c r="U19" i="185"/>
  <c r="U14" i="185"/>
  <c r="Q9" i="185"/>
  <c r="V17" i="185"/>
  <c r="X13" i="185"/>
  <c r="S7" i="185"/>
  <c r="R33" i="185"/>
  <c r="S33" i="185"/>
  <c r="T33" i="185"/>
  <c r="W18" i="185"/>
  <c r="X18" i="185"/>
  <c r="Y18" i="185"/>
  <c r="Q43" i="185"/>
  <c r="V43" i="185"/>
  <c r="AA38" i="185"/>
  <c r="Q28" i="185"/>
  <c r="AA23" i="185"/>
  <c r="Y22" i="185"/>
  <c r="AA18" i="185"/>
  <c r="V12" i="185"/>
  <c r="U8" i="185"/>
  <c r="U43" i="185"/>
  <c r="R42" i="185"/>
  <c r="Q41" i="185"/>
  <c r="Z38" i="185"/>
  <c r="W37" i="185"/>
  <c r="V36" i="185"/>
  <c r="X31" i="185"/>
  <c r="AA27" i="185"/>
  <c r="V26" i="185"/>
  <c r="Z23" i="185"/>
  <c r="X22" i="185"/>
  <c r="S21" i="185"/>
  <c r="Z18" i="185"/>
  <c r="U17" i="185"/>
  <c r="S16" i="185"/>
  <c r="W13" i="185"/>
  <c r="R12" i="185"/>
  <c r="T8" i="185"/>
  <c r="R7" i="185"/>
  <c r="T43" i="185"/>
  <c r="AA33" i="185"/>
  <c r="Y23" i="185"/>
  <c r="V18" i="185"/>
  <c r="V13" i="185"/>
  <c r="W38" i="185"/>
  <c r="X38" i="185"/>
  <c r="W8" i="185"/>
  <c r="X8" i="185"/>
  <c r="Y8" i="185"/>
  <c r="Z33" i="185"/>
  <c r="AA28" i="185"/>
  <c r="X23" i="185"/>
  <c r="U18" i="185"/>
  <c r="U13" i="185"/>
  <c r="R8" i="185"/>
  <c r="V38" i="185"/>
  <c r="Y33" i="185"/>
  <c r="Z28" i="185"/>
  <c r="Q13" i="185"/>
  <c r="S32" i="185"/>
  <c r="T32" i="185"/>
  <c r="U32" i="185"/>
  <c r="X7" i="185"/>
  <c r="Y7" i="185"/>
  <c r="Z7" i="185"/>
  <c r="AH43" i="185"/>
  <c r="AL39" i="185"/>
  <c r="AD37" i="185"/>
  <c r="AF35" i="185"/>
  <c r="AH33" i="185"/>
  <c r="AJ31" i="185"/>
  <c r="AL29" i="185"/>
  <c r="AD27" i="185"/>
  <c r="AF25" i="185"/>
  <c r="AH23" i="185"/>
  <c r="AJ21" i="185"/>
  <c r="AL19" i="185"/>
  <c r="AD17" i="185"/>
  <c r="AF15" i="185"/>
  <c r="AH13" i="185"/>
  <c r="AJ11" i="185"/>
  <c r="AL9" i="185"/>
  <c r="AD7" i="185"/>
  <c r="Z42" i="185"/>
  <c r="Y41" i="185"/>
  <c r="T38" i="185"/>
  <c r="R36" i="185"/>
  <c r="X33" i="185"/>
  <c r="V32" i="185"/>
  <c r="V28" i="185"/>
  <c r="T27" i="185"/>
  <c r="V23" i="185"/>
  <c r="S18" i="185"/>
  <c r="Q17" i="185"/>
  <c r="Y11" i="185"/>
  <c r="AA7" i="185"/>
  <c r="V6" i="185"/>
  <c r="R43" i="185"/>
  <c r="S43" i="185"/>
  <c r="U38" i="185"/>
  <c r="X37" i="185"/>
  <c r="Y37" i="185"/>
  <c r="S12" i="185"/>
  <c r="T12" i="185"/>
  <c r="U12" i="185"/>
  <c r="AL38" i="185"/>
  <c r="AH32" i="185"/>
  <c r="AD26" i="185"/>
  <c r="AH22" i="185"/>
  <c r="AL18" i="185"/>
  <c r="AH12" i="185"/>
  <c r="AJ10" i="185"/>
  <c r="AL8" i="185"/>
  <c r="Z43" i="185"/>
  <c r="Y42" i="185"/>
  <c r="S38" i="185"/>
  <c r="R37" i="185"/>
  <c r="Q36" i="185"/>
  <c r="W33" i="185"/>
  <c r="R32" i="185"/>
  <c r="U28" i="185"/>
  <c r="S27" i="185"/>
  <c r="R18" i="185"/>
  <c r="X16" i="185"/>
  <c r="Z12" i="185"/>
  <c r="W7" i="185"/>
  <c r="U6" i="185"/>
  <c r="T18" i="185"/>
  <c r="S22" i="185"/>
  <c r="T22" i="185"/>
  <c r="U22" i="185"/>
  <c r="AH42" i="185"/>
  <c r="AF34" i="185"/>
  <c r="AL28" i="185"/>
  <c r="AF24" i="185"/>
  <c r="AJ20" i="185"/>
  <c r="AF14" i="185"/>
  <c r="T31" i="185"/>
  <c r="U31" i="185"/>
  <c r="V31" i="185"/>
  <c r="T21" i="185"/>
  <c r="U21" i="185"/>
  <c r="V21" i="185"/>
  <c r="AF43" i="185"/>
  <c r="AJ39" i="185"/>
  <c r="AH21" i="185"/>
  <c r="AL7" i="185"/>
  <c r="Z21" i="185"/>
  <c r="Q18" i="185"/>
  <c r="AA13" i="185"/>
  <c r="AA8" i="185"/>
  <c r="R23" i="185"/>
  <c r="S23" i="185"/>
  <c r="T23" i="185"/>
  <c r="Q8" i="185"/>
  <c r="X27" i="185"/>
  <c r="Y27" i="185"/>
  <c r="Z27" i="185"/>
  <c r="AJ30" i="185"/>
  <c r="AD16" i="185"/>
  <c r="AD6" i="185"/>
  <c r="T41" i="185"/>
  <c r="U41" i="185"/>
  <c r="Y26" i="185"/>
  <c r="Z26" i="185"/>
  <c r="Q26" i="185"/>
  <c r="AA26" i="185"/>
  <c r="T11" i="185"/>
  <c r="U11" i="185"/>
  <c r="V11" i="185"/>
  <c r="AH41" i="185"/>
  <c r="AL37" i="185"/>
  <c r="AD35" i="185"/>
  <c r="AF33" i="185"/>
  <c r="AJ29" i="185"/>
  <c r="AF23" i="185"/>
  <c r="AL17" i="185"/>
  <c r="AF13" i="185"/>
  <c r="AH11" i="185"/>
  <c r="Y43" i="185"/>
  <c r="W41" i="185"/>
  <c r="Q37" i="185"/>
  <c r="V33" i="185"/>
  <c r="Q32" i="185"/>
  <c r="T28" i="185"/>
  <c r="Q23" i="185"/>
  <c r="W16" i="185"/>
  <c r="Y12" i="185"/>
  <c r="V7" i="185"/>
  <c r="T6" i="185"/>
  <c r="X43" i="185"/>
  <c r="V41" i="185"/>
  <c r="Q38" i="185"/>
  <c r="U33" i="185"/>
  <c r="AA31" i="185"/>
  <c r="Q27" i="185"/>
  <c r="AA22" i="185"/>
  <c r="Y21" i="185"/>
  <c r="X12" i="185"/>
  <c r="S11" i="185"/>
  <c r="Z8" i="185"/>
  <c r="U7" i="185"/>
  <c r="W28" i="185"/>
  <c r="X28" i="185"/>
  <c r="Y28" i="185"/>
  <c r="R13" i="185"/>
  <c r="S13" i="185"/>
  <c r="T13" i="185"/>
  <c r="W23" i="185"/>
  <c r="S42" i="185"/>
  <c r="T42" i="185"/>
  <c r="X17" i="185"/>
  <c r="Y17" i="185"/>
  <c r="Z17" i="185"/>
  <c r="AJ41" i="185"/>
  <c r="AF44" i="185"/>
  <c r="AJ40" i="185"/>
  <c r="AD36" i="185"/>
  <c r="Y36" i="185"/>
  <c r="Z36" i="185"/>
  <c r="Y16" i="185"/>
  <c r="Z16" i="185"/>
  <c r="Q16" i="185"/>
  <c r="AA16" i="185"/>
  <c r="Y6" i="185"/>
  <c r="Z6" i="185"/>
  <c r="Q6" i="185"/>
  <c r="AA6" i="185"/>
  <c r="AH31" i="185"/>
  <c r="AL27" i="185"/>
  <c r="AD25" i="185"/>
  <c r="AJ19" i="185"/>
  <c r="AD15" i="185"/>
  <c r="AJ9" i="185"/>
  <c r="X42" i="185"/>
  <c r="R38" i="185"/>
  <c r="W11" i="185"/>
  <c r="U40" i="185"/>
  <c r="V40" i="185"/>
  <c r="Z35" i="185"/>
  <c r="Q35" i="185"/>
  <c r="AA35" i="185"/>
  <c r="R35" i="185"/>
  <c r="U30" i="185"/>
  <c r="W30" i="185"/>
  <c r="V30" i="185"/>
  <c r="Z25" i="185"/>
  <c r="Q25" i="185"/>
  <c r="AA25" i="185"/>
  <c r="R25" i="185"/>
  <c r="U20" i="185"/>
  <c r="V20" i="185"/>
  <c r="W20" i="185"/>
  <c r="Z15" i="185"/>
  <c r="Q15" i="185"/>
  <c r="AA15" i="185"/>
  <c r="R15" i="185"/>
  <c r="U10" i="185"/>
  <c r="V10" i="185"/>
  <c r="W10" i="185"/>
  <c r="AA5" i="185"/>
  <c r="R5" i="185"/>
  <c r="Z5" i="185"/>
  <c r="W43" i="185"/>
  <c r="V42" i="185"/>
  <c r="S41" i="185"/>
  <c r="R40" i="185"/>
  <c r="AA37" i="185"/>
  <c r="X36" i="185"/>
  <c r="W35" i="185"/>
  <c r="Q33" i="185"/>
  <c r="Z31" i="185"/>
  <c r="X30" i="185"/>
  <c r="R28" i="185"/>
  <c r="X26" i="185"/>
  <c r="V25" i="185"/>
  <c r="Z22" i="185"/>
  <c r="X21" i="185"/>
  <c r="S20" i="185"/>
  <c r="W17" i="185"/>
  <c r="U16" i="185"/>
  <c r="S15" i="185"/>
  <c r="Y13" i="185"/>
  <c r="W12" i="185"/>
  <c r="R11" i="185"/>
  <c r="V8" i="185"/>
  <c r="T7" i="185"/>
  <c r="R6" i="185"/>
  <c r="S24" i="185"/>
  <c r="X19" i="185"/>
  <c r="S14" i="185"/>
  <c r="X9" i="185"/>
  <c r="R44" i="185"/>
  <c r="W39" i="185"/>
  <c r="R34" i="185"/>
  <c r="W29" i="185"/>
  <c r="R24" i="185"/>
  <c r="W19" i="185"/>
  <c r="R14" i="185"/>
  <c r="W9" i="185"/>
  <c r="AA44" i="185"/>
  <c r="AA34" i="185"/>
  <c r="AA24" i="185"/>
  <c r="AA14" i="185"/>
  <c r="BJ19" i="182"/>
  <c r="BJ38" i="182"/>
  <c r="BJ41" i="182"/>
  <c r="BJ29" i="182"/>
  <c r="BJ12" i="182"/>
  <c r="BJ32" i="182"/>
  <c r="BK29" i="182" l="1"/>
  <c r="BK41" i="182"/>
  <c r="BK38" i="182"/>
  <c r="BK19" i="182"/>
  <c r="BK12" i="182"/>
  <c r="BK32" i="182"/>
  <c r="AZ45" i="185" l="1"/>
  <c r="BN45" i="185"/>
  <c r="BM48" i="182" s="1"/>
  <c r="BN34" i="185"/>
  <c r="BM37" i="182" s="1"/>
  <c r="AZ34" i="185"/>
  <c r="BN19" i="185"/>
  <c r="BM22" i="182" s="1"/>
  <c r="AZ29" i="185"/>
  <c r="BN20" i="185"/>
  <c r="BM23" i="182" s="1"/>
  <c r="AZ38" i="185"/>
  <c r="BN38" i="185"/>
  <c r="BM41" i="182" s="1"/>
  <c r="AZ19" i="185"/>
  <c r="BN31" i="185"/>
  <c r="BM34" i="182" s="1"/>
  <c r="AZ31" i="185"/>
  <c r="AZ20" i="185"/>
  <c r="BN29" i="185"/>
  <c r="BM32" i="182" s="1"/>
  <c r="BN9" i="185"/>
  <c r="BM12" i="182" s="1"/>
  <c r="AZ7" i="185"/>
  <c r="BN7" i="185"/>
  <c r="BM10" i="182" s="1"/>
  <c r="AZ27" i="185"/>
  <c r="BN27" i="185"/>
  <c r="BM30" i="182" s="1"/>
  <c r="AZ43" i="185"/>
  <c r="BN12" i="185"/>
  <c r="BM15" i="182" s="1"/>
  <c r="BN40" i="185"/>
  <c r="BM43" i="182" s="1"/>
  <c r="BN22" i="185"/>
  <c r="BM25" i="182" s="1"/>
  <c r="AZ22" i="185"/>
  <c r="BN21" i="185"/>
  <c r="BM24" i="182" s="1"/>
  <c r="AZ23" i="185"/>
  <c r="AZ30" i="185" l="1"/>
  <c r="BL33" i="182" s="1"/>
  <c r="BP20" i="185"/>
  <c r="BR20" i="185" s="1"/>
  <c r="BL23" i="182"/>
  <c r="BP31" i="185"/>
  <c r="BR31" i="185" s="1"/>
  <c r="BL34" i="182"/>
  <c r="BP29" i="185"/>
  <c r="BR29" i="185" s="1"/>
  <c r="BL32" i="182"/>
  <c r="BL26" i="182"/>
  <c r="BP27" i="185"/>
  <c r="BR27" i="185" s="1"/>
  <c r="BL30" i="182"/>
  <c r="BL25" i="182"/>
  <c r="BP22" i="185"/>
  <c r="BR22" i="185" s="1"/>
  <c r="BL37" i="182"/>
  <c r="BP34" i="185"/>
  <c r="BR34" i="185" s="1"/>
  <c r="AZ39" i="185"/>
  <c r="BN39" i="185"/>
  <c r="BM42" i="182" s="1"/>
  <c r="BP19" i="185"/>
  <c r="BR19" i="185" s="1"/>
  <c r="BL22" i="182"/>
  <c r="BP7" i="185"/>
  <c r="BR7" i="185" s="1"/>
  <c r="BL10" i="182"/>
  <c r="BL46" i="182"/>
  <c r="BN43" i="185"/>
  <c r="BM46" i="182" s="1"/>
  <c r="BP38" i="185"/>
  <c r="BR38" i="185" s="1"/>
  <c r="BL41" i="182"/>
  <c r="BL48" i="182"/>
  <c r="BP45" i="185"/>
  <c r="BR45" i="185" s="1"/>
  <c r="AZ12" i="185"/>
  <c r="BN30" i="185"/>
  <c r="BM33" i="182" s="1"/>
  <c r="BN17" i="185"/>
  <c r="BM20" i="182" s="1"/>
  <c r="AZ33" i="185"/>
  <c r="AZ41" i="185"/>
  <c r="AZ9" i="185"/>
  <c r="AZ16" i="185"/>
  <c r="BN33" i="185"/>
  <c r="BM36" i="182" s="1"/>
  <c r="BN11" i="185"/>
  <c r="BM14" i="182" s="1"/>
  <c r="BN14" i="185"/>
  <c r="BM17" i="182" s="1"/>
  <c r="AZ40" i="185"/>
  <c r="BN36" i="185"/>
  <c r="BM39" i="182" s="1"/>
  <c r="AZ26" i="185"/>
  <c r="BN18" i="185"/>
  <c r="BM21" i="182" s="1"/>
  <c r="BN13" i="185"/>
  <c r="BM16" i="182" s="1"/>
  <c r="AZ37" i="185"/>
  <c r="BN37" i="185"/>
  <c r="BM40" i="182" s="1"/>
  <c r="BN23" i="185"/>
  <c r="BM26" i="182" s="1"/>
  <c r="AZ13" i="185"/>
  <c r="BN8" i="185"/>
  <c r="BM11" i="182" s="1"/>
  <c r="AZ25" i="185"/>
  <c r="AZ44" i="185"/>
  <c r="AZ18" i="185"/>
  <c r="BN6" i="185"/>
  <c r="BM9" i="182" s="1"/>
  <c r="BN41" i="185"/>
  <c r="BM44" i="182" s="1"/>
  <c r="AZ8" i="185"/>
  <c r="BN25" i="185"/>
  <c r="BM28" i="182" s="1"/>
  <c r="BN44" i="185"/>
  <c r="BM47" i="182" s="1"/>
  <c r="BN24" i="185"/>
  <c r="BM27" i="182" s="1"/>
  <c r="AZ24" i="185"/>
  <c r="BN28" i="185"/>
  <c r="BM31" i="182" s="1"/>
  <c r="AZ17" i="185"/>
  <c r="AZ11" i="185"/>
  <c r="AZ21" i="185"/>
  <c r="BN35" i="185"/>
  <c r="BM38" i="182" s="1"/>
  <c r="BN16" i="185"/>
  <c r="BM19" i="182" s="1"/>
  <c r="AZ35" i="185"/>
  <c r="AZ36" i="185"/>
  <c r="BN26" i="185"/>
  <c r="BM29" i="182" s="1"/>
  <c r="AZ14" i="185"/>
  <c r="BN5" i="185"/>
  <c r="BM8" i="182" s="1"/>
  <c r="AZ32" i="185"/>
  <c r="BN32" i="185"/>
  <c r="BM35" i="182" s="1"/>
  <c r="BN10" i="185"/>
  <c r="BM13" i="182" s="1"/>
  <c r="AZ42" i="185"/>
  <c r="BN42" i="185"/>
  <c r="BM45" i="182" s="1"/>
  <c r="BN15" i="185"/>
  <c r="BM18" i="182" s="1"/>
  <c r="AZ10" i="185"/>
  <c r="AZ15" i="185"/>
  <c r="AZ28" i="185"/>
  <c r="AZ6" i="185"/>
  <c r="AZ5" i="185"/>
  <c r="BK48" i="182"/>
  <c r="BJ48" i="182"/>
  <c r="A48" i="182"/>
  <c r="BK47" i="182"/>
  <c r="BJ47" i="182"/>
  <c r="A47" i="182"/>
  <c r="BK46" i="182"/>
  <c r="BJ46" i="182"/>
  <c r="A46" i="182"/>
  <c r="BK45" i="182"/>
  <c r="BJ45" i="182"/>
  <c r="A45" i="182"/>
  <c r="BK44" i="182"/>
  <c r="BJ44" i="182"/>
  <c r="A44" i="182"/>
  <c r="BK43" i="182"/>
  <c r="BJ43" i="182"/>
  <c r="A43" i="182"/>
  <c r="BK42" i="182"/>
  <c r="BJ42" i="182"/>
  <c r="A42" i="182"/>
  <c r="A41" i="182"/>
  <c r="BK40" i="182"/>
  <c r="BJ40" i="182"/>
  <c r="A40" i="182"/>
  <c r="BK39" i="182"/>
  <c r="BJ39" i="182"/>
  <c r="A39" i="182"/>
  <c r="A38" i="182"/>
  <c r="BK37" i="182"/>
  <c r="BH37" i="182"/>
  <c r="BJ37" i="182"/>
  <c r="A37" i="182"/>
  <c r="A36" i="182"/>
  <c r="A35" i="182"/>
  <c r="BK34" i="182"/>
  <c r="BJ34" i="182"/>
  <c r="A34" i="182"/>
  <c r="BK33" i="182"/>
  <c r="BJ33" i="182"/>
  <c r="A33" i="182"/>
  <c r="A32" i="182"/>
  <c r="BK31" i="182"/>
  <c r="BJ31" i="182"/>
  <c r="A31" i="182"/>
  <c r="BK30" i="182"/>
  <c r="BJ30" i="182"/>
  <c r="A30" i="182"/>
  <c r="A29" i="182"/>
  <c r="A28" i="182"/>
  <c r="BK27" i="182"/>
  <c r="BJ27" i="182"/>
  <c r="A27" i="182"/>
  <c r="BK26" i="182"/>
  <c r="BJ26" i="182"/>
  <c r="A26" i="182"/>
  <c r="BK25" i="182"/>
  <c r="BJ25" i="182"/>
  <c r="A25" i="182"/>
  <c r="BK24" i="182"/>
  <c r="BJ24" i="182"/>
  <c r="A24" i="182"/>
  <c r="BK23" i="182"/>
  <c r="BJ23" i="182"/>
  <c r="A23" i="182"/>
  <c r="A22" i="182"/>
  <c r="BK21" i="182"/>
  <c r="BJ21" i="182"/>
  <c r="A21" i="182"/>
  <c r="BK20" i="182"/>
  <c r="BJ20" i="182"/>
  <c r="A20" i="182"/>
  <c r="A19" i="182"/>
  <c r="BK18" i="182"/>
  <c r="BJ18" i="182"/>
  <c r="A18" i="182"/>
  <c r="BK17" i="182"/>
  <c r="BJ17" i="182"/>
  <c r="A17" i="182"/>
  <c r="BK16" i="182"/>
  <c r="BJ16" i="182"/>
  <c r="A16" i="182"/>
  <c r="BK15" i="182"/>
  <c r="BJ15" i="182"/>
  <c r="A15" i="182"/>
  <c r="BK14" i="182"/>
  <c r="BJ14" i="182"/>
  <c r="A14" i="182"/>
  <c r="BK13" i="182"/>
  <c r="BJ13" i="182"/>
  <c r="A13" i="182"/>
  <c r="A12" i="182"/>
  <c r="BK11" i="182"/>
  <c r="BJ11" i="182"/>
  <c r="A11" i="182"/>
  <c r="A10" i="182"/>
  <c r="A9" i="182"/>
  <c r="BK8" i="182"/>
  <c r="BJ8" i="182"/>
  <c r="BH8" i="182"/>
  <c r="A8" i="182"/>
  <c r="F4" i="182"/>
  <c r="F6" i="182" s="1"/>
  <c r="BP30" i="185" l="1"/>
  <c r="BR30" i="185" s="1"/>
  <c r="BL28" i="182"/>
  <c r="BP25" i="185"/>
  <c r="BR25" i="185" s="1"/>
  <c r="BP40" i="185"/>
  <c r="BR40" i="185" s="1"/>
  <c r="BL43" i="182"/>
  <c r="BP12" i="185"/>
  <c r="BR12" i="185" s="1"/>
  <c r="BL15" i="182"/>
  <c r="BL27" i="182"/>
  <c r="BT27" i="182" s="1"/>
  <c r="BP24" i="185"/>
  <c r="BR24" i="185" s="1"/>
  <c r="BP13" i="185"/>
  <c r="BR13" i="185" s="1"/>
  <c r="BL16" i="182"/>
  <c r="BL17" i="182"/>
  <c r="BP14" i="185"/>
  <c r="BR14" i="185" s="1"/>
  <c r="BL18" i="182"/>
  <c r="BP15" i="185"/>
  <c r="BR15" i="185" s="1"/>
  <c r="BL13" i="182"/>
  <c r="BP10" i="185"/>
  <c r="BR10" i="185" s="1"/>
  <c r="BP36" i="185"/>
  <c r="BR36" i="185" s="1"/>
  <c r="BL39" i="182"/>
  <c r="BT41" i="182"/>
  <c r="BP23" i="185"/>
  <c r="BR23" i="185" s="1"/>
  <c r="BR6" i="185"/>
  <c r="BL9" i="182"/>
  <c r="BT9" i="182" s="1"/>
  <c r="BP28" i="185"/>
  <c r="BR28" i="185" s="1"/>
  <c r="BL31" i="182"/>
  <c r="BT31" i="182" s="1"/>
  <c r="BL38" i="182"/>
  <c r="BP35" i="185"/>
  <c r="BR35" i="185" s="1"/>
  <c r="BP8" i="185"/>
  <c r="BR8" i="185" s="1"/>
  <c r="BL11" i="182"/>
  <c r="BT11" i="182" s="1"/>
  <c r="BP37" i="185"/>
  <c r="BR37" i="185" s="1"/>
  <c r="BL40" i="182"/>
  <c r="BL12" i="182"/>
  <c r="BP9" i="185"/>
  <c r="BR9" i="185" s="1"/>
  <c r="BP39" i="185"/>
  <c r="BR39" i="185" s="1"/>
  <c r="BL42" i="182"/>
  <c r="BP41" i="185"/>
  <c r="BR41" i="185" s="1"/>
  <c r="BL44" i="182"/>
  <c r="BP16" i="185"/>
  <c r="BR16" i="185" s="1"/>
  <c r="BL19" i="182"/>
  <c r="BP42" i="185"/>
  <c r="BR42" i="185" s="1"/>
  <c r="BL45" i="182"/>
  <c r="BP26" i="185"/>
  <c r="BR26" i="185" s="1"/>
  <c r="BL29" i="182"/>
  <c r="BT10" i="182"/>
  <c r="BP21" i="185"/>
  <c r="BR21" i="185" s="1"/>
  <c r="BL24" i="182"/>
  <c r="BP33" i="185"/>
  <c r="BR33" i="185" s="1"/>
  <c r="BL36" i="182"/>
  <c r="BP43" i="185"/>
  <c r="BR43" i="185" s="1"/>
  <c r="BL14" i="182"/>
  <c r="BP11" i="185"/>
  <c r="BR11" i="185" s="1"/>
  <c r="BP18" i="185"/>
  <c r="BR18" i="185" s="1"/>
  <c r="BL21" i="182"/>
  <c r="BT21" i="182" s="1"/>
  <c r="BT8" i="182"/>
  <c r="BP5" i="185"/>
  <c r="BR5" i="185" s="1"/>
  <c r="BP32" i="185"/>
  <c r="BR32" i="185" s="1"/>
  <c r="BL35" i="182"/>
  <c r="BT35" i="182" s="1"/>
  <c r="BP17" i="185"/>
  <c r="BR17" i="185" s="1"/>
  <c r="BL20" i="182"/>
  <c r="BL47" i="182"/>
  <c r="BP44" i="185"/>
  <c r="BR44" i="185" s="1"/>
  <c r="BT14" i="182"/>
  <c r="BT26" i="182"/>
  <c r="G3" i="182"/>
  <c r="G4" i="182" s="1"/>
  <c r="H3" i="182" s="1"/>
  <c r="H4" i="182" s="1"/>
  <c r="I3" i="182" s="1"/>
  <c r="BT22" i="182"/>
  <c r="BT43" i="182"/>
  <c r="BT30" i="182"/>
  <c r="BT17" i="182"/>
  <c r="BT33" i="182"/>
  <c r="BT46" i="182"/>
  <c r="BT34" i="182"/>
  <c r="BT47" i="182"/>
  <c r="BT28" i="182"/>
  <c r="BT48" i="182"/>
  <c r="BT25" i="182"/>
  <c r="BT37" i="182"/>
  <c r="BT40" i="182"/>
  <c r="BT45" i="182"/>
  <c r="BT23" i="182"/>
  <c r="BT20" i="182" l="1"/>
  <c r="G6" i="182"/>
  <c r="BT39" i="182"/>
  <c r="BT15" i="182"/>
  <c r="BT36" i="182"/>
  <c r="BT42" i="182"/>
  <c r="BT18" i="182"/>
  <c r="BT29" i="182"/>
  <c r="BT24" i="182"/>
  <c r="BT19" i="182"/>
  <c r="BT16" i="182"/>
  <c r="BT13" i="182"/>
  <c r="BT44" i="182"/>
  <c r="BT12" i="182"/>
  <c r="BT38" i="182"/>
  <c r="H6" i="182"/>
  <c r="I4" i="182"/>
  <c r="J3" i="182" s="1"/>
  <c r="J4" i="182" l="1"/>
  <c r="K3" i="182" s="1"/>
  <c r="I6" i="182"/>
  <c r="K4" i="182" l="1"/>
  <c r="L3" i="182" s="1"/>
  <c r="J6" i="182"/>
  <c r="L4" i="182" l="1"/>
  <c r="M3" i="182" s="1"/>
  <c r="K6" i="182"/>
  <c r="M4" i="182" l="1"/>
  <c r="N3" i="182" s="1"/>
  <c r="L6" i="182"/>
  <c r="M6" i="182" l="1"/>
  <c r="N4" i="182"/>
  <c r="O3" i="182" s="1"/>
  <c r="N6" i="182" l="1"/>
  <c r="O4" i="182"/>
  <c r="P3" i="182" s="1"/>
  <c r="O6" i="182" l="1"/>
  <c r="P4" i="182"/>
  <c r="Q3" i="182" s="1"/>
  <c r="Q4" i="182" l="1"/>
  <c r="R3" i="182" s="1"/>
  <c r="P6" i="182"/>
  <c r="R4" i="182" l="1"/>
  <c r="S3" i="182" s="1"/>
  <c r="Q6" i="182"/>
  <c r="R6" i="182" l="1"/>
  <c r="S4" i="182"/>
  <c r="T3" i="182" s="1"/>
  <c r="T4" i="182" l="1"/>
  <c r="U3" i="182" s="1"/>
  <c r="S6" i="182"/>
  <c r="T6" i="182" l="1"/>
  <c r="U4" i="182"/>
  <c r="V3" i="182" s="1"/>
  <c r="U6" i="182"/>
  <c r="V4" i="182" l="1"/>
  <c r="W3" i="182" s="1"/>
  <c r="V6" i="182" l="1"/>
  <c r="W4" i="182"/>
  <c r="X3" i="182" s="1"/>
  <c r="W6" i="182" l="1"/>
  <c r="X4" i="182"/>
  <c r="Y3" i="182" s="1"/>
  <c r="X6" i="182" l="1"/>
  <c r="Y4" i="182"/>
  <c r="Z3" i="182" s="1"/>
  <c r="Y6" i="182"/>
  <c r="Z4" i="182" l="1"/>
  <c r="AA3" i="182" s="1"/>
  <c r="AA4" i="182" l="1"/>
  <c r="AB3" i="182" s="1"/>
  <c r="Z6" i="182"/>
  <c r="AB4" i="182" l="1"/>
  <c r="AC3" i="182" s="1"/>
  <c r="AA6" i="182"/>
  <c r="AB6" i="182" l="1"/>
  <c r="AC4" i="182"/>
  <c r="AD3" i="182" s="1"/>
  <c r="AD4" i="182" l="1"/>
  <c r="AE3" i="182" s="1"/>
  <c r="AC6" i="182"/>
  <c r="AE4" i="182" l="1"/>
  <c r="AF3" i="182" s="1"/>
  <c r="AD6" i="182"/>
  <c r="AF4" i="182" l="1"/>
  <c r="AG3" i="182" s="1"/>
  <c r="AE6" i="182"/>
  <c r="AG4" i="182" l="1"/>
  <c r="AH3" i="182" s="1"/>
  <c r="AF6" i="182"/>
  <c r="AG6" i="182" l="1"/>
  <c r="AH4" i="182"/>
  <c r="AI3" i="182" s="1"/>
  <c r="AI4" i="182" l="1"/>
  <c r="AJ3" i="182" s="1"/>
  <c r="AH6" i="182"/>
  <c r="AI6" i="182" l="1"/>
  <c r="AJ4" i="182"/>
  <c r="AK3" i="182" s="1"/>
  <c r="AJ6" i="182"/>
  <c r="AK4" i="182" l="1"/>
  <c r="AL3" i="182" s="1"/>
  <c r="AK6" i="182" l="1"/>
  <c r="AL4" i="182"/>
  <c r="AM3" i="182" s="1"/>
  <c r="AL6" i="182" l="1"/>
  <c r="AM4" i="182"/>
  <c r="AN3" i="182" s="1"/>
  <c r="AM6" i="182"/>
  <c r="AN4" i="182" l="1"/>
  <c r="AO3" i="182" s="1"/>
  <c r="AO4" i="182" l="1"/>
  <c r="AP3" i="182" s="1"/>
  <c r="AN6" i="182"/>
  <c r="AP4" i="182" l="1"/>
  <c r="AQ3" i="182" s="1"/>
  <c r="AO6" i="182"/>
  <c r="AP6" i="182" l="1"/>
  <c r="AQ4" i="182"/>
  <c r="AR3" i="182" s="1"/>
  <c r="AR4" i="182" l="1"/>
  <c r="AS3" i="182" s="1"/>
  <c r="AQ6" i="182"/>
  <c r="AR6" i="182" l="1"/>
  <c r="AS4" i="182"/>
  <c r="AT3" i="182" s="1"/>
  <c r="AS6" i="182" l="1"/>
  <c r="AT4" i="182"/>
  <c r="AU3" i="182" s="1"/>
  <c r="AU4" i="182" l="1"/>
  <c r="AV3" i="182" s="1"/>
  <c r="AT6" i="182"/>
  <c r="AV4" i="182" l="1"/>
  <c r="AW3" i="182" s="1"/>
  <c r="AU6" i="182"/>
  <c r="AV6" i="182" l="1"/>
  <c r="AW4" i="182"/>
  <c r="AX3" i="182" s="1"/>
  <c r="AW6" i="182" l="1"/>
  <c r="AX4" i="182"/>
  <c r="AY3" i="182" s="1"/>
  <c r="AX6" i="182" l="1"/>
  <c r="AY4" i="182"/>
  <c r="AZ3" i="182" s="1"/>
  <c r="AY6" i="182" l="1"/>
  <c r="AZ4" i="182"/>
  <c r="BA3" i="182" s="1"/>
  <c r="AZ6" i="182" l="1"/>
  <c r="BA4" i="182"/>
  <c r="BB3" i="182" s="1"/>
  <c r="BB4" i="182" l="1"/>
  <c r="BC3" i="182" s="1"/>
  <c r="BA6" i="182"/>
  <c r="BB6" i="182" l="1"/>
  <c r="BC4" i="182"/>
  <c r="BD3" i="182" s="1"/>
  <c r="BC6" i="182" l="1"/>
  <c r="BD4" i="182"/>
  <c r="BE3" i="182" s="1"/>
  <c r="BE4" i="182" s="1"/>
  <c r="BF3" i="182" s="1"/>
  <c r="BF4" i="182" l="1"/>
  <c r="BF6" i="182" s="1"/>
  <c r="BD6" i="1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Charlotte Badin</author>
  </authors>
  <commentList>
    <comment ref="AE45" authorId="0" shapeId="0" xr:uid="{1A71AA50-F857-401C-92B8-85E7C16FCE18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arrêt maladie
</t>
        </r>
      </text>
    </comment>
    <comment ref="AF45" authorId="0" shapeId="0" xr:uid="{C270AAD8-57BE-411D-904C-E4A90B7CCA37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arrêt maladie</t>
        </r>
      </text>
    </comment>
    <comment ref="AI45" authorId="0" shapeId="0" xr:uid="{65F7B85E-EA18-494C-BECB-C213D14A86C6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AM</t>
        </r>
      </text>
    </comment>
    <comment ref="AJ45" authorId="0" shapeId="0" xr:uid="{7DE91DCA-2A83-4F4B-9E3A-6B537611A65B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AM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<sst xmlns="http://schemas.openxmlformats.org/spreadsheetml/2006/main" count="247" uniqueCount="153">
  <si>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</si>
  <si>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</si>
  <si>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</si>
  <si>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</si>
  <si>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</si>
  <si>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</si>
  <si>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</si>
  <si>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</si>
  <si>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</si>
  <si>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</si>
  <si>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</si>
  <si>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S16</t>
  </si>
  <si>
    <t>S25</t>
  </si>
  <si>
    <t>S26</t>
  </si>
  <si>
    <t>S27</t>
  </si>
  <si>
    <t>S30</t>
  </si>
  <si>
    <t>S31</t>
  </si>
  <si>
    <t>S32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</si>
  <si>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</si>
  <si>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</si>
  <si>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</si>
  <si>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</si>
  <si>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</si>
  <si>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</si>
  <si>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</si>
  <si>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</si>
  <si>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</si>
  <si>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</si>
  <si>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S47</t>
  </si>
  <si>
    <t>S48</t>
  </si>
  <si>
    <t>S49</t>
  </si>
  <si>
    <t>S50</t>
  </si>
  <si>
    <t>S51</t>
  </si>
  <si>
    <t>LECAPITAINE Angélique</t>
  </si>
  <si>
    <t>S14</t>
  </si>
  <si>
    <t>RECCHIA Laetitia</t>
  </si>
  <si>
    <t>S29</t>
  </si>
  <si>
    <t>ROBERT Cécile</t>
  </si>
  <si>
    <t>S1</t>
  </si>
  <si>
    <t>S45</t>
  </si>
  <si>
    <t>BONNERUE Sandrine</t>
  </si>
  <si>
    <t>COCHET Mélina</t>
  </si>
  <si>
    <t>TORRES Corinne</t>
  </si>
  <si>
    <t>BOUILLET Dominique</t>
  </si>
  <si>
    <t>CORTOT Catherine</t>
  </si>
  <si>
    <t>EL BOUKABOUTI Mamouch</t>
  </si>
  <si>
    <t>FENILLE Victoria</t>
  </si>
  <si>
    <t>GOYON Marie Christine</t>
  </si>
  <si>
    <t>TAMAIN Aline</t>
  </si>
  <si>
    <t>Ceci que les autres jours travaillés soient en Journée 40h ou en Equipe 37h</t>
  </si>
  <si>
    <t>GARCIA Béatrice</t>
  </si>
  <si>
    <t>S28</t>
  </si>
  <si>
    <t>S44</t>
  </si>
  <si>
    <t xml:space="preserve">Modification possible sous 4 semaines maximum.  </t>
  </si>
  <si>
    <t>BUFFY Stéphanie</t>
  </si>
  <si>
    <t>S13</t>
  </si>
  <si>
    <t>S15</t>
  </si>
  <si>
    <t>S17</t>
  </si>
  <si>
    <t>S18</t>
  </si>
  <si>
    <t>S19</t>
  </si>
  <si>
    <t>S20</t>
  </si>
  <si>
    <t>S21</t>
  </si>
  <si>
    <t>S22</t>
  </si>
  <si>
    <t>S23</t>
  </si>
  <si>
    <t>S24</t>
  </si>
  <si>
    <t>S33</t>
  </si>
  <si>
    <t>S46</t>
  </si>
  <si>
    <t>S52</t>
  </si>
  <si>
    <t>OUDAN Manon</t>
  </si>
  <si>
    <t>REMY Ancélia</t>
  </si>
  <si>
    <t>REVERCHON Margarida</t>
  </si>
  <si>
    <t>WALCH Vanessa </t>
  </si>
  <si>
    <t>ZEGHIDI Amel</t>
  </si>
  <si>
    <t>ROSSELLO Yasmina</t>
  </si>
  <si>
    <t>BUISSON Cassandra</t>
  </si>
  <si>
    <t>REVERDY Mattéo</t>
  </si>
  <si>
    <t xml:space="preserve">CANU Jason </t>
  </si>
  <si>
    <t>MERLE Benjamin</t>
  </si>
  <si>
    <t>BOUDIER Laure</t>
  </si>
  <si>
    <t>TROUDi Abdelhamid</t>
  </si>
  <si>
    <t>PACHECO Guillaume</t>
  </si>
  <si>
    <t>Service</t>
  </si>
  <si>
    <t>Production</t>
  </si>
  <si>
    <t>Contrat Base</t>
  </si>
  <si>
    <t>VALENTI Dorian</t>
  </si>
  <si>
    <t>REGLES DE SAISIE DU FICHIER</t>
  </si>
  <si>
    <t>Renseigner le service suivant le menu déroulant prévu à cet effet</t>
  </si>
  <si>
    <t>Renseigner le temps de travail du salarié</t>
  </si>
  <si>
    <t>Renseigner les heures semaines par semaines sans tenir compte de majoration, … Renseigner le nombre d'heure au 1/4 d'heure prêt</t>
  </si>
  <si>
    <t>Renseigner le temps restant au 31/12/ de l'année N-1</t>
  </si>
  <si>
    <t>Gestion du compteur de l'année N-1</t>
  </si>
  <si>
    <t>Renseigner selon l'accord du salarié le % de ce compteur de l'année N-1 qui sera pris en congés. Le % payé sera la différence</t>
  </si>
  <si>
    <t>Le type de majoration permet de conserver la règle et pour la partie "pris en congés", de faire le calcul déjà majoré pour le résultat</t>
  </si>
  <si>
    <t>Si les congés sont prises sur le compteur de l'année N-1, il faut venir indiquer la quantité prise dans la colonne BP</t>
  </si>
  <si>
    <t>L'information est à mettre en colonne BN.</t>
  </si>
  <si>
    <t>Venir ici inscire pour chaque semaine, pour chaque service, si il s'agit de modulation (U) ou d'heures majorées (M)</t>
  </si>
  <si>
    <t>Cette décision est prise par la direction en fonction de l'accord 35h en vigueur ou de décisions ponctuelles</t>
  </si>
  <si>
    <t>Le calcul des heures sup avec ou sans majoration en fonction du choix du tableau ci-dessus semaine par semaine, service par service, est fait dans ce tableau</t>
  </si>
  <si>
    <t>NE RIEN ECRIRE EN MANUEL ICI</t>
  </si>
  <si>
    <t>RESULTAT</t>
  </si>
  <si>
    <t>SUR CE TABLEAU, LE RESULTAT DES HEURES RESTANT A ETRE PRISES POUR L'ANNEE N-1</t>
  </si>
  <si>
    <t xml:space="preserve">ET </t>
  </si>
  <si>
    <t>LE NOMBRE D'HEURE A PRENDRE POUR L'ANNEE N</t>
  </si>
  <si>
    <t>Si des heures sont payées durant l'année N, il faut les déduire dans la colonne ci-dessous (colonne BL) sans majoration</t>
  </si>
  <si>
    <t>ALVES Sylvie</t>
  </si>
  <si>
    <t>TOTAL DES HEURES APRES MAJORATION</t>
  </si>
  <si>
    <r>
      <t xml:space="preserve">NB HEURES </t>
    </r>
    <r>
      <rPr>
        <sz val="12"/>
        <rFont val="Calibri"/>
        <family val="2"/>
      </rPr>
      <t>À</t>
    </r>
    <r>
      <rPr>
        <sz val="12"/>
        <rFont val="Arial"/>
        <family val="2"/>
      </rPr>
      <t xml:space="preserve"> NE PAS MAJORER</t>
    </r>
  </si>
  <si>
    <t>NB HEURES À MAJORER À 1,5</t>
  </si>
  <si>
    <t>NB HEURES À MAJORER À 1,25</t>
  </si>
  <si>
    <t>NB DE SEMAINES HAUTES</t>
  </si>
  <si>
    <t>Production CE</t>
  </si>
  <si>
    <r>
      <t xml:space="preserve">Règle identique pour paiement et récupération : de la 36ème heure à la 42ème heure incluse → majoration de 1.25; à partir de la 43ème heure </t>
    </r>
    <r>
      <rPr>
        <sz val="12"/>
        <rFont val="Calibri"/>
        <family val="2"/>
      </rPr>
      <t>→</t>
    </r>
    <r>
      <rPr>
        <sz val="12"/>
        <rFont val="Arial"/>
        <family val="2"/>
      </rPr>
      <t xml:space="preserve"> majoration de 1.5</t>
    </r>
  </si>
  <si>
    <t>NB HEURES RESTANT À RECUPERER (MAJORATION PRISE EN COMPTE)</t>
  </si>
  <si>
    <t>NB HEURES RECUPEREES SUR COMPTEUR DE 2024</t>
  </si>
  <si>
    <t>TOTAL 2023 + 2024</t>
  </si>
  <si>
    <t>NB HEURES RESTANT À RECUPERER POUR 2023 + 2024 (MAJO PRISE EN COMPTE)</t>
  </si>
  <si>
    <t>DUCERF Norbert</t>
  </si>
  <si>
    <t>Logistique</t>
  </si>
  <si>
    <t>COLLINS Tom</t>
  </si>
  <si>
    <t>FANGUIN Nadine</t>
  </si>
  <si>
    <t>LION Sylvie</t>
  </si>
  <si>
    <t>MARZOUGUI Sabri</t>
  </si>
  <si>
    <t>NB HEURES PAYEES (MAJORATION PRISE EN COMPTE)</t>
  </si>
  <si>
    <t>Document affiché chaque semaine au tableau d’affichage.</t>
  </si>
  <si>
    <t>BOLLET DURAFOUR Bérangère</t>
  </si>
  <si>
    <t>comparaison avec Feuille du détail</t>
  </si>
  <si>
    <t>NB HEURE SUP TOTAL ANNUEL</t>
  </si>
  <si>
    <t>NE PAS DEPASSER 220 H PAR AN
DÉJÀ INCLUS DANS LE CALCUL : les 94H 
NE PAS IMPRIMER CETTE COLONNE</t>
  </si>
  <si>
    <t>PENINGUY Grégory</t>
  </si>
  <si>
    <t>LEMOINE Anthony</t>
  </si>
  <si>
    <t>PAIN Mélanie</t>
  </si>
  <si>
    <r>
      <t xml:space="preserve">Règle pour la modulation en cas de formation : 
</t>
    </r>
    <r>
      <rPr>
        <b/>
        <sz val="16"/>
        <rFont val="Arial"/>
        <family val="2"/>
      </rPr>
      <t>Compter une journée type de travail</t>
    </r>
  </si>
  <si>
    <t>BALLOT Lucas</t>
  </si>
  <si>
    <t>EVENTOVA Natalya</t>
  </si>
  <si>
    <t>Du LUNDI au JEUDI --&gt; 8,25h de Modulation</t>
  </si>
  <si>
    <t>Le VENDREDI --&gt; 8h de Modulation</t>
  </si>
  <si>
    <t>MONIN Margaux</t>
  </si>
  <si>
    <t>MODULATION 2025</t>
  </si>
  <si>
    <t>COMPTEUR MODUL 2025</t>
  </si>
  <si>
    <t>Règles pour la modulation en cas d'absence si semaine 33h ou 41h:</t>
  </si>
  <si>
    <t>S126</t>
  </si>
  <si>
    <t>MAJ le 28/01/2025</t>
  </si>
  <si>
    <t>min</t>
  </si>
  <si>
    <t>max</t>
  </si>
  <si>
    <t>horaires</t>
  </si>
  <si>
    <t>Aggregat sur 2 semaines</t>
  </si>
  <si>
    <t>Majoration à 1,25</t>
  </si>
  <si>
    <t>Majoration à 1,5</t>
  </si>
  <si>
    <t>Total</t>
  </si>
  <si>
    <t>Heures faites</t>
  </si>
  <si>
    <t>Heure théorique</t>
  </si>
  <si>
    <t>Total majoré</t>
  </si>
  <si>
    <t>Déduction travail - prévu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</si>
</sst>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F_-;\-* #,##0.00\ _F_-;_-* &quot;-&quot;??\ _F_-;_-@_-"/>
    <numFmt numFmtId="165" formatCode="0.0"/>
  </numFmts>
  <fonts count="3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2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u/>
      <sz val="18"/>
      <name val="Arial"/>
      <family val="2"/>
    </font>
    <font>
      <sz val="22"/>
      <name val="Arial"/>
      <family val="2"/>
    </font>
    <font>
      <sz val="1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2"/>
      <name val="Calibri"/>
      <family val="2"/>
    </font>
    <font>
      <b/>
      <sz val="26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u/>
      <sz val="14"/>
      <name val="Arial"/>
      <family val="2"/>
    </font>
    <font>
      <sz val="11"/>
      <color theme="1"/>
      <name val="Calibri"/>
      <family val="2"/>
    </font>
    <font>
      <b/>
      <sz val="8"/>
      <color rgb="FF00B0F0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i/>
      <sz val="10"/>
      <color theme="0" tint="-0.499984740745262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E78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/>
      <top/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2" fillId="0" borderId="0"/>
    <xf numFmtId="0" fontId="6" fillId="0" borderId="0"/>
    <xf numFmtId="0" fontId="25" fillId="4" borderId="36" applyNumberFormat="0" applyFont="0" applyAlignment="0" applyProtection="0"/>
  </cellStyleXfs>
  <cellXfs count="170"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165" fontId="2" fillId="0" borderId="0" xfId="0" applyNumberFormat="1" applyFont="1" applyAlignment="1">
      <alignment wrapText="1"/>
    </xf>
    <xf numFmtId="165" fontId="0" fillId="0" borderId="0" xfId="0" applyNumberFormat="1"/>
    <xf numFmtId="0" fontId="26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165" fontId="7" fillId="0" borderId="0" xfId="0" applyNumberFormat="1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14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65" fontId="6" fillId="0" borderId="0" xfId="0" applyNumberFormat="1" applyFont="1" applyAlignment="1">
      <alignment wrapText="1"/>
    </xf>
    <xf numFmtId="0" fontId="11" fillId="0" borderId="0" xfId="0" applyFont="1"/>
    <xf numFmtId="0" fontId="9" fillId="0" borderId="0" xfId="0" applyFont="1" applyAlignment="1">
      <alignment vertical="center"/>
    </xf>
    <xf numFmtId="0" fontId="10" fillId="0" borderId="37" xfId="0" applyFont="1" applyBorder="1" applyAlignment="1">
      <alignment vertical="center"/>
    </xf>
    <xf numFmtId="0" fontId="8" fillId="0" borderId="1" xfId="0" applyFont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2" borderId="27" xfId="0" applyFont="1" applyFill="1" applyBorder="1" applyAlignment="1">
      <alignment horizontal="center" vertical="center" textRotation="90" wrapText="1"/>
    </xf>
    <xf numFmtId="0" fontId="6" fillId="0" borderId="0" xfId="0" applyFont="1"/>
    <xf numFmtId="0" fontId="15" fillId="0" borderId="0" xfId="0" applyFont="1"/>
    <xf numFmtId="0" fontId="16" fillId="0" borderId="0" xfId="0" applyFont="1"/>
    <xf numFmtId="0" fontId="8" fillId="2" borderId="25" xfId="0" applyFont="1" applyFill="1" applyBorder="1" applyAlignment="1">
      <alignment horizontal="center" vertical="center" textRotation="90" wrapText="1"/>
    </xf>
    <xf numFmtId="0" fontId="27" fillId="0" borderId="19" xfId="0" applyFont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7" fillId="6" borderId="19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7" fillId="9" borderId="19" xfId="0" applyNumberFormat="1" applyFont="1" applyFill="1" applyBorder="1" applyAlignment="1">
      <alignment horizontal="center" vertical="center" textRotation="90" wrapText="1"/>
    </xf>
    <xf numFmtId="0" fontId="7" fillId="0" borderId="0" xfId="0" applyFont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2" fontId="20" fillId="13" borderId="2" xfId="0" applyNumberFormat="1" applyFont="1" applyFill="1" applyBorder="1" applyAlignment="1">
      <alignment horizontal="center" vertical="center" wrapText="1"/>
    </xf>
    <xf numFmtId="2" fontId="8" fillId="14" borderId="1" xfId="0" applyNumberFormat="1" applyFont="1" applyFill="1" applyBorder="1" applyAlignment="1">
      <alignment horizontal="center" vertical="center" wrapText="1"/>
    </xf>
    <xf numFmtId="0" fontId="7" fillId="9" borderId="22" xfId="0" applyFont="1" applyFill="1" applyBorder="1" applyAlignment="1">
      <alignment horizontal="center" vertical="center" wrapText="1"/>
    </xf>
    <xf numFmtId="0" fontId="7" fillId="9" borderId="21" xfId="0" applyFont="1" applyFill="1" applyBorder="1" applyAlignment="1">
      <alignment horizontal="center" vertical="center" textRotation="90" wrapText="1"/>
    </xf>
    <xf numFmtId="0" fontId="8" fillId="14" borderId="18" xfId="0" applyFont="1" applyFill="1" applyBorder="1" applyAlignment="1">
      <alignment horizontal="center" vertical="center" textRotation="90" wrapText="1"/>
    </xf>
    <xf numFmtId="0" fontId="7" fillId="6" borderId="1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>
      <alignment wrapText="1"/>
    </xf>
    <xf numFmtId="0" fontId="7" fillId="0" borderId="28" xfId="0" applyFont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 wrapText="1"/>
    </xf>
    <xf numFmtId="0" fontId="7" fillId="6" borderId="16" xfId="0" applyFont="1" applyFill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6" fillId="0" borderId="38" xfId="0" applyFont="1" applyBorder="1"/>
    <xf numFmtId="0" fontId="6" fillId="0" borderId="39" xfId="0" applyFont="1" applyBorder="1"/>
    <xf numFmtId="0" fontId="6" fillId="0" borderId="40" xfId="0" applyFont="1" applyBorder="1"/>
    <xf numFmtId="0" fontId="6" fillId="0" borderId="41" xfId="0" applyFont="1" applyBorder="1"/>
    <xf numFmtId="0" fontId="6" fillId="0" borderId="42" xfId="0" applyFont="1" applyBorder="1"/>
    <xf numFmtId="0" fontId="6" fillId="0" borderId="43" xfId="0" applyFont="1" applyBorder="1"/>
    <xf numFmtId="0" fontId="6" fillId="0" borderId="44" xfId="0" applyFont="1" applyBorder="1"/>
    <xf numFmtId="0" fontId="7" fillId="6" borderId="5" xfId="0" applyFont="1" applyFill="1" applyBorder="1" applyAlignment="1">
      <alignment horizontal="center" vertical="center" wrapText="1"/>
    </xf>
    <xf numFmtId="14" fontId="7" fillId="0" borderId="0" xfId="0" applyNumberFormat="1" applyFont="1" applyAlignment="1">
      <alignment wrapText="1"/>
    </xf>
    <xf numFmtId="0" fontId="4" fillId="3" borderId="28" xfId="0" applyFont="1" applyFill="1" applyBorder="1" applyAlignment="1">
      <alignment vertical="center" wrapText="1"/>
    </xf>
    <xf numFmtId="0" fontId="4" fillId="3" borderId="32" xfId="0" applyFont="1" applyFill="1" applyBorder="1" applyAlignment="1">
      <alignment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22" fillId="0" borderId="0" xfId="0" applyFont="1" applyAlignment="1">
      <alignment wrapText="1"/>
    </xf>
    <xf numFmtId="0" fontId="23" fillId="0" borderId="0" xfId="0" applyFont="1" applyAlignment="1">
      <alignment horizontal="center" vertical="center" wrapText="1"/>
    </xf>
    <xf numFmtId="0" fontId="22" fillId="0" borderId="0" xfId="0" applyFont="1"/>
    <xf numFmtId="164" fontId="7" fillId="7" borderId="1" xfId="1" applyFont="1" applyFill="1" applyBorder="1" applyAlignment="1">
      <alignment horizontal="center" vertical="center" wrapText="1"/>
    </xf>
    <xf numFmtId="164" fontId="7" fillId="9" borderId="1" xfId="1" applyFont="1" applyFill="1" applyBorder="1" applyAlignment="1">
      <alignment horizontal="center" vertical="center" wrapText="1"/>
    </xf>
    <xf numFmtId="164" fontId="7" fillId="9" borderId="4" xfId="1" applyFont="1" applyFill="1" applyBorder="1" applyAlignment="1">
      <alignment horizontal="center" vertical="center" wrapText="1"/>
    </xf>
    <xf numFmtId="164" fontId="8" fillId="7" borderId="9" xfId="1" applyFont="1" applyFill="1" applyBorder="1" applyAlignment="1">
      <alignment horizontal="center" vertical="center" wrapText="1"/>
    </xf>
    <xf numFmtId="164" fontId="8" fillId="10" borderId="9" xfId="1" applyFont="1" applyFill="1" applyBorder="1" applyAlignment="1">
      <alignment horizontal="center" vertical="center" wrapText="1"/>
    </xf>
    <xf numFmtId="164" fontId="8" fillId="10" borderId="10" xfId="1" applyFont="1" applyFill="1" applyBorder="1" applyAlignment="1">
      <alignment horizontal="center" vertical="center" wrapText="1"/>
    </xf>
    <xf numFmtId="165" fontId="7" fillId="9" borderId="12" xfId="0" applyNumberFormat="1" applyFont="1" applyFill="1" applyBorder="1" applyAlignment="1">
      <alignment horizontal="center" vertical="center" textRotation="90" wrapText="1"/>
    </xf>
    <xf numFmtId="164" fontId="7" fillId="7" borderId="2" xfId="1" applyFont="1" applyFill="1" applyBorder="1" applyAlignment="1">
      <alignment horizontal="center" vertical="center" wrapText="1"/>
    </xf>
    <xf numFmtId="164" fontId="7" fillId="9" borderId="2" xfId="1" applyFont="1" applyFill="1" applyBorder="1" applyAlignment="1">
      <alignment horizontal="center" vertical="center" wrapText="1"/>
    </xf>
    <xf numFmtId="164" fontId="7" fillId="9" borderId="3" xfId="1" applyFont="1" applyFill="1" applyBorder="1" applyAlignment="1">
      <alignment horizontal="center" vertical="center" wrapText="1"/>
    </xf>
    <xf numFmtId="2" fontId="8" fillId="7" borderId="30" xfId="0" applyNumberFormat="1" applyFont="1" applyFill="1" applyBorder="1" applyAlignment="1">
      <alignment horizontal="center" vertical="center" wrapText="1"/>
    </xf>
    <xf numFmtId="2" fontId="8" fillId="7" borderId="24" xfId="0" applyNumberFormat="1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2" fontId="8" fillId="14" borderId="19" xfId="0" applyNumberFormat="1" applyFont="1" applyFill="1" applyBorder="1" applyAlignment="1">
      <alignment horizontal="center" vertical="center" wrapText="1"/>
    </xf>
    <xf numFmtId="2" fontId="8" fillId="14" borderId="4" xfId="0" applyNumberFormat="1" applyFont="1" applyFill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2" fontId="8" fillId="14" borderId="5" xfId="0" applyNumberFormat="1" applyFont="1" applyFill="1" applyBorder="1" applyAlignment="1">
      <alignment horizontal="center" vertical="center" wrapText="1"/>
    </xf>
    <xf numFmtId="0" fontId="8" fillId="15" borderId="25" xfId="0" applyFont="1" applyFill="1" applyBorder="1" applyAlignment="1">
      <alignment horizontal="center" vertical="center" textRotation="90" wrapText="1"/>
    </xf>
    <xf numFmtId="0" fontId="8" fillId="8" borderId="25" xfId="0" applyFont="1" applyFill="1" applyBorder="1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8" fillId="15" borderId="0" xfId="0" applyFont="1" applyFill="1" applyAlignment="1">
      <alignment horizontal="center" vertical="center"/>
    </xf>
    <xf numFmtId="11" fontId="7" fillId="9" borderId="19" xfId="0" applyNumberFormat="1" applyFont="1" applyFill="1" applyBorder="1" applyAlignment="1">
      <alignment horizontal="center" vertical="center" textRotation="90" wrapText="1"/>
    </xf>
    <xf numFmtId="11" fontId="8" fillId="10" borderId="14" xfId="0" applyNumberFormat="1" applyFont="1" applyFill="1" applyBorder="1" applyAlignment="1">
      <alignment horizontal="center" vertical="center" textRotation="90" wrapText="1"/>
    </xf>
    <xf numFmtId="11" fontId="8" fillId="13" borderId="12" xfId="0" applyNumberFormat="1" applyFont="1" applyFill="1" applyBorder="1" applyAlignment="1">
      <alignment horizontal="center" vertical="center" textRotation="90" wrapText="1"/>
    </xf>
    <xf numFmtId="0" fontId="7" fillId="9" borderId="19" xfId="0" applyFont="1" applyFill="1" applyBorder="1" applyAlignment="1">
      <alignment horizontal="center" vertical="center" textRotation="90" wrapText="1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5" fillId="15" borderId="0" xfId="0" applyFont="1" applyFill="1" applyAlignment="1">
      <alignment horizontal="center" vertical="center"/>
    </xf>
    <xf numFmtId="0" fontId="1" fillId="0" borderId="51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0" fillId="0" borderId="51" xfId="0" applyBorder="1"/>
    <xf numFmtId="0" fontId="3" fillId="0" borderId="51" xfId="0" applyFont="1" applyBorder="1" applyAlignment="1">
      <alignment horizontal="center"/>
    </xf>
    <xf numFmtId="0" fontId="3" fillId="0" borderId="51" xfId="0" applyFont="1" applyBorder="1"/>
    <xf numFmtId="0" fontId="31" fillId="0" borderId="0" xfId="0" applyFont="1" applyAlignment="1">
      <alignment horizontal="center"/>
    </xf>
    <xf numFmtId="0" fontId="8" fillId="11" borderId="18" xfId="0" applyFont="1" applyFill="1" applyBorder="1" applyAlignment="1">
      <alignment horizontal="center" vertical="center"/>
    </xf>
    <xf numFmtId="0" fontId="8" fillId="11" borderId="28" xfId="0" applyFont="1" applyFill="1" applyBorder="1" applyAlignment="1">
      <alignment horizontal="center" vertical="center"/>
    </xf>
    <xf numFmtId="0" fontId="8" fillId="11" borderId="33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32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/>
    </xf>
    <xf numFmtId="0" fontId="7" fillId="6" borderId="2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0" borderId="28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4" fillId="0" borderId="32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left" vertical="top" wrapText="1"/>
    </xf>
    <xf numFmtId="0" fontId="10" fillId="0" borderId="38" xfId="0" applyFont="1" applyBorder="1" applyAlignment="1">
      <alignment horizontal="left" vertical="top"/>
    </xf>
    <xf numFmtId="0" fontId="10" fillId="0" borderId="39" xfId="0" applyFont="1" applyBorder="1" applyAlignment="1">
      <alignment horizontal="left" vertical="top"/>
    </xf>
    <xf numFmtId="0" fontId="10" fillId="0" borderId="42" xfId="0" applyFont="1" applyBorder="1" applyAlignment="1">
      <alignment horizontal="left" vertical="top"/>
    </xf>
    <xf numFmtId="0" fontId="10" fillId="0" borderId="43" xfId="0" applyFont="1" applyBorder="1" applyAlignment="1">
      <alignment horizontal="left" vertical="top"/>
    </xf>
    <xf numFmtId="0" fontId="10" fillId="0" borderId="44" xfId="0" applyFont="1" applyBorder="1" applyAlignment="1">
      <alignment horizontal="left" vertical="top"/>
    </xf>
    <xf numFmtId="0" fontId="7" fillId="6" borderId="22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7" fillId="6" borderId="3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6" borderId="22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top" wrapText="1"/>
    </xf>
    <xf numFmtId="0" fontId="7" fillId="12" borderId="0" xfId="0" applyFont="1" applyFill="1" applyAlignment="1">
      <alignment horizontal="center" vertical="top" wrapText="1"/>
    </xf>
    <xf numFmtId="0" fontId="7" fillId="12" borderId="26" xfId="0" applyFont="1" applyFill="1" applyBorder="1" applyAlignment="1">
      <alignment horizontal="center" vertical="top" wrapText="1"/>
    </xf>
    <xf numFmtId="0" fontId="7" fillId="6" borderId="34" xfId="0" applyFont="1" applyFill="1" applyBorder="1" applyAlignment="1">
      <alignment horizontal="center" vertical="center" wrapText="1"/>
    </xf>
    <xf numFmtId="0" fontId="7" fillId="6" borderId="35" xfId="0" applyFont="1" applyFill="1" applyBorder="1" applyAlignment="1">
      <alignment horizontal="center" vertical="center" wrapText="1"/>
    </xf>
    <xf numFmtId="0" fontId="4" fillId="3" borderId="18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18" fillId="12" borderId="18" xfId="0" applyFont="1" applyFill="1" applyBorder="1" applyAlignment="1">
      <alignment horizontal="center" vertical="center" wrapText="1"/>
    </xf>
    <xf numFmtId="0" fontId="18" fillId="12" borderId="28" xfId="0" applyFont="1" applyFill="1" applyBorder="1" applyAlignment="1">
      <alignment horizontal="center" vertical="center" wrapText="1"/>
    </xf>
    <xf numFmtId="0" fontId="18" fillId="12" borderId="33" xfId="0" applyFont="1" applyFill="1" applyBorder="1" applyAlignment="1">
      <alignment horizontal="center" vertical="center" wrapText="1"/>
    </xf>
    <xf numFmtId="0" fontId="21" fillId="16" borderId="6" xfId="0" applyFont="1" applyFill="1" applyBorder="1" applyAlignment="1">
      <alignment horizontal="center" vertical="center" wrapText="1"/>
    </xf>
    <xf numFmtId="0" fontId="21" fillId="16" borderId="29" xfId="0" applyFont="1" applyFill="1" applyBorder="1" applyAlignment="1">
      <alignment horizontal="center" vertical="center" wrapText="1"/>
    </xf>
    <xf numFmtId="0" fontId="21" fillId="16" borderId="20" xfId="0" applyFont="1" applyFill="1" applyBorder="1" applyAlignment="1">
      <alignment horizontal="center" vertical="center" wrapText="1"/>
    </xf>
  </cellXfs>
  <cellStyles count="5">
    <cellStyle name="Comma" xfId="1" builtinId="3"/>
    <cellStyle name="Normal" xfId="0" builtinId="0"/>
    <cellStyle name="Normal 2" xfId="2" xr:uid="{D845F676-2592-40B7-A39C-2F069C0F0AC1}"/>
    <cellStyle name="Normal 3" xfId="3" xr:uid="{3147709E-C999-41E8-95D6-F5E0B1550295}"/>
    <cellStyle name="Note" xfId="4" xr:uid="{097C990B-2FEA-4DF8-98B0-136DEF0DAD06}"/>
  </cellStyles>
  <dxfs count="22"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E781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704850</xdr:colOff>
      <xdr:row>3</xdr:row>
      <xdr:rowOff>171450</xdr:rowOff>
    </xdr:from>
    <xdr:to>
      <xdr:col>12</xdr:col>
      <xdr:colOff>447675</xdr:colOff>
      <xdr:row>25</xdr:row>
      <xdr:rowOff>142875</xdr:rowOff>
    </xdr:to>
    <xdr:pic>
      <xdr:nvPicPr>
        <xdr:cNvPr id="15026" name="Image 1">
          <a:extLst>
            <a:ext uri="{FF2B5EF4-FFF2-40B4-BE49-F238E27FC236}">
              <a16:creationId xmlns:a16="http://schemas.microsoft.com/office/drawing/2014/main" id="{92523897-543C-B044-12E2-EE93FB9B5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561975"/>
          <a:ext cx="8124825" cy="354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596265</xdr:colOff>
      <xdr:row>23</xdr:row>
      <xdr:rowOff>106680</xdr:rowOff>
    </xdr:from>
    <xdr:to>
      <xdr:col>2</xdr:col>
      <xdr:colOff>723049</xdr:colOff>
      <xdr:row>29</xdr:row>
      <xdr:rowOff>97234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C96B8052-384D-9F9B-8110-A8FB37B31458}"/>
            </a:ext>
          </a:extLst>
        </xdr:cNvPr>
        <xdr:cNvCxnSpPr/>
      </xdr:nvCxnSpPr>
      <xdr:spPr>
        <a:xfrm flipH="1" flipV="1">
          <a:off x="1257300" y="3825240"/>
          <a:ext cx="60960" cy="10058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685800</xdr:colOff>
      <xdr:row>23</xdr:row>
      <xdr:rowOff>41910</xdr:rowOff>
    </xdr:from>
    <xdr:to>
      <xdr:col>4</xdr:col>
      <xdr:colOff>2203</xdr:colOff>
      <xdr:row>35</xdr:row>
      <xdr:rowOff>20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F7AC2C78-EDCB-0A28-2BEB-ECE498F7EDDB}"/>
            </a:ext>
          </a:extLst>
        </xdr:cNvPr>
        <xdr:cNvCxnSpPr/>
      </xdr:nvCxnSpPr>
      <xdr:spPr>
        <a:xfrm flipH="1" flipV="1">
          <a:off x="2133600" y="3771900"/>
          <a:ext cx="106680" cy="20040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565785</xdr:colOff>
      <xdr:row>25</xdr:row>
      <xdr:rowOff>0</xdr:rowOff>
    </xdr:from>
    <xdr:to>
      <xdr:col>4</xdr:col>
      <xdr:colOff>644475</xdr:colOff>
      <xdr:row>31</xdr:row>
      <xdr:rowOff>0</xdr:rowOff>
    </xdr:to>
    <xdr:cxnSp macro="">
      <xdr:nvCxnSpPr>
        <xdr:cNvPr id="6" name="Connecteur droit avec flèche 5">
          <a:extLst>
            <a:ext uri="{FF2B5EF4-FFF2-40B4-BE49-F238E27FC236}">
              <a16:creationId xmlns:a16="http://schemas.microsoft.com/office/drawing/2014/main" id="{DB0906A4-438A-43A1-25CA-F655BB701655}"/>
            </a:ext>
          </a:extLst>
        </xdr:cNvPr>
        <xdr:cNvCxnSpPr/>
      </xdr:nvCxnSpPr>
      <xdr:spPr>
        <a:xfrm flipH="1" flipV="1">
          <a:off x="2827020" y="3992880"/>
          <a:ext cx="60960" cy="10058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655320</xdr:colOff>
      <xdr:row>24</xdr:row>
      <xdr:rowOff>123825</xdr:rowOff>
    </xdr:from>
    <xdr:to>
      <xdr:col>6</xdr:col>
      <xdr:colOff>759945</xdr:colOff>
      <xdr:row>29</xdr:row>
      <xdr:rowOff>150572</xdr:rowOff>
    </xdr:to>
    <xdr:cxnSp macro="">
      <xdr:nvCxnSpPr>
        <xdr:cNvPr id="7" name="Connecteur droit avec flèche 6">
          <a:extLst>
            <a:ext uri="{FF2B5EF4-FFF2-40B4-BE49-F238E27FC236}">
              <a16:creationId xmlns:a16="http://schemas.microsoft.com/office/drawing/2014/main" id="{C5923F10-7264-0D58-E4AA-D1BB039811A9}"/>
            </a:ext>
          </a:extLst>
        </xdr:cNvPr>
        <xdr:cNvCxnSpPr/>
      </xdr:nvCxnSpPr>
      <xdr:spPr>
        <a:xfrm flipH="1" flipV="1">
          <a:off x="4450080" y="4000500"/>
          <a:ext cx="335280" cy="8610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619125</xdr:colOff>
      <xdr:row>40</xdr:row>
      <xdr:rowOff>114300</xdr:rowOff>
    </xdr:from>
    <xdr:to>
      <xdr:col>4</xdr:col>
      <xdr:colOff>485775</xdr:colOff>
      <xdr:row>66</xdr:row>
      <xdr:rowOff>158750</xdr:rowOff>
    </xdr:to>
    <xdr:pic>
      <xdr:nvPicPr>
        <xdr:cNvPr id="15031" name="Image 11">
          <a:extLst>
            <a:ext uri="{FF2B5EF4-FFF2-40B4-BE49-F238E27FC236}">
              <a16:creationId xmlns:a16="http://schemas.microsoft.com/office/drawing/2014/main" id="{62987CA4-076F-8313-D786-E9CAD0BAF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6572250"/>
          <a:ext cx="2152650" cy="425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790575</xdr:colOff>
      <xdr:row>69</xdr:row>
      <xdr:rowOff>209550</xdr:rowOff>
    </xdr:from>
    <xdr:to>
      <xdr:col>8</xdr:col>
      <xdr:colOff>428625</xdr:colOff>
      <xdr:row>92</xdr:row>
      <xdr:rowOff>158750</xdr:rowOff>
    </xdr:to>
    <xdr:pic>
      <xdr:nvPicPr>
        <xdr:cNvPr id="15032" name="Image 12">
          <a:extLst>
            <a:ext uri="{FF2B5EF4-FFF2-40B4-BE49-F238E27FC236}">
              <a16:creationId xmlns:a16="http://schemas.microsoft.com/office/drawing/2014/main" id="{0FD54BBF-587B-BDC4-41EF-7E368D87E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1315700"/>
          <a:ext cx="5000625" cy="3724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704850</xdr:colOff>
      <xdr:row>91</xdr:row>
      <xdr:rowOff>114300</xdr:rowOff>
    </xdr:from>
    <xdr:to>
      <xdr:col>6</xdr:col>
      <xdr:colOff>819150</xdr:colOff>
      <xdr:row>113</xdr:row>
      <xdr:rowOff>158750</xdr:rowOff>
    </xdr:to>
    <xdr:pic>
      <xdr:nvPicPr>
        <xdr:cNvPr id="15033" name="Image 13">
          <a:extLst>
            <a:ext uri="{FF2B5EF4-FFF2-40B4-BE49-F238E27FC236}">
              <a16:creationId xmlns:a16="http://schemas.microsoft.com/office/drawing/2014/main" id="{1163A83E-38A2-AD46-0693-138E9237F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4830425"/>
          <a:ext cx="3867150" cy="3609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866775</xdr:colOff>
      <xdr:row>118</xdr:row>
      <xdr:rowOff>209550</xdr:rowOff>
    </xdr:from>
    <xdr:to>
      <xdr:col>5</xdr:col>
      <xdr:colOff>822325</xdr:colOff>
      <xdr:row>143</xdr:row>
      <xdr:rowOff>158750</xdr:rowOff>
    </xdr:to>
    <xdr:pic>
      <xdr:nvPicPr>
        <xdr:cNvPr id="15034" name="Image 14">
          <a:extLst>
            <a:ext uri="{FF2B5EF4-FFF2-40B4-BE49-F238E27FC236}">
              <a16:creationId xmlns:a16="http://schemas.microsoft.com/office/drawing/2014/main" id="{C3B366DB-50ED-4A77-FE57-C77C7C032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9288125"/>
          <a:ext cx="3048000" cy="404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127</xdr:row>
      <xdr:rowOff>142875</xdr:rowOff>
    </xdr:from>
    <xdr:to>
      <xdr:col>10</xdr:col>
      <xdr:colOff>2410</xdr:colOff>
      <xdr:row>154</xdr:row>
      <xdr:rowOff>158750</xdr:rowOff>
    </xdr:to>
    <xdr:pic>
      <xdr:nvPicPr>
        <xdr:cNvPr id="15035" name="Image 15">
          <a:extLst>
            <a:ext uri="{FF2B5EF4-FFF2-40B4-BE49-F238E27FC236}">
              <a16:creationId xmlns:a16="http://schemas.microsoft.com/office/drawing/2014/main" id="{8BCD9769-BA7F-0487-949D-975D651E3E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9725" y="20726400"/>
          <a:ext cx="1524000" cy="439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473710</xdr:colOff>
      <xdr:row>48</xdr:row>
      <xdr:rowOff>122555</xdr:rowOff>
    </xdr:from>
    <xdr:to>
      <xdr:col>71</xdr:col>
      <xdr:colOff>473710</xdr:colOff>
      <xdr:row>53</xdr:row>
      <xdr:rowOff>240124</xdr:rowOff>
    </xdr:to>
    <xdr:cxnSp macro="">
      <xdr:nvCxnSpPr>
        <xdr:cNvPr id="2" name="Connecteur droit avec flèche 1">
          <a:extLst>
            <a:ext uri="{FF2B5EF4-FFF2-40B4-BE49-F238E27FC236}">
              <a16:creationId xmlns:a16="http://schemas.microsoft.com/office/drawing/2014/main" id="{1870DA18-5B96-4CE4-BB80-649BCF311E61}"/>
            </a:ext>
          </a:extLst>
        </xdr:cNvPr>
        <xdr:cNvCxnSpPr/>
      </xdr:nvCxnSpPr>
      <xdr:spPr>
        <a:xfrm flipV="1">
          <a:off x="66958210" y="21391880"/>
          <a:ext cx="0" cy="1689194"/>
        </a:xfrm>
        <a:prstGeom prst="straightConnector1">
          <a:avLst/>
        </a:prstGeom>
        <a:ln w="571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Supply%20Chain/2%20-%20Planning/Planning/Planning%20personnel%20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ègles de saisie"/>
      <sheetName val="S01 2021"/>
      <sheetName val="S02 2021"/>
      <sheetName val="S03 2021"/>
      <sheetName val="S04 2021"/>
      <sheetName val="S05 2021"/>
      <sheetName val="S06 2021"/>
      <sheetName val="S07 2021"/>
      <sheetName val="S08 2021"/>
      <sheetName val="S09 2021"/>
      <sheetName val="S10 2021"/>
      <sheetName val="S11 2021"/>
      <sheetName val="S12 2021"/>
      <sheetName val="S13 2021"/>
      <sheetName val="S14 2021"/>
      <sheetName val="S15 2021"/>
      <sheetName val="S16 2021"/>
      <sheetName val="S17 2021"/>
      <sheetName val="S18 2021"/>
      <sheetName val="S19 2021"/>
      <sheetName val="S20 2021"/>
      <sheetName val="S21 2021"/>
      <sheetName val="S22 2021"/>
      <sheetName val="S23 2021"/>
      <sheetName val="S24 2021"/>
      <sheetName val="S25 2021"/>
      <sheetName val="S26 2021"/>
      <sheetName val="S27 2021"/>
      <sheetName val="S28 2021"/>
      <sheetName val="14 07 2021"/>
      <sheetName val="S29 2021"/>
      <sheetName val="S30 2021"/>
      <sheetName val="S33 2021"/>
      <sheetName val="S34 2021"/>
      <sheetName val="S35 2021 "/>
      <sheetName val="S36 2021"/>
      <sheetName val="S37 2021"/>
      <sheetName val="S38 2021"/>
      <sheetName val="S39 2021"/>
      <sheetName val="S40 2021"/>
      <sheetName val="S41 2021"/>
      <sheetName val="S42 2021"/>
      <sheetName val="S43 2021"/>
      <sheetName val="S44 2021"/>
      <sheetName val="S45 2021"/>
      <sheetName val="S46 2021"/>
      <sheetName val="S47 2021"/>
      <sheetName val="S48 2021"/>
      <sheetName val="S49 2021"/>
      <sheetName val="S50 2021"/>
      <sheetName val="S51 2021"/>
      <sheetName val="Feuil1"/>
      <sheetName val="VIERGE"/>
      <sheetName val="Horaire"/>
      <sheetName val="Interi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>
        <row r="3">
          <cell r="A3" t="str">
            <v xml:space="preserve">ATAY Hamidé </v>
          </cell>
        </row>
        <row r="4">
          <cell r="A4" t="str">
            <v>WALCH Vanessa </v>
          </cell>
        </row>
        <row r="5">
          <cell r="A5" t="str">
            <v>BERNARD Célia</v>
          </cell>
        </row>
        <row r="6">
          <cell r="A6" t="str">
            <v>AMIN DIT BELOT Kevin</v>
          </cell>
        </row>
        <row r="7">
          <cell r="A7" t="str">
            <v>CORDIER Christiane</v>
          </cell>
        </row>
        <row r="8">
          <cell r="A8" t="str">
            <v>YLMAZ Sibel</v>
          </cell>
        </row>
        <row r="9">
          <cell r="A9" t="str">
            <v>LAHAYE Aurore</v>
          </cell>
        </row>
        <row r="10">
          <cell r="A10" t="str">
            <v>MAIA Laura</v>
          </cell>
        </row>
        <row r="11">
          <cell r="A11" t="str">
            <v xml:space="preserve">MELLAC Hakima </v>
          </cell>
        </row>
        <row r="12">
          <cell r="A12" t="str">
            <v>BRON Ingrid</v>
          </cell>
        </row>
        <row r="13">
          <cell r="A13" t="str">
            <v>RICHARD Alexandre</v>
          </cell>
        </row>
        <row r="14">
          <cell r="A14" t="str">
            <v>VALENTI Oriana</v>
          </cell>
        </row>
        <row r="15">
          <cell r="A15" t="str">
            <v>SANTAMARIA Fouzia</v>
          </cell>
        </row>
        <row r="16">
          <cell r="A16" t="str">
            <v>REVERCHON Margarida</v>
          </cell>
        </row>
        <row r="17">
          <cell r="A17" t="str">
            <v xml:space="preserve">BASSET David </v>
          </cell>
        </row>
        <row r="18">
          <cell r="A18" t="str">
            <v>GUGELMANN Vanille</v>
          </cell>
        </row>
        <row r="19">
          <cell r="A19" t="str">
            <v>GATELET Lea</v>
          </cell>
        </row>
        <row r="20">
          <cell r="A20" t="str">
            <v>GUENIN Lisa</v>
          </cell>
        </row>
        <row r="21">
          <cell r="A21" t="str">
            <v>SLIMANI Samira</v>
          </cell>
        </row>
        <row r="22">
          <cell r="A22" t="str">
            <v>GRIFFOND Victoria</v>
          </cell>
        </row>
        <row r="23">
          <cell r="A23" t="str">
            <v xml:space="preserve">MULIERE Laura </v>
          </cell>
        </row>
        <row r="24">
          <cell r="A24" t="str">
            <v>RUDE Gilliane</v>
          </cell>
        </row>
        <row r="25">
          <cell r="A25" t="str">
            <v>CHARTON Clémence</v>
          </cell>
        </row>
        <row r="26">
          <cell r="A26" t="str">
            <v>RUDE Jennifer</v>
          </cell>
        </row>
        <row r="27">
          <cell r="A27" t="str">
            <v xml:space="preserve">NOUVIAN Wilhelmine </v>
          </cell>
        </row>
        <row r="28">
          <cell r="A28" t="str">
            <v>AKHRIF Ishène</v>
          </cell>
        </row>
        <row r="29">
          <cell r="A29" t="str">
            <v>ZEGHIDI Amel</v>
          </cell>
        </row>
        <row r="30">
          <cell r="A30" t="str">
            <v>GIRAUD Estelle</v>
          </cell>
        </row>
        <row r="31">
          <cell r="A31" t="str">
            <v>NECTOUX Océane</v>
          </cell>
        </row>
        <row r="32">
          <cell r="A32" t="str">
            <v>GAUTHIER Océane</v>
          </cell>
        </row>
        <row r="33">
          <cell r="A33" t="str">
            <v>BRIDON Océane</v>
          </cell>
        </row>
        <row r="34">
          <cell r="A34" t="str">
            <v xml:space="preserve">CORDIER Floriane </v>
          </cell>
        </row>
        <row r="35">
          <cell r="A35" t="str">
            <v xml:space="preserve">PEREIRA Marie Thérèse </v>
          </cell>
        </row>
        <row r="36">
          <cell r="A36" t="str">
            <v>El MAHI Fatima</v>
          </cell>
        </row>
        <row r="37">
          <cell r="A37" t="str">
            <v>BARBET Marie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4E2DA-B824-4BED-950A-5210CEAAB3E9}">
  <sheetPr codeName="Feuil7">
    <tabColor rgb="FF92D050"/>
  </sheetPr>
  <dimension ref="B1:L126"/>
  <sheetViews>
    <sheetView showGridLines="0" zoomScale="110" workbookViewId="0">
      <selection activeCell="M143" sqref="M143"/>
    </sheetView>
  </sheetViews>
  <sheetFormatPr baseColWidth="10" defaultRowHeight="13" x14ac:dyDescent="0.15"/>
  <cols>
    <col min="1" max="1" width="1.33203125" customWidth="1"/>
  </cols>
  <sheetData>
    <row r="1" spans="2:8" ht="5.5" customHeight="1" thickBot="1" x14ac:dyDescent="0.2"/>
    <row r="2" spans="2:8" x14ac:dyDescent="0.15">
      <c r="B2" s="120" t="s">
        <v>85</v>
      </c>
      <c r="C2" s="121"/>
      <c r="D2" s="121"/>
      <c r="E2" s="121"/>
      <c r="F2" s="121"/>
      <c r="G2" s="121"/>
      <c r="H2" s="122"/>
    </row>
    <row r="3" spans="2:8" ht="14" thickBot="1" x14ac:dyDescent="0.2">
      <c r="B3" s="123"/>
      <c r="C3" s="124"/>
      <c r="D3" s="124"/>
      <c r="E3" s="124"/>
      <c r="F3" s="124"/>
      <c r="G3" s="124"/>
      <c r="H3" s="125"/>
    </row>
    <row r="29" spans="2:12" ht="14" thickBot="1" x14ac:dyDescent="0.2"/>
    <row r="30" spans="2:12" ht="14" thickBot="1" x14ac:dyDescent="0.2">
      <c r="H30" s="126" t="s">
        <v>88</v>
      </c>
      <c r="I30" s="132"/>
      <c r="J30" s="132"/>
      <c r="K30" s="132"/>
      <c r="L30" s="127"/>
    </row>
    <row r="31" spans="2:12" ht="14" thickBot="1" x14ac:dyDescent="0.2">
      <c r="B31" s="126" t="s">
        <v>86</v>
      </c>
      <c r="C31" s="127"/>
      <c r="H31" s="128"/>
      <c r="I31" s="133"/>
      <c r="J31" s="133"/>
      <c r="K31" s="133"/>
      <c r="L31" s="129"/>
    </row>
    <row r="32" spans="2:12" ht="14" customHeight="1" thickBot="1" x14ac:dyDescent="0.2">
      <c r="B32" s="128"/>
      <c r="C32" s="129"/>
      <c r="E32" s="126" t="s">
        <v>89</v>
      </c>
      <c r="F32" s="127"/>
      <c r="H32" s="130"/>
      <c r="I32" s="134"/>
      <c r="J32" s="134"/>
      <c r="K32" s="134"/>
      <c r="L32" s="131"/>
    </row>
    <row r="33" spans="2:6" x14ac:dyDescent="0.15">
      <c r="B33" s="128"/>
      <c r="C33" s="129"/>
      <c r="E33" s="128"/>
      <c r="F33" s="129"/>
    </row>
    <row r="34" spans="2:6" ht="14" thickBot="1" x14ac:dyDescent="0.2">
      <c r="B34" s="130"/>
      <c r="C34" s="131"/>
      <c r="E34" s="130"/>
      <c r="F34" s="131"/>
    </row>
    <row r="35" spans="2:6" ht="14" thickBot="1" x14ac:dyDescent="0.2"/>
    <row r="36" spans="2:6" x14ac:dyDescent="0.15">
      <c r="D36" s="126" t="s">
        <v>87</v>
      </c>
      <c r="E36" s="127"/>
    </row>
    <row r="37" spans="2:6" x14ac:dyDescent="0.15">
      <c r="D37" s="128"/>
      <c r="E37" s="129"/>
    </row>
    <row r="38" spans="2:6" ht="14" thickBot="1" x14ac:dyDescent="0.2">
      <c r="D38" s="130"/>
      <c r="E38" s="131"/>
    </row>
    <row r="42" spans="2:6" x14ac:dyDescent="0.15">
      <c r="F42" s="29" t="s">
        <v>90</v>
      </c>
    </row>
    <row r="43" spans="2:6" x14ac:dyDescent="0.15">
      <c r="F43" s="28" t="s">
        <v>91</v>
      </c>
    </row>
    <row r="44" spans="2:6" x14ac:dyDescent="0.15">
      <c r="F44" s="28" t="s">
        <v>94</v>
      </c>
    </row>
    <row r="46" spans="2:6" x14ac:dyDescent="0.15">
      <c r="F46" s="28" t="s">
        <v>92</v>
      </c>
    </row>
    <row r="48" spans="2:6" x14ac:dyDescent="0.15">
      <c r="F48" s="28" t="s">
        <v>93</v>
      </c>
    </row>
    <row r="71" spans="10:10" x14ac:dyDescent="0.15">
      <c r="J71" s="28" t="s">
        <v>95</v>
      </c>
    </row>
    <row r="72" spans="10:10" x14ac:dyDescent="0.15">
      <c r="J72" s="28" t="s">
        <v>96</v>
      </c>
    </row>
    <row r="95" spans="8:8" x14ac:dyDescent="0.15">
      <c r="H95" s="28" t="s">
        <v>97</v>
      </c>
    </row>
    <row r="96" spans="8:8" x14ac:dyDescent="0.15">
      <c r="H96" s="29" t="s">
        <v>98</v>
      </c>
    </row>
    <row r="117" spans="2:8" ht="16" x14ac:dyDescent="0.2">
      <c r="B117" s="30" t="s">
        <v>99</v>
      </c>
    </row>
    <row r="122" spans="2:8" x14ac:dyDescent="0.15">
      <c r="H122" s="28" t="s">
        <v>100</v>
      </c>
    </row>
    <row r="123" spans="2:8" x14ac:dyDescent="0.15">
      <c r="H123" s="28" t="s">
        <v>101</v>
      </c>
    </row>
    <row r="124" spans="2:8" x14ac:dyDescent="0.15">
      <c r="H124" s="28" t="s">
        <v>102</v>
      </c>
    </row>
    <row r="126" spans="2:8" x14ac:dyDescent="0.15">
      <c r="H126" s="28" t="s">
        <v>103</v>
      </c>
    </row>
  </sheetData>
  <mergeCells count="5">
    <mergeCell ref="B2:H3"/>
    <mergeCell ref="B31:C34"/>
    <mergeCell ref="D36:E38"/>
    <mergeCell ref="H30:L32"/>
    <mergeCell ref="E32:F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040FD-65E1-9048-BF8D-0AF89DE7E832}">
  <sheetPr codeName="Sheet1"/>
  <dimension ref="B2:G6"/>
  <sheetViews>
    <sheetView showGridLines="0" zoomScale="140" workbookViewId="0">
      <selection activeCell="B9" sqref="B9"/>
    </sheetView>
  </sheetViews>
  <sheetFormatPr baseColWidth="10" defaultRowHeight="13" x14ac:dyDescent="0.15"/>
  <cols>
    <col min="1" max="1" width="5.33203125" customWidth="1"/>
    <col min="2" max="2" width="12.33203125" style="92" bestFit="1" customWidth="1"/>
    <col min="3" max="7" width="10.83203125" style="92"/>
  </cols>
  <sheetData>
    <row r="2" spans="2:6" x14ac:dyDescent="0.15">
      <c r="B2" s="111" t="s">
        <v>144</v>
      </c>
    </row>
    <row r="3" spans="2:6" x14ac:dyDescent="0.15">
      <c r="C3" s="112" t="s">
        <v>142</v>
      </c>
      <c r="D3" s="112" t="s">
        <v>143</v>
      </c>
      <c r="F3" s="94"/>
    </row>
    <row r="4" spans="2:6" x14ac:dyDescent="0.15">
      <c r="B4" s="92" t="s">
        <v>110</v>
      </c>
      <c r="C4" s="105">
        <v>39</v>
      </c>
      <c r="D4" s="106">
        <v>39</v>
      </c>
      <c r="F4" s="94"/>
    </row>
    <row r="5" spans="2:6" x14ac:dyDescent="0.15">
      <c r="B5" s="92" t="s">
        <v>82</v>
      </c>
      <c r="C5" s="107">
        <v>33</v>
      </c>
      <c r="D5" s="108">
        <v>41</v>
      </c>
      <c r="F5" s="94"/>
    </row>
    <row r="6" spans="2:6" x14ac:dyDescent="0.15">
      <c r="B6" s="92" t="s">
        <v>117</v>
      </c>
      <c r="C6" s="109">
        <v>39</v>
      </c>
      <c r="D6" s="110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F820B-5AAE-8148-82F2-148275FA6B8B}">
  <dimension ref="B2:BR45"/>
  <sheetViews>
    <sheetView showGridLines="0" tabSelected="1" zoomScale="119" workbookViewId="0">
      <selection activeCell="F3" sqref="F3"/>
    </sheetView>
  </sheetViews>
  <sheetFormatPr baseColWidth="10" defaultRowHeight="13" x14ac:dyDescent="0.15"/>
  <cols>
    <col min="2" max="2" width="19.33203125" customWidth="1"/>
    <col min="3" max="3" width="11.33203125" bestFit="1" customWidth="1"/>
    <col min="4" max="4" width="10.1640625" bestFit="1" customWidth="1"/>
    <col min="5" max="5" width="6.6640625" bestFit="1" customWidth="1"/>
    <col min="6" max="15" width="4.5" bestFit="1" customWidth="1"/>
    <col min="16" max="16" width="5.33203125" customWidth="1"/>
    <col min="17" max="19" width="5" bestFit="1" customWidth="1"/>
    <col min="20" max="20" width="4.5" bestFit="1" customWidth="1"/>
    <col min="21" max="21" width="5" bestFit="1" customWidth="1"/>
    <col min="22" max="27" width="4.5" bestFit="1" customWidth="1"/>
    <col min="28" max="28" width="5.5" customWidth="1"/>
    <col min="29" max="29" width="7" bestFit="1" customWidth="1"/>
    <col min="30" max="30" width="5.6640625" bestFit="1" customWidth="1"/>
    <col min="31" max="31" width="3.1640625" bestFit="1" customWidth="1"/>
    <col min="32" max="32" width="4.6640625" bestFit="1" customWidth="1"/>
    <col min="33" max="33" width="3.1640625" bestFit="1" customWidth="1"/>
    <col min="34" max="34" width="4.5" bestFit="1" customWidth="1"/>
    <col min="35" max="35" width="3.1640625" bestFit="1" customWidth="1"/>
    <col min="36" max="36" width="4.5" bestFit="1" customWidth="1"/>
    <col min="37" max="37" width="5" customWidth="1"/>
    <col min="38" max="38" width="4.33203125" customWidth="1"/>
    <col min="39" max="39" width="5" customWidth="1"/>
    <col min="40" max="40" width="6.33203125" customWidth="1"/>
    <col min="41" max="41" width="7.6640625" bestFit="1" customWidth="1"/>
    <col min="42" max="42" width="5" bestFit="1" customWidth="1"/>
    <col min="43" max="43" width="4.1640625" bestFit="1" customWidth="1"/>
    <col min="44" max="48" width="3.33203125" bestFit="1" customWidth="1"/>
    <col min="49" max="51" width="4.33203125" bestFit="1" customWidth="1"/>
    <col min="52" max="52" width="5.6640625" customWidth="1"/>
    <col min="53" max="53" width="4.33203125" customWidth="1"/>
    <col min="54" max="54" width="4.5" customWidth="1"/>
    <col min="55" max="55" width="6" bestFit="1" customWidth="1"/>
    <col min="56" max="56" width="3.33203125" bestFit="1" customWidth="1"/>
    <col min="57" max="57" width="6" bestFit="1" customWidth="1"/>
    <col min="58" max="62" width="4.1640625" bestFit="1" customWidth="1"/>
    <col min="63" max="65" width="4.33203125" bestFit="1" customWidth="1"/>
    <col min="66" max="66" width="7.83203125" customWidth="1"/>
    <col min="67" max="67" width="5.33203125" customWidth="1"/>
    <col min="69" max="69" width="6" customWidth="1"/>
    <col min="70" max="70" width="21" style="92" bestFit="1" customWidth="1"/>
  </cols>
  <sheetData>
    <row r="2" spans="2:70" s="116" customFormat="1" ht="14" thickBot="1" x14ac:dyDescent="0.2">
      <c r="B2" s="114"/>
      <c r="C2" s="114"/>
      <c r="D2" s="114"/>
      <c r="E2" s="135" t="s">
        <v>149</v>
      </c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14"/>
      <c r="Q2" s="135" t="s">
        <v>150</v>
      </c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15"/>
      <c r="AC2" s="135" t="s">
        <v>145</v>
      </c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O2" s="135" t="s">
        <v>146</v>
      </c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  <c r="BA2" s="114"/>
      <c r="BC2" s="135" t="s">
        <v>147</v>
      </c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P2" s="118" t="s">
        <v>151</v>
      </c>
      <c r="BR2" s="117" t="s">
        <v>152</v>
      </c>
    </row>
    <row r="3" spans="2:70" ht="14" thickTop="1" x14ac:dyDescent="0.15">
      <c r="B3" s="94"/>
      <c r="C3" s="94"/>
      <c r="D3" s="94"/>
      <c r="E3" s="92"/>
      <c r="F3" s="92"/>
      <c r="G3" s="92"/>
      <c r="H3" s="92"/>
      <c r="I3" s="92"/>
      <c r="J3" s="92"/>
      <c r="Z3" s="98"/>
      <c r="AA3" s="98"/>
      <c r="AB3" s="98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O3" s="119">
        <v>1.25</v>
      </c>
      <c r="AP3" s="119">
        <v>42</v>
      </c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C3" s="119">
        <v>1.5</v>
      </c>
      <c r="BD3" s="92"/>
      <c r="BE3" s="92"/>
      <c r="BF3" s="92"/>
      <c r="BG3" s="92"/>
      <c r="BH3" s="92"/>
      <c r="BI3" s="92"/>
      <c r="BJ3" s="92"/>
      <c r="BK3" s="92"/>
      <c r="BL3" s="92"/>
      <c r="BM3" s="92"/>
    </row>
    <row r="4" spans="2:70" s="37" customFormat="1" ht="28" x14ac:dyDescent="0.15">
      <c r="B4" s="95"/>
      <c r="C4" s="95" t="str">
        <f>'MODU 2025'!C7</f>
        <v>Service</v>
      </c>
      <c r="D4" s="95" t="str">
        <f>'MODU 2025'!D7</f>
        <v>Contrat Base</v>
      </c>
      <c r="E4" s="96" t="str">
        <f>'MODU 2025'!G7</f>
        <v>S2</v>
      </c>
      <c r="F4" s="96" t="str">
        <f>'MODU 2025'!H7</f>
        <v>S3</v>
      </c>
      <c r="G4" s="96" t="str">
        <f>'MODU 2025'!I7</f>
        <v>S4</v>
      </c>
      <c r="H4" s="96" t="str">
        <f>'MODU 2025'!J7</f>
        <v>S5</v>
      </c>
      <c r="I4" s="96" t="str">
        <f>'MODU 2025'!K7</f>
        <v>S6</v>
      </c>
      <c r="J4" s="96" t="str">
        <f>'MODU 2025'!L7</f>
        <v>S7</v>
      </c>
      <c r="K4" s="96" t="str">
        <f>'MODU 2025'!M7</f>
        <v>S8</v>
      </c>
      <c r="L4" s="96" t="str">
        <f>'MODU 2025'!N7</f>
        <v>S9</v>
      </c>
      <c r="M4" s="96" t="str">
        <f>'MODU 2025'!O7</f>
        <v>S10</v>
      </c>
      <c r="N4" s="96" t="str">
        <f>'MODU 2025'!P7</f>
        <v>S11</v>
      </c>
      <c r="O4" s="96" t="str">
        <f>'MODU 2025'!Q7</f>
        <v>S12</v>
      </c>
      <c r="P4" s="96"/>
      <c r="Q4" s="96" t="s">
        <v>0</v>
      </c>
      <c r="R4" s="96" t="s">
        <v>1</v>
      </c>
      <c r="S4" s="96" t="s">
        <v>2</v>
      </c>
      <c r="T4" s="96" t="s">
        <v>3</v>
      </c>
      <c r="U4" s="96" t="s">
        <v>4</v>
      </c>
      <c r="V4" s="96" t="s">
        <v>5</v>
      </c>
      <c r="W4" s="96" t="s">
        <v>6</v>
      </c>
      <c r="X4" s="96" t="s">
        <v>7</v>
      </c>
      <c r="Y4" s="96" t="s">
        <v>8</v>
      </c>
      <c r="Z4" s="96" t="s">
        <v>9</v>
      </c>
      <c r="AA4" s="96" t="s">
        <v>10</v>
      </c>
      <c r="AB4" s="96"/>
      <c r="AC4" s="50" t="str">
        <f t="shared" ref="AC4:AM4" si="0">E4</f>
        <v>S2</v>
      </c>
      <c r="AD4" s="50" t="str">
        <f t="shared" si="0"/>
        <v>S3</v>
      </c>
      <c r="AE4" s="50" t="str">
        <f t="shared" si="0"/>
        <v>S4</v>
      </c>
      <c r="AF4" s="50" t="str">
        <f t="shared" si="0"/>
        <v>S5</v>
      </c>
      <c r="AG4" s="50" t="str">
        <f t="shared" si="0"/>
        <v>S6</v>
      </c>
      <c r="AH4" s="50" t="str">
        <f t="shared" si="0"/>
        <v>S7</v>
      </c>
      <c r="AI4" s="50" t="str">
        <f t="shared" si="0"/>
        <v>S8</v>
      </c>
      <c r="AJ4" s="50" t="str">
        <f t="shared" si="0"/>
        <v>S9</v>
      </c>
      <c r="AK4" s="50" t="str">
        <f t="shared" si="0"/>
        <v>S10</v>
      </c>
      <c r="AL4" s="50" t="str">
        <f t="shared" si="0"/>
        <v>S11</v>
      </c>
      <c r="AM4" s="50" t="str">
        <f t="shared" si="0"/>
        <v>S12</v>
      </c>
      <c r="AN4" s="36"/>
      <c r="AO4" s="50" t="str">
        <f t="shared" ref="AO4:AY4" si="1">Q4</f>
        <v>S2</v>
      </c>
      <c r="AP4" s="50" t="str">
        <f t="shared" si="1"/>
        <v>S3</v>
      </c>
      <c r="AQ4" s="50" t="str">
        <f t="shared" si="1"/>
        <v>S4</v>
      </c>
      <c r="AR4" s="50" t="str">
        <f t="shared" si="1"/>
        <v>S5</v>
      </c>
      <c r="AS4" s="50" t="str">
        <f t="shared" si="1"/>
        <v>S6</v>
      </c>
      <c r="AT4" s="50" t="str">
        <f t="shared" si="1"/>
        <v>S7</v>
      </c>
      <c r="AU4" s="50" t="str">
        <f t="shared" si="1"/>
        <v>S8</v>
      </c>
      <c r="AV4" s="50" t="str">
        <f t="shared" si="1"/>
        <v>S9</v>
      </c>
      <c r="AW4" s="50" t="str">
        <f t="shared" si="1"/>
        <v>S10</v>
      </c>
      <c r="AX4" s="50" t="str">
        <f t="shared" si="1"/>
        <v>S11</v>
      </c>
      <c r="AY4" s="50" t="str">
        <f t="shared" si="1"/>
        <v>S12</v>
      </c>
      <c r="AZ4" s="50" t="s">
        <v>148</v>
      </c>
      <c r="BA4" s="50"/>
      <c r="BC4" s="50" t="str">
        <f t="shared" ref="BC4" si="2">AC4</f>
        <v>S2</v>
      </c>
      <c r="BD4" s="50" t="str">
        <f t="shared" ref="BD4" si="3">AD4</f>
        <v>S3</v>
      </c>
      <c r="BE4" s="50" t="str">
        <f t="shared" ref="BE4" si="4">AE4</f>
        <v>S4</v>
      </c>
      <c r="BF4" s="50" t="str">
        <f t="shared" ref="BF4" si="5">AF4</f>
        <v>S5</v>
      </c>
      <c r="BG4" s="50" t="str">
        <f t="shared" ref="BG4" si="6">AG4</f>
        <v>S6</v>
      </c>
      <c r="BH4" s="50" t="str">
        <f t="shared" ref="BH4" si="7">AH4</f>
        <v>S7</v>
      </c>
      <c r="BI4" s="50" t="str">
        <f t="shared" ref="BI4" si="8">AI4</f>
        <v>S8</v>
      </c>
      <c r="BJ4" s="50" t="str">
        <f t="shared" ref="BJ4" si="9">AJ4</f>
        <v>S9</v>
      </c>
      <c r="BK4" s="50" t="str">
        <f t="shared" ref="BK4" si="10">AK4</f>
        <v>S10</v>
      </c>
      <c r="BL4" s="50" t="str">
        <f t="shared" ref="BL4" si="11">AL4</f>
        <v>S11</v>
      </c>
      <c r="BM4" s="50" t="str">
        <f t="shared" ref="BM4" si="12">AM4</f>
        <v>S12</v>
      </c>
      <c r="BN4" s="99" t="s">
        <v>148</v>
      </c>
      <c r="BP4" s="99" t="s">
        <v>148</v>
      </c>
      <c r="BR4" s="99" t="s">
        <v>148</v>
      </c>
    </row>
    <row r="5" spans="2:70" x14ac:dyDescent="0.15">
      <c r="B5" s="95" t="str">
        <f>'MODU 2025'!B8</f>
        <v>ALVES Sylvie</v>
      </c>
      <c r="C5" s="95" t="str">
        <f>'MODU 2025'!C8</f>
        <v>Production CE</v>
      </c>
      <c r="D5" s="95">
        <f>'MODU 2025'!D8</f>
        <v>39</v>
      </c>
      <c r="E5" s="95">
        <f>'MODU 2025'!G8</f>
        <v>41</v>
      </c>
      <c r="F5" s="113">
        <f>'MODU 2025'!H8</f>
        <v>48</v>
      </c>
      <c r="G5" s="95">
        <f>'MODU 2025'!I8</f>
        <v>39</v>
      </c>
      <c r="H5" s="95">
        <f>'MODU 2025'!J8</f>
        <v>39</v>
      </c>
      <c r="I5" s="95">
        <f>'MODU 2025'!K8</f>
        <v>39</v>
      </c>
      <c r="J5" s="95">
        <f>'MODU 2025'!L8</f>
        <v>39</v>
      </c>
      <c r="K5" s="95">
        <f>'MODU 2025'!M8</f>
        <v>39</v>
      </c>
      <c r="L5" s="95">
        <f>'MODU 2025'!N8</f>
        <v>39</v>
      </c>
      <c r="M5" s="95">
        <f>'MODU 2025'!O8</f>
        <v>39</v>
      </c>
      <c r="N5" s="95">
        <f>'MODU 2025'!P8</f>
        <v>39</v>
      </c>
      <c r="O5" s="95">
        <f>'MODU 2025'!Q8</f>
        <v>39</v>
      </c>
      <c r="P5" s="97"/>
      <c r="Q5" s="97">
        <f>IF(MOD(COLUMN(),2)=0,INDEX(paramètres!$C$4:$C$6,MATCH($C5,paramètres!$B$4:$B$6,0)),INDEX(paramètres!$D$4:$D$6,MATCH($C5,paramètres!$B$4:$B$6,0)))</f>
        <v>39</v>
      </c>
      <c r="R5" s="97">
        <f>IF(MOD(COLUMN(),2)=0,INDEX(paramètres!$C$4:$C$6,MATCH($C5,paramètres!$B$4:$B$6,0)),INDEX(paramètres!$D$4:$D$6,MATCH($C5,paramètres!$B$4:$B$6,0)))</f>
        <v>39</v>
      </c>
      <c r="S5" s="97">
        <f>IF(MOD(COLUMN(),2)=0,INDEX(paramètres!$C$4:$C$6,MATCH($C5,paramètres!$B$4:$B$6,0)),INDEX(paramètres!$D$4:$D$6,MATCH($C5,paramètres!$B$4:$B$6,0)))</f>
        <v>39</v>
      </c>
      <c r="T5" s="97">
        <f>IF(MOD(COLUMN(),2)=0,INDEX(paramètres!$C$4:$C$6,MATCH($C5,paramètres!$B$4:$B$6,0)),INDEX(paramètres!$D$4:$D$6,MATCH($C5,paramètres!$B$4:$B$6,0)))</f>
        <v>39</v>
      </c>
      <c r="U5" s="97">
        <f>IF(MOD(COLUMN(),2)=0,INDEX(paramètres!$C$4:$C$6,MATCH($C5,paramètres!$B$4:$B$6,0)),INDEX(paramètres!$D$4:$D$6,MATCH($C5,paramètres!$B$4:$B$6,0)))</f>
        <v>39</v>
      </c>
      <c r="V5" s="97">
        <f>IF(MOD(COLUMN(),2)=0,INDEX(paramètres!$C$4:$C$6,MATCH($C5,paramètres!$B$4:$B$6,0)),INDEX(paramètres!$D$4:$D$6,MATCH($C5,paramètres!$B$4:$B$6,0)))</f>
        <v>39</v>
      </c>
      <c r="W5" s="97">
        <f>IF(MOD(COLUMN(),2)=0,INDEX(paramètres!$C$4:$C$6,MATCH($C5,paramètres!$B$4:$B$6,0)),INDEX(paramètres!$D$4:$D$6,MATCH($C5,paramètres!$B$4:$B$6,0)))</f>
        <v>39</v>
      </c>
      <c r="X5" s="97">
        <f>IF(MOD(COLUMN(),2)=0,INDEX(paramètres!$C$4:$C$6,MATCH($C5,paramètres!$B$4:$B$6,0)),INDEX(paramètres!$D$4:$D$6,MATCH($C5,paramètres!$B$4:$B$6,0)))</f>
        <v>39</v>
      </c>
      <c r="Y5" s="97">
        <f>IF(MOD(COLUMN(),2)=0,INDEX(paramètres!$C$4:$C$6,MATCH($C5,paramètres!$B$4:$B$6,0)),INDEX(paramètres!$D$4:$D$6,MATCH($C5,paramètres!$B$4:$B$6,0)))</f>
        <v>39</v>
      </c>
      <c r="Z5" s="97">
        <f>IF(MOD(COLUMN(),2)=0,INDEX(paramètres!$C$4:$C$6,MATCH($C5,paramètres!$B$4:$B$6,0)),INDEX(paramètres!$D$4:$D$6,MATCH($C5,paramètres!$B$4:$B$6,0)))</f>
        <v>39</v>
      </c>
      <c r="AA5" s="97">
        <f>IF(MOD(COLUMN(),2)=0,INDEX(paramètres!$C$4:$C$6,MATCH($C5,paramètres!$B$4:$B$6,0)),INDEX(paramètres!$D$4:$D$6,MATCH($C5,paramètres!$B$4:$B$6,0)))</f>
        <v>39</v>
      </c>
      <c r="AB5" s="98"/>
      <c r="AC5" s="97">
        <f>IF(MOD(COLUMN(),2)=0,SUM(E5:F5)-2*$D5,0)</f>
        <v>0</v>
      </c>
      <c r="AD5" s="97">
        <f>IF(MOD(COLUMN(),2)=0,SUM(F5:G5)-2*$D5,0)</f>
        <v>9</v>
      </c>
      <c r="AE5" s="97">
        <f>IF(MOD(COLUMN(),2)=0,SUM(G5:H5)-2*$D5,0)</f>
        <v>0</v>
      </c>
      <c r="AF5" s="97">
        <f>IF(MOD(COLUMN(),2)=0,SUM(H5:I5)-2*$D5,0)</f>
        <v>0</v>
      </c>
      <c r="AG5" s="97">
        <f t="shared" ref="AG5:AM5" si="13">IF(MOD(COLUMN(),2)=0,SUM(I5:J5)-2*$D5,0)</f>
        <v>0</v>
      </c>
      <c r="AH5" s="97">
        <f t="shared" si="13"/>
        <v>0</v>
      </c>
      <c r="AI5" s="97">
        <f t="shared" si="13"/>
        <v>0</v>
      </c>
      <c r="AJ5" s="97">
        <f t="shared" si="13"/>
        <v>0</v>
      </c>
      <c r="AK5" s="97">
        <f t="shared" si="13"/>
        <v>0</v>
      </c>
      <c r="AL5" s="97">
        <f t="shared" si="13"/>
        <v>0</v>
      </c>
      <c r="AM5" s="97">
        <f t="shared" si="13"/>
        <v>0</v>
      </c>
      <c r="AN5" s="93"/>
      <c r="AO5" s="97" t="str" cm="1">
        <f t="array" ref="AO5">IFERROR(
_xlfn.IFS(AND(AC5&gt;0,AC5&lt;($AP$3-$D5)),AC5*$AO$3,
AND(AC5&gt;0,AC5&gt;($AP$3-$D5)),($AP$3-$D5)*$AO$3),"")</f>
        <v/>
      </c>
      <c r="AP5" s="97" cm="1">
        <f t="array" ref="AP5">IFERROR(
_xlfn.IFS(AND(AD5&gt;0,AD5&lt;($AP$3-$D5)),AD5*$AO$3,
AND(AD5&gt;0,AD5&gt;($AP$3-$D5)),($AP$3-$D5)*$AO$3),"")</f>
        <v>3.75</v>
      </c>
      <c r="AQ5" s="97"/>
      <c r="AR5" s="97" t="str" cm="1">
        <f t="array" ref="AR5">IFERROR(
_xlfn.IFS(AND(AF5&gt;0,AF5&lt;($AP$3-$D5)),AF5*$AO$3,
AND(AF5&gt;0,AF5&gt;($AP$3-$D5)),($AP$3-$D5)*$AO$3),"")</f>
        <v/>
      </c>
      <c r="AS5" s="97" t="str" cm="1">
        <f t="array" ref="AS5">IFERROR(
_xlfn.IFS(AND(AG5&gt;0,AG5&lt;($AP$3-$D5)),AG5*$AO$3,
AND(AG5&gt;0,AG5&gt;($AP$3-$D5)),($AP$3-$D5)*$AO$3),"")</f>
        <v/>
      </c>
      <c r="AT5" s="97" t="str" cm="1">
        <f t="array" ref="AT5">IFERROR(
_xlfn.IFS(AND(AH5&gt;0,AH5&lt;($AP$3-$D5)),AH5*$AO$3,
AND(AH5&gt;0,AH5&gt;($AP$3-$D5)),($AP$3-$D5)*$AO$3),"")</f>
        <v/>
      </c>
      <c r="AU5" s="97" t="str" cm="1">
        <f t="array" ref="AU5">IFERROR(
_xlfn.IFS(AND(AI5&gt;0,AI5&lt;($AP$3-$D5)),AI5*$AO$3,
AND(AI5&gt;0,AI5&gt;($AP$3-$D5)),($AP$3-$D5)*$AO$3),"")</f>
        <v/>
      </c>
      <c r="AV5" s="97" t="str" cm="1">
        <f t="array" ref="AV5">IFERROR(
_xlfn.IFS(AND(AJ5&gt;0,AJ5&lt;($AP$3-$D5)),AJ5*$AO$3,
AND(AJ5&gt;0,AJ5&gt;($AP$3-$D5)),($AP$3-$D5)*$AO$3),"")</f>
        <v/>
      </c>
      <c r="AW5" s="97" t="str" cm="1">
        <f t="array" ref="AW5">IFERROR(
_xlfn.IFS(AND(AK5&gt;0,AK5&lt;($AP$3-$D5)),AK5*$AO$3,
AND(AK5&gt;0,AK5&gt;($AP$3-$D5)),($AP$3-$D5)*$AO$3),"")</f>
        <v/>
      </c>
      <c r="AX5" s="97" t="str" cm="1">
        <f t="array" ref="AX5">IFERROR(
_xlfn.IFS(AND(AL5&gt;0,AL5&lt;($AP$3-$D5)),AL5*$AO$3,
AND(AL5&gt;0,AL5&gt;($AP$3-$D5)),($AP$3-$D5)*$AO$3),"")</f>
        <v/>
      </c>
      <c r="AY5" s="97" t="str" cm="1">
        <f t="array" ref="AY5">IFERROR(
_xlfn.IFS(AND(AM5&gt;0,AM5&lt;($AP$3-$D5)),AM5*$AO$3,
AND(AM5&gt;0,AM5&gt;($AP$3-$D5)),($AP$3-$D5)*$AO$3),"")</f>
        <v/>
      </c>
      <c r="AZ5" s="97">
        <f>SUM(AO5:AY5)</f>
        <v>3.75</v>
      </c>
      <c r="BA5" s="93"/>
      <c r="BB5" s="92"/>
      <c r="BC5" s="97" t="str">
        <f>IF(AC5&gt;=($AP$3-$D5),(AC5-($AP$3-$D5))*$BC$3,"")</f>
        <v/>
      </c>
      <c r="BD5" s="97">
        <f>IF(AD5&gt;=($AP$3-$D5),(AD5-($AP$3-$D5))*$BC$3,"")</f>
        <v>9</v>
      </c>
      <c r="BE5" s="97" t="str">
        <f t="shared" ref="BE5:BM5" si="14">IF(AE5&gt;=($AP$3-$D5),(AE5-($AP$3-$D5))*$BC$3,"")</f>
        <v/>
      </c>
      <c r="BF5" s="97" t="str">
        <f t="shared" si="14"/>
        <v/>
      </c>
      <c r="BG5" s="97" t="str">
        <f t="shared" si="14"/>
        <v/>
      </c>
      <c r="BH5" s="97" t="str">
        <f t="shared" si="14"/>
        <v/>
      </c>
      <c r="BI5" s="97" t="str">
        <f t="shared" si="14"/>
        <v/>
      </c>
      <c r="BJ5" s="97" t="str">
        <f t="shared" si="14"/>
        <v/>
      </c>
      <c r="BK5" s="97" t="str">
        <f t="shared" si="14"/>
        <v/>
      </c>
      <c r="BL5" s="97" t="str">
        <f t="shared" si="14"/>
        <v/>
      </c>
      <c r="BM5" s="97" t="str">
        <f t="shared" si="14"/>
        <v/>
      </c>
      <c r="BN5" s="97">
        <f>SUM(BC5:BM5)</f>
        <v>9</v>
      </c>
      <c r="BP5" s="92">
        <f>AZ5+BN5</f>
        <v>12.75</v>
      </c>
      <c r="BR5" s="92">
        <f>BP5+SUMIFS(AC5:AM5,AC5:AM5,"&lt;0")</f>
        <v>12.75</v>
      </c>
    </row>
    <row r="6" spans="2:70" x14ac:dyDescent="0.15">
      <c r="B6" s="95" t="str">
        <f>'MODU 2025'!B9</f>
        <v>BALLOT Lucas</v>
      </c>
      <c r="C6" s="95" t="str">
        <f>'MODU 2025'!C9</f>
        <v>Production</v>
      </c>
      <c r="D6" s="95">
        <f>'MODU 2025'!D9</f>
        <v>37</v>
      </c>
      <c r="E6" s="95">
        <f>'MODU 2025'!G9</f>
        <v>41</v>
      </c>
      <c r="F6" s="100">
        <f>'MODU 2025'!H9</f>
        <v>48</v>
      </c>
      <c r="G6" s="95">
        <f>'MODU 2025'!I9</f>
        <v>41</v>
      </c>
      <c r="H6" s="95">
        <f>'MODU 2025'!J9</f>
        <v>17</v>
      </c>
      <c r="I6" s="95">
        <f>'MODU 2025'!K9</f>
        <v>41</v>
      </c>
      <c r="J6" s="95">
        <f>'MODU 2025'!L9</f>
        <v>33</v>
      </c>
      <c r="K6" s="95">
        <f>'MODU 2025'!M9</f>
        <v>41</v>
      </c>
      <c r="L6" s="95">
        <f>'MODU 2025'!N9</f>
        <v>33</v>
      </c>
      <c r="M6" s="95">
        <f>'MODU 2025'!O9</f>
        <v>41</v>
      </c>
      <c r="N6" s="95">
        <f>'MODU 2025'!P9</f>
        <v>33</v>
      </c>
      <c r="O6" s="95">
        <f>'MODU 2025'!Q9</f>
        <v>41</v>
      </c>
      <c r="P6" s="97"/>
      <c r="Q6" s="97">
        <f>IF(MOD(COLUMN(),2)=0,INDEX(paramètres!$C$4:$C$6,MATCH($C6,paramètres!$B$4:$B$6,0)),INDEX(paramètres!$D$4:$D$6,MATCH($C6,paramètres!$B$4:$B$6,0)))</f>
        <v>41</v>
      </c>
      <c r="R6" s="97">
        <f>IF(MOD(COLUMN(),2)=0,INDEX(paramètres!$C$4:$C$6,MATCH($C6,paramètres!$B$4:$B$6,0)),INDEX(paramètres!$D$4:$D$6,MATCH($C6,paramètres!$B$4:$B$6,0)))</f>
        <v>33</v>
      </c>
      <c r="S6" s="97">
        <f>IF(MOD(COLUMN(),2)=0,INDEX(paramètres!$C$4:$C$6,MATCH($C6,paramètres!$B$4:$B$6,0)),INDEX(paramètres!$D$4:$D$6,MATCH($C6,paramètres!$B$4:$B$6,0)))</f>
        <v>41</v>
      </c>
      <c r="T6" s="97">
        <f>IF(MOD(COLUMN(),2)=0,INDEX(paramètres!$C$4:$C$6,MATCH($C6,paramètres!$B$4:$B$6,0)),INDEX(paramètres!$D$4:$D$6,MATCH($C6,paramètres!$B$4:$B$6,0)))</f>
        <v>33</v>
      </c>
      <c r="U6" s="97">
        <f>IF(MOD(COLUMN(),2)=0,INDEX(paramètres!$C$4:$C$6,MATCH($C6,paramètres!$B$4:$B$6,0)),INDEX(paramètres!$D$4:$D$6,MATCH($C6,paramètres!$B$4:$B$6,0)))</f>
        <v>41</v>
      </c>
      <c r="V6" s="97">
        <f>IF(MOD(COLUMN(),2)=0,INDEX(paramètres!$C$4:$C$6,MATCH($C6,paramètres!$B$4:$B$6,0)),INDEX(paramètres!$D$4:$D$6,MATCH($C6,paramètres!$B$4:$B$6,0)))</f>
        <v>33</v>
      </c>
      <c r="W6" s="97">
        <f>IF(MOD(COLUMN(),2)=0,INDEX(paramètres!$C$4:$C$6,MATCH($C6,paramètres!$B$4:$B$6,0)),INDEX(paramètres!$D$4:$D$6,MATCH($C6,paramètres!$B$4:$B$6,0)))</f>
        <v>41</v>
      </c>
      <c r="X6" s="97">
        <f>IF(MOD(COLUMN(),2)=0,INDEX(paramètres!$C$4:$C$6,MATCH($C6,paramètres!$B$4:$B$6,0)),INDEX(paramètres!$D$4:$D$6,MATCH($C6,paramètres!$B$4:$B$6,0)))</f>
        <v>33</v>
      </c>
      <c r="Y6" s="97">
        <f>IF(MOD(COLUMN(),2)=0,INDEX(paramètres!$C$4:$C$6,MATCH($C6,paramètres!$B$4:$B$6,0)),INDEX(paramètres!$D$4:$D$6,MATCH($C6,paramètres!$B$4:$B$6,0)))</f>
        <v>41</v>
      </c>
      <c r="Z6" s="97">
        <f>IF(MOD(COLUMN(),2)=0,INDEX(paramètres!$C$4:$C$6,MATCH($C6,paramètres!$B$4:$B$6,0)),INDEX(paramètres!$D$4:$D$6,MATCH($C6,paramètres!$B$4:$B$6,0)))</f>
        <v>33</v>
      </c>
      <c r="AA6" s="97">
        <f>IF(MOD(COLUMN(),2)=0,INDEX(paramètres!$C$4:$C$6,MATCH($C6,paramètres!$B$4:$B$6,0)),INDEX(paramètres!$D$4:$D$6,MATCH($C6,paramètres!$B$4:$B$6,0)))</f>
        <v>41</v>
      </c>
      <c r="AB6" s="98"/>
      <c r="AC6" s="97">
        <f t="shared" ref="AC6:AC45" si="15">IF(MOD(COLUMN(),2)=0,SUM(E6:F6)-2*$D6,0)</f>
        <v>0</v>
      </c>
      <c r="AD6" s="97">
        <f t="shared" ref="AD6:AD45" si="16">IF(MOD(COLUMN(),2)=0,SUM(F6:G6)-2*$D6,0)</f>
        <v>15</v>
      </c>
      <c r="AE6" s="97">
        <f t="shared" ref="AE6:AE45" si="17">IF(MOD(COLUMN(),2)=0,SUM(G6:H6)-2*$D6,0)</f>
        <v>0</v>
      </c>
      <c r="AF6" s="97">
        <f t="shared" ref="AF6:AF45" si="18">IF(MOD(COLUMN(),2)=0,SUM(H6:I6)-2*$D6,0)</f>
        <v>-16</v>
      </c>
      <c r="AG6" s="97">
        <f t="shared" ref="AG6:AG45" si="19">IF(MOD(COLUMN(),2)=0,SUM(I6:J6)-2*$D6,0)</f>
        <v>0</v>
      </c>
      <c r="AH6" s="97">
        <f t="shared" ref="AH6:AH45" si="20">IF(MOD(COLUMN(),2)=0,SUM(J6:K6)-2*$D6,0)</f>
        <v>0</v>
      </c>
      <c r="AI6" s="97">
        <f t="shared" ref="AI6:AI45" si="21">IF(MOD(COLUMN(),2)=0,SUM(K6:L6)-2*$D6,0)</f>
        <v>0</v>
      </c>
      <c r="AJ6" s="97">
        <f t="shared" ref="AJ6:AJ45" si="22">IF(MOD(COLUMN(),2)=0,SUM(L6:M6)-2*$D6,0)</f>
        <v>0</v>
      </c>
      <c r="AK6" s="97">
        <f t="shared" ref="AK6:AK45" si="23">IF(MOD(COLUMN(),2)=0,SUM(M6:N6)-2*$D6,0)</f>
        <v>0</v>
      </c>
      <c r="AL6" s="97">
        <f t="shared" ref="AL6:AL45" si="24">IF(MOD(COLUMN(),2)=0,SUM(N6:O6)-2*$D6,0)</f>
        <v>0</v>
      </c>
      <c r="AM6" s="97">
        <f t="shared" ref="AM6:AM45" si="25">IF(MOD(COLUMN(),2)=0,SUM(O6:P6)-2*$D6,0)</f>
        <v>0</v>
      </c>
      <c r="AN6" s="36"/>
      <c r="AO6" s="97" t="str" cm="1">
        <f t="array" ref="AO6">IFERROR(
_xlfn.IFS(AND(AC6&gt;0,AC6&lt;($AP$3-$D6)),AC6*$AO$3,
AND(AC6&gt;0,AC6&gt;($AP$3-$D6)),($AP$3-$D6)*$AO$3),"")</f>
        <v/>
      </c>
      <c r="AP6" s="97" cm="1">
        <f t="array" ref="AP6">IFERROR(
_xlfn.IFS(AND(AD6&gt;0,AD6&lt;($AP$3-$D6)),AD6*$AO$3,
AND(AD6&gt;0,AD6&gt;($AP$3-$D6)),($AP$3-$D6)*$AO$3),"")</f>
        <v>6.25</v>
      </c>
      <c r="AQ6" s="97"/>
      <c r="AR6" s="97" t="str" cm="1">
        <f t="array" ref="AR6">IFERROR(
_xlfn.IFS(AND(AF6&gt;0,AF6&lt;($AP$3-$D6)),AF6*$AO$3,
AND(AF6&gt;0,AF6&gt;($AP$3-$D6)),($AP$3-$D6)*$AO$3),"")</f>
        <v/>
      </c>
      <c r="AS6" s="97" t="str" cm="1">
        <f t="array" ref="AS6">IFERROR(
_xlfn.IFS(AND(AG6&gt;0,AG6&lt;($AP$3-$D6)),AG6*$AO$3,
AND(AG6&gt;0,AG6&gt;($AP$3-$D6)),($AP$3-$D6)*$AO$3),"")</f>
        <v/>
      </c>
      <c r="AT6" s="97" t="str" cm="1">
        <f t="array" ref="AT6">IFERROR(
_xlfn.IFS(AND(AH6&gt;0,AH6&lt;($AP$3-$D6)),AH6*$AO$3,
AND(AH6&gt;0,AH6&gt;($AP$3-$D6)),($AP$3-$D6)*$AO$3),"")</f>
        <v/>
      </c>
      <c r="AU6" s="97" t="str" cm="1">
        <f t="array" ref="AU6">IFERROR(
_xlfn.IFS(AND(AI6&gt;0,AI6&lt;($AP$3-$D6)),AI6*$AO$3,
AND(AI6&gt;0,AI6&gt;($AP$3-$D6)),($AP$3-$D6)*$AO$3),"")</f>
        <v/>
      </c>
      <c r="AV6" s="97" t="str" cm="1">
        <f t="array" ref="AV6">IFERROR(
_xlfn.IFS(AND(AJ6&gt;0,AJ6&lt;($AP$3-$D6)),AJ6*$AO$3,
AND(AJ6&gt;0,AJ6&gt;($AP$3-$D6)),($AP$3-$D6)*$AO$3),"")</f>
        <v/>
      </c>
      <c r="AW6" s="97" t="str" cm="1">
        <f t="array" ref="AW6">IFERROR(
_xlfn.IFS(AND(AK6&gt;0,AK6&lt;($AP$3-$D6)),AK6*$AO$3,
AND(AK6&gt;0,AK6&gt;($AP$3-$D6)),($AP$3-$D6)*$AO$3),"")</f>
        <v/>
      </c>
      <c r="AX6" s="97" t="str" cm="1">
        <f t="array" ref="AX6">IFERROR(
_xlfn.IFS(AND(AL6&gt;0,AL6&lt;($AP$3-$D6)),AL6*$AO$3,
AND(AL6&gt;0,AL6&gt;($AP$3-$D6)),($AP$3-$D6)*$AO$3),"")</f>
        <v/>
      </c>
      <c r="AY6" s="97" t="str" cm="1">
        <f t="array" ref="AY6">IFERROR(
_xlfn.IFS(AND(AM6&gt;0,AM6&lt;($AP$3-$D6)),AM6*$AO$3,
AND(AM6&gt;0,AM6&gt;($AP$3-$D6)),($AP$3-$D6)*$AO$3),"")</f>
        <v/>
      </c>
      <c r="AZ6" s="97">
        <f t="shared" ref="AZ6:AZ45" si="26">SUM(AO6:AY6)</f>
        <v>6.25</v>
      </c>
      <c r="BA6" s="93"/>
      <c r="BB6" s="92"/>
      <c r="BC6" s="97" t="str">
        <f t="shared" ref="BC6:BC45" si="27">IF(AC6&gt;=($AP$3-$D6),(AC6-($AP$3-$D6))*$BC$3,"")</f>
        <v/>
      </c>
      <c r="BD6" s="97">
        <f t="shared" ref="BD6:BD45" si="28">IF(AD6&gt;=($AP$3-$D6),(AD6-($AP$3-$D6))*$BC$3,"")</f>
        <v>15</v>
      </c>
      <c r="BE6" s="97" t="str">
        <f t="shared" ref="BE6:BE45" si="29">IF(AE6&gt;=($AP$3-$D6),(AE6-($AP$3-$D6))*$BC$3,"")</f>
        <v/>
      </c>
      <c r="BF6" s="97" t="str">
        <f t="shared" ref="BF6:BF45" si="30">IF(AF6&gt;=($AP$3-$D6),(AF6-($AP$3-$D6))*$BC$3,"")</f>
        <v/>
      </c>
      <c r="BG6" s="97" t="str">
        <f t="shared" ref="BG6:BG45" si="31">IF(AG6&gt;=($AP$3-$D6),(AG6-($AP$3-$D6))*$BC$3,"")</f>
        <v/>
      </c>
      <c r="BH6" s="97" t="str">
        <f t="shared" ref="BH6:BH45" si="32">IF(AH6&gt;=($AP$3-$D6),(AH6-($AP$3-$D6))*$BC$3,"")</f>
        <v/>
      </c>
      <c r="BI6" s="97" t="str">
        <f t="shared" ref="BI6:BI45" si="33">IF(AI6&gt;=($AP$3-$D6),(AI6-($AP$3-$D6))*$BC$3,"")</f>
        <v/>
      </c>
      <c r="BJ6" s="97" t="str">
        <f t="shared" ref="BJ6:BJ45" si="34">IF(AJ6&gt;=($AP$3-$D6),(AJ6-($AP$3-$D6))*$BC$3,"")</f>
        <v/>
      </c>
      <c r="BK6" s="97" t="str">
        <f t="shared" ref="BK6:BK45" si="35">IF(AK6&gt;=($AP$3-$D6),(AK6-($AP$3-$D6))*$BC$3,"")</f>
        <v/>
      </c>
      <c r="BL6" s="97" t="str">
        <f t="shared" ref="BL6:BL45" si="36">IF(AL6&gt;=($AP$3-$D6),(AL6-($AP$3-$D6))*$BC$3,"")</f>
        <v/>
      </c>
      <c r="BM6" s="97" t="str">
        <f t="shared" ref="BM6:BM45" si="37">IF(AM6&gt;=($AP$3-$D6),(AM6-($AP$3-$D6))*$BC$3,"")</f>
        <v/>
      </c>
      <c r="BN6" s="97">
        <f t="shared" ref="BN6:BN45" si="38">SUM(BC6:BM6)</f>
        <v>15</v>
      </c>
      <c r="BP6" s="92">
        <f>AZ6+BN6</f>
        <v>21.25</v>
      </c>
      <c r="BR6" s="92">
        <f t="shared" ref="BR6:BR45" si="39">BP6+SUMIFS(AC6:AM6,AC6:AM6,"&lt;0")</f>
        <v>5.25</v>
      </c>
    </row>
    <row r="7" spans="2:70" x14ac:dyDescent="0.15">
      <c r="B7" s="95" t="str">
        <f>'MODU 2025'!B10</f>
        <v>BOLLET DURAFOUR Bérangère</v>
      </c>
      <c r="C7" s="95" t="str">
        <f>'MODU 2025'!C10</f>
        <v>Production</v>
      </c>
      <c r="D7" s="95">
        <f>'MODU 2025'!D10</f>
        <v>37</v>
      </c>
      <c r="E7" s="95">
        <f>'MODU 2025'!G10</f>
        <v>41</v>
      </c>
      <c r="F7" s="95">
        <f>'MODU 2025'!H10</f>
        <v>33</v>
      </c>
      <c r="G7" s="95">
        <f>'MODU 2025'!I10</f>
        <v>41</v>
      </c>
      <c r="H7" s="95">
        <f>'MODU 2025'!J10</f>
        <v>33</v>
      </c>
      <c r="I7" s="95">
        <f>'MODU 2025'!K10</f>
        <v>41</v>
      </c>
      <c r="J7" s="95">
        <f>'MODU 2025'!L10</f>
        <v>33</v>
      </c>
      <c r="K7" s="95">
        <f>'MODU 2025'!M10</f>
        <v>41</v>
      </c>
      <c r="L7" s="95">
        <f>'MODU 2025'!N10</f>
        <v>33</v>
      </c>
      <c r="M7" s="95">
        <f>'MODU 2025'!O10</f>
        <v>41</v>
      </c>
      <c r="N7" s="95">
        <f>'MODU 2025'!P10</f>
        <v>33</v>
      </c>
      <c r="O7" s="95">
        <f>'MODU 2025'!Q10</f>
        <v>41</v>
      </c>
      <c r="P7" s="97"/>
      <c r="Q7" s="97">
        <f>IF(MOD(COLUMN(),2)=0,INDEX(paramètres!$C$4:$C$6,MATCH($C7,paramètres!$B$4:$B$6,0)),INDEX(paramètres!$D$4:$D$6,MATCH($C7,paramètres!$B$4:$B$6,0)))</f>
        <v>41</v>
      </c>
      <c r="R7" s="97">
        <f>IF(MOD(COLUMN(),2)=0,INDEX(paramètres!$C$4:$C$6,MATCH($C7,paramètres!$B$4:$B$6,0)),INDEX(paramètres!$D$4:$D$6,MATCH($C7,paramètres!$B$4:$B$6,0)))</f>
        <v>33</v>
      </c>
      <c r="S7" s="97">
        <f>IF(MOD(COLUMN(),2)=0,INDEX(paramètres!$C$4:$C$6,MATCH($C7,paramètres!$B$4:$B$6,0)),INDEX(paramètres!$D$4:$D$6,MATCH($C7,paramètres!$B$4:$B$6,0)))</f>
        <v>41</v>
      </c>
      <c r="T7" s="97">
        <f>IF(MOD(COLUMN(),2)=0,INDEX(paramètres!$C$4:$C$6,MATCH($C7,paramètres!$B$4:$B$6,0)),INDEX(paramètres!$D$4:$D$6,MATCH($C7,paramètres!$B$4:$B$6,0)))</f>
        <v>33</v>
      </c>
      <c r="U7" s="97">
        <f>IF(MOD(COLUMN(),2)=0,INDEX(paramètres!$C$4:$C$6,MATCH($C7,paramètres!$B$4:$B$6,0)),INDEX(paramètres!$D$4:$D$6,MATCH($C7,paramètres!$B$4:$B$6,0)))</f>
        <v>41</v>
      </c>
      <c r="V7" s="97">
        <f>IF(MOD(COLUMN(),2)=0,INDEX(paramètres!$C$4:$C$6,MATCH($C7,paramètres!$B$4:$B$6,0)),INDEX(paramètres!$D$4:$D$6,MATCH($C7,paramètres!$B$4:$B$6,0)))</f>
        <v>33</v>
      </c>
      <c r="W7" s="97">
        <f>IF(MOD(COLUMN(),2)=0,INDEX(paramètres!$C$4:$C$6,MATCH($C7,paramètres!$B$4:$B$6,0)),INDEX(paramètres!$D$4:$D$6,MATCH($C7,paramètres!$B$4:$B$6,0)))</f>
        <v>41</v>
      </c>
      <c r="X7" s="97">
        <f>IF(MOD(COLUMN(),2)=0,INDEX(paramètres!$C$4:$C$6,MATCH($C7,paramètres!$B$4:$B$6,0)),INDEX(paramètres!$D$4:$D$6,MATCH($C7,paramètres!$B$4:$B$6,0)))</f>
        <v>33</v>
      </c>
      <c r="Y7" s="97">
        <f>IF(MOD(COLUMN(),2)=0,INDEX(paramètres!$C$4:$C$6,MATCH($C7,paramètres!$B$4:$B$6,0)),INDEX(paramètres!$D$4:$D$6,MATCH($C7,paramètres!$B$4:$B$6,0)))</f>
        <v>41</v>
      </c>
      <c r="Z7" s="97">
        <f>IF(MOD(COLUMN(),2)=0,INDEX(paramètres!$C$4:$C$6,MATCH($C7,paramètres!$B$4:$B$6,0)),INDEX(paramètres!$D$4:$D$6,MATCH($C7,paramètres!$B$4:$B$6,0)))</f>
        <v>33</v>
      </c>
      <c r="AA7" s="97">
        <f>IF(MOD(COLUMN(),2)=0,INDEX(paramètres!$C$4:$C$6,MATCH($C7,paramètres!$B$4:$B$6,0)),INDEX(paramètres!$D$4:$D$6,MATCH($C7,paramètres!$B$4:$B$6,0)))</f>
        <v>41</v>
      </c>
      <c r="AB7" s="98"/>
      <c r="AC7" s="97">
        <f t="shared" si="15"/>
        <v>0</v>
      </c>
      <c r="AD7" s="97">
        <f t="shared" si="16"/>
        <v>0</v>
      </c>
      <c r="AE7" s="97">
        <f t="shared" si="17"/>
        <v>0</v>
      </c>
      <c r="AF7" s="97">
        <f t="shared" si="18"/>
        <v>0</v>
      </c>
      <c r="AG7" s="97">
        <f t="shared" si="19"/>
        <v>0</v>
      </c>
      <c r="AH7" s="97">
        <f t="shared" si="20"/>
        <v>0</v>
      </c>
      <c r="AI7" s="97">
        <f t="shared" si="21"/>
        <v>0</v>
      </c>
      <c r="AJ7" s="97">
        <f t="shared" si="22"/>
        <v>0</v>
      </c>
      <c r="AK7" s="97">
        <f t="shared" si="23"/>
        <v>0</v>
      </c>
      <c r="AL7" s="97">
        <f t="shared" si="24"/>
        <v>0</v>
      </c>
      <c r="AM7" s="97">
        <f t="shared" si="25"/>
        <v>0</v>
      </c>
      <c r="AN7" s="36"/>
      <c r="AO7" s="97" t="str" cm="1">
        <f t="array" ref="AO7">IFERROR(
_xlfn.IFS(AND(AC7&gt;0,AC7&lt;($AP$3-$D7)),AC7*$AO$3,
AND(AC7&gt;0,AC7&gt;($AP$3-$D7)),($AP$3-$D7)*$AO$3),"")</f>
        <v/>
      </c>
      <c r="AP7" s="97" t="str" cm="1">
        <f t="array" ref="AP7">IFERROR(
_xlfn.IFS(AND(AD7&gt;0,AD7&lt;($AP$3-$D7)),AD7*$AO$3,
AND(AD7&gt;0,AD7&gt;($AP$3-$D7)),($AP$3-$D7)*$AO$3),"")</f>
        <v/>
      </c>
      <c r="AQ7" s="97" t="str" cm="1">
        <f t="array" ref="AQ7">IFERROR(
_xlfn.IFS(AND(AE7&gt;0,AE7&lt;($AP$3-$D7)),AE7*$AO$3,
AND(AE7&gt;0,AE7&gt;($AP$3-$D7)),($AP$3-$D7)*$AO$3),"")</f>
        <v/>
      </c>
      <c r="AR7" s="97" t="str" cm="1">
        <f t="array" ref="AR7">IFERROR(
_xlfn.IFS(AND(AF7&gt;0,AF7&lt;($AP$3-$D7)),AF7*$AO$3,
AND(AF7&gt;0,AF7&gt;($AP$3-$D7)),($AP$3-$D7)*$AO$3),"")</f>
        <v/>
      </c>
      <c r="AS7" s="97" t="str" cm="1">
        <f t="array" ref="AS7">IFERROR(
_xlfn.IFS(AND(AG7&gt;0,AG7&lt;($AP$3-$D7)),AG7*$AO$3,
AND(AG7&gt;0,AG7&gt;($AP$3-$D7)),($AP$3-$D7)*$AO$3),"")</f>
        <v/>
      </c>
      <c r="AT7" s="97" t="str" cm="1">
        <f t="array" ref="AT7">IFERROR(
_xlfn.IFS(AND(AH7&gt;0,AH7&lt;($AP$3-$D7)),AH7*$AO$3,
AND(AH7&gt;0,AH7&gt;($AP$3-$D7)),($AP$3-$D7)*$AO$3),"")</f>
        <v/>
      </c>
      <c r="AU7" s="97" t="str" cm="1">
        <f t="array" ref="AU7">IFERROR(
_xlfn.IFS(AND(AI7&gt;0,AI7&lt;($AP$3-$D7)),AI7*$AO$3,
AND(AI7&gt;0,AI7&gt;($AP$3-$D7)),($AP$3-$D7)*$AO$3),"")</f>
        <v/>
      </c>
      <c r="AV7" s="97" t="str" cm="1">
        <f t="array" ref="AV7">IFERROR(
_xlfn.IFS(AND(AJ7&gt;0,AJ7&lt;($AP$3-$D7)),AJ7*$AO$3,
AND(AJ7&gt;0,AJ7&gt;($AP$3-$D7)),($AP$3-$D7)*$AO$3),"")</f>
        <v/>
      </c>
      <c r="AW7" s="97" t="str" cm="1">
        <f t="array" ref="AW7">IFERROR(
_xlfn.IFS(AND(AK7&gt;0,AK7&lt;($AP$3-$D7)),AK7*$AO$3,
AND(AK7&gt;0,AK7&gt;($AP$3-$D7)),($AP$3-$D7)*$AO$3),"")</f>
        <v/>
      </c>
      <c r="AX7" s="97" t="str" cm="1">
        <f t="array" ref="AX7">IFERROR(
_xlfn.IFS(AND(AL7&gt;0,AL7&lt;($AP$3-$D7)),AL7*$AO$3,
AND(AL7&gt;0,AL7&gt;($AP$3-$D7)),($AP$3-$D7)*$AO$3),"")</f>
        <v/>
      </c>
      <c r="AY7" s="97" t="str" cm="1">
        <f t="array" ref="AY7">IFERROR(
_xlfn.IFS(AND(AM7&gt;0,AM7&lt;($AP$3-$D7)),AM7*$AO$3,
AND(AM7&gt;0,AM7&gt;($AP$3-$D7)),($AP$3-$D7)*$AO$3),"")</f>
        <v/>
      </c>
      <c r="AZ7" s="97">
        <f t="shared" si="26"/>
        <v>0</v>
      </c>
      <c r="BA7" s="93"/>
      <c r="BB7" s="92"/>
      <c r="BC7" s="97" t="str">
        <f t="shared" si="27"/>
        <v/>
      </c>
      <c r="BD7" s="97" t="str">
        <f t="shared" si="28"/>
        <v/>
      </c>
      <c r="BE7" s="97" t="str">
        <f t="shared" si="29"/>
        <v/>
      </c>
      <c r="BF7" s="97" t="str">
        <f t="shared" si="30"/>
        <v/>
      </c>
      <c r="BG7" s="97" t="str">
        <f t="shared" si="31"/>
        <v/>
      </c>
      <c r="BH7" s="97" t="str">
        <f t="shared" si="32"/>
        <v/>
      </c>
      <c r="BI7" s="97" t="str">
        <f t="shared" si="33"/>
        <v/>
      </c>
      <c r="BJ7" s="97" t="str">
        <f t="shared" si="34"/>
        <v/>
      </c>
      <c r="BK7" s="97" t="str">
        <f t="shared" si="35"/>
        <v/>
      </c>
      <c r="BL7" s="97" t="str">
        <f t="shared" si="36"/>
        <v/>
      </c>
      <c r="BM7" s="97" t="str">
        <f t="shared" si="37"/>
        <v/>
      </c>
      <c r="BN7" s="97">
        <f t="shared" si="38"/>
        <v>0</v>
      </c>
      <c r="BP7" s="92">
        <f t="shared" ref="BP7:BP45" si="40">AZ7+BN7</f>
        <v>0</v>
      </c>
      <c r="BR7" s="92">
        <f t="shared" si="39"/>
        <v>0</v>
      </c>
    </row>
    <row r="8" spans="2:70" x14ac:dyDescent="0.15">
      <c r="B8" s="95" t="str">
        <f>'MODU 2025'!B11</f>
        <v>BONNERUE Sandrine</v>
      </c>
      <c r="C8" s="95" t="str">
        <f>'MODU 2025'!C11</f>
        <v>Production</v>
      </c>
      <c r="D8" s="95">
        <f>'MODU 2025'!D11</f>
        <v>37</v>
      </c>
      <c r="E8" s="95">
        <f>'MODU 2025'!G11</f>
        <v>33</v>
      </c>
      <c r="F8" s="95">
        <f>'MODU 2025'!H11</f>
        <v>41</v>
      </c>
      <c r="G8" s="95">
        <f>'MODU 2025'!I11</f>
        <v>33</v>
      </c>
      <c r="H8" s="95">
        <f>'MODU 2025'!J11</f>
        <v>41</v>
      </c>
      <c r="I8" s="95">
        <f>'MODU 2025'!K11</f>
        <v>33</v>
      </c>
      <c r="J8" s="95">
        <f>'MODU 2025'!L11</f>
        <v>41</v>
      </c>
      <c r="K8" s="95">
        <f>'MODU 2025'!M11</f>
        <v>33</v>
      </c>
      <c r="L8" s="95">
        <f>'MODU 2025'!N11</f>
        <v>41</v>
      </c>
      <c r="M8" s="95">
        <f>'MODU 2025'!O11</f>
        <v>33</v>
      </c>
      <c r="N8" s="95">
        <f>'MODU 2025'!P11</f>
        <v>41</v>
      </c>
      <c r="O8" s="95">
        <f>'MODU 2025'!Q11</f>
        <v>33</v>
      </c>
      <c r="P8" s="97"/>
      <c r="Q8" s="97">
        <f>IF(MOD(COLUMN(),2)=0,INDEX(paramètres!$C$4:$C$6,MATCH($C8,paramètres!$B$4:$B$6,0)),INDEX(paramètres!$D$4:$D$6,MATCH($C8,paramètres!$B$4:$B$6,0)))</f>
        <v>41</v>
      </c>
      <c r="R8" s="97">
        <f>IF(MOD(COLUMN(),2)=0,INDEX(paramètres!$C$4:$C$6,MATCH($C8,paramètres!$B$4:$B$6,0)),INDEX(paramètres!$D$4:$D$6,MATCH($C8,paramètres!$B$4:$B$6,0)))</f>
        <v>33</v>
      </c>
      <c r="S8" s="97">
        <f>IF(MOD(COLUMN(),2)=0,INDEX(paramètres!$C$4:$C$6,MATCH($C8,paramètres!$B$4:$B$6,0)),INDEX(paramètres!$D$4:$D$6,MATCH($C8,paramètres!$B$4:$B$6,0)))</f>
        <v>41</v>
      </c>
      <c r="T8" s="97">
        <f>IF(MOD(COLUMN(),2)=0,INDEX(paramètres!$C$4:$C$6,MATCH($C8,paramètres!$B$4:$B$6,0)),INDEX(paramètres!$D$4:$D$6,MATCH($C8,paramètres!$B$4:$B$6,0)))</f>
        <v>33</v>
      </c>
      <c r="U8" s="97">
        <f>IF(MOD(COLUMN(),2)=0,INDEX(paramètres!$C$4:$C$6,MATCH($C8,paramètres!$B$4:$B$6,0)),INDEX(paramètres!$D$4:$D$6,MATCH($C8,paramètres!$B$4:$B$6,0)))</f>
        <v>41</v>
      </c>
      <c r="V8" s="97">
        <f>IF(MOD(COLUMN(),2)=0,INDEX(paramètres!$C$4:$C$6,MATCH($C8,paramètres!$B$4:$B$6,0)),INDEX(paramètres!$D$4:$D$6,MATCH($C8,paramètres!$B$4:$B$6,0)))</f>
        <v>33</v>
      </c>
      <c r="W8" s="97">
        <f>IF(MOD(COLUMN(),2)=0,INDEX(paramètres!$C$4:$C$6,MATCH($C8,paramètres!$B$4:$B$6,0)),INDEX(paramètres!$D$4:$D$6,MATCH($C8,paramètres!$B$4:$B$6,0)))</f>
        <v>41</v>
      </c>
      <c r="X8" s="97">
        <f>IF(MOD(COLUMN(),2)=0,INDEX(paramètres!$C$4:$C$6,MATCH($C8,paramètres!$B$4:$B$6,0)),INDEX(paramètres!$D$4:$D$6,MATCH($C8,paramètres!$B$4:$B$6,0)))</f>
        <v>33</v>
      </c>
      <c r="Y8" s="97">
        <f>IF(MOD(COLUMN(),2)=0,INDEX(paramètres!$C$4:$C$6,MATCH($C8,paramètres!$B$4:$B$6,0)),INDEX(paramètres!$D$4:$D$6,MATCH($C8,paramètres!$B$4:$B$6,0)))</f>
        <v>41</v>
      </c>
      <c r="Z8" s="97">
        <f>IF(MOD(COLUMN(),2)=0,INDEX(paramètres!$C$4:$C$6,MATCH($C8,paramètres!$B$4:$B$6,0)),INDEX(paramètres!$D$4:$D$6,MATCH($C8,paramètres!$B$4:$B$6,0)))</f>
        <v>33</v>
      </c>
      <c r="AA8" s="97">
        <f>IF(MOD(COLUMN(),2)=0,INDEX(paramètres!$C$4:$C$6,MATCH($C8,paramètres!$B$4:$B$6,0)),INDEX(paramètres!$D$4:$D$6,MATCH($C8,paramètres!$B$4:$B$6,0)))</f>
        <v>41</v>
      </c>
      <c r="AB8" s="98"/>
      <c r="AC8" s="97">
        <f t="shared" si="15"/>
        <v>0</v>
      </c>
      <c r="AD8" s="97">
        <f t="shared" si="16"/>
        <v>0</v>
      </c>
      <c r="AE8" s="97">
        <f t="shared" si="17"/>
        <v>0</v>
      </c>
      <c r="AF8" s="97">
        <f t="shared" si="18"/>
        <v>0</v>
      </c>
      <c r="AG8" s="97">
        <f t="shared" si="19"/>
        <v>0</v>
      </c>
      <c r="AH8" s="97">
        <f t="shared" si="20"/>
        <v>0</v>
      </c>
      <c r="AI8" s="97">
        <f t="shared" si="21"/>
        <v>0</v>
      </c>
      <c r="AJ8" s="97">
        <f t="shared" si="22"/>
        <v>0</v>
      </c>
      <c r="AK8" s="97">
        <f t="shared" si="23"/>
        <v>0</v>
      </c>
      <c r="AL8" s="97">
        <f t="shared" si="24"/>
        <v>0</v>
      </c>
      <c r="AM8" s="97">
        <f t="shared" si="25"/>
        <v>0</v>
      </c>
      <c r="AN8" s="36"/>
      <c r="AO8" s="97" t="str" cm="1">
        <f t="array" ref="AO8">IFERROR(
_xlfn.IFS(AND(AC8&gt;0,AC8&lt;($AP$3-$D8)),AC8*$AO$3,
AND(AC8&gt;0,AC8&gt;($AP$3-$D8)),($AP$3-$D8)*$AO$3),"")</f>
        <v/>
      </c>
      <c r="AP8" s="97" t="str" cm="1">
        <f t="array" ref="AP8">IFERROR(
_xlfn.IFS(AND(AD8&gt;0,AD8&lt;($AP$3-$D8)),AD8*$AO$3,
AND(AD8&gt;0,AD8&gt;($AP$3-$D8)),($AP$3-$D8)*$AO$3),"")</f>
        <v/>
      </c>
      <c r="AQ8" s="97" t="str" cm="1">
        <f t="array" ref="AQ8">IFERROR(
_xlfn.IFS(AND(AE8&gt;0,AE8&lt;($AP$3-$D8)),AE8*$AO$3,
AND(AE8&gt;0,AE8&gt;($AP$3-$D8)),($AP$3-$D8)*$AO$3),"")</f>
        <v/>
      </c>
      <c r="AR8" s="97" t="str" cm="1">
        <f t="array" ref="AR8">IFERROR(
_xlfn.IFS(AND(AF8&gt;0,AF8&lt;($AP$3-$D8)),AF8*$AO$3,
AND(AF8&gt;0,AF8&gt;($AP$3-$D8)),($AP$3-$D8)*$AO$3),"")</f>
        <v/>
      </c>
      <c r="AS8" s="97" t="str" cm="1">
        <f t="array" ref="AS8">IFERROR(
_xlfn.IFS(AND(AG8&gt;0,AG8&lt;($AP$3-$D8)),AG8*$AO$3,
AND(AG8&gt;0,AG8&gt;($AP$3-$D8)),($AP$3-$D8)*$AO$3),"")</f>
        <v/>
      </c>
      <c r="AT8" s="97" t="str" cm="1">
        <f t="array" ref="AT8">IFERROR(
_xlfn.IFS(AND(AH8&gt;0,AH8&lt;($AP$3-$D8)),AH8*$AO$3,
AND(AH8&gt;0,AH8&gt;($AP$3-$D8)),($AP$3-$D8)*$AO$3),"")</f>
        <v/>
      </c>
      <c r="AU8" s="97" t="str" cm="1">
        <f t="array" ref="AU8">IFERROR(
_xlfn.IFS(AND(AI8&gt;0,AI8&lt;($AP$3-$D8)),AI8*$AO$3,
AND(AI8&gt;0,AI8&gt;($AP$3-$D8)),($AP$3-$D8)*$AO$3),"")</f>
        <v/>
      </c>
      <c r="AV8" s="97" t="str" cm="1">
        <f t="array" ref="AV8">IFERROR(
_xlfn.IFS(AND(AJ8&gt;0,AJ8&lt;($AP$3-$D8)),AJ8*$AO$3,
AND(AJ8&gt;0,AJ8&gt;($AP$3-$D8)),($AP$3-$D8)*$AO$3),"")</f>
        <v/>
      </c>
      <c r="AW8" s="97" t="str" cm="1">
        <f t="array" ref="AW8">IFERROR(
_xlfn.IFS(AND(AK8&gt;0,AK8&lt;($AP$3-$D8)),AK8*$AO$3,
AND(AK8&gt;0,AK8&gt;($AP$3-$D8)),($AP$3-$D8)*$AO$3),"")</f>
        <v/>
      </c>
      <c r="AX8" s="97" t="str" cm="1">
        <f t="array" ref="AX8">IFERROR(
_xlfn.IFS(AND(AL8&gt;0,AL8&lt;($AP$3-$D8)),AL8*$AO$3,
AND(AL8&gt;0,AL8&gt;($AP$3-$D8)),($AP$3-$D8)*$AO$3),"")</f>
        <v/>
      </c>
      <c r="AY8" s="97" t="str" cm="1">
        <f t="array" ref="AY8">IFERROR(
_xlfn.IFS(AND(AM8&gt;0,AM8&lt;($AP$3-$D8)),AM8*$AO$3,
AND(AM8&gt;0,AM8&gt;($AP$3-$D8)),($AP$3-$D8)*$AO$3),"")</f>
        <v/>
      </c>
      <c r="AZ8" s="97">
        <f t="shared" si="26"/>
        <v>0</v>
      </c>
      <c r="BA8" s="93"/>
      <c r="BB8" s="92"/>
      <c r="BC8" s="97" t="str">
        <f t="shared" si="27"/>
        <v/>
      </c>
      <c r="BD8" s="97" t="str">
        <f t="shared" si="28"/>
        <v/>
      </c>
      <c r="BE8" s="97" t="str">
        <f t="shared" si="29"/>
        <v/>
      </c>
      <c r="BF8" s="97" t="str">
        <f t="shared" si="30"/>
        <v/>
      </c>
      <c r="BG8" s="97" t="str">
        <f t="shared" si="31"/>
        <v/>
      </c>
      <c r="BH8" s="97" t="str">
        <f t="shared" si="32"/>
        <v/>
      </c>
      <c r="BI8" s="97" t="str">
        <f t="shared" si="33"/>
        <v/>
      </c>
      <c r="BJ8" s="97" t="str">
        <f t="shared" si="34"/>
        <v/>
      </c>
      <c r="BK8" s="97" t="str">
        <f t="shared" si="35"/>
        <v/>
      </c>
      <c r="BL8" s="97" t="str">
        <f t="shared" si="36"/>
        <v/>
      </c>
      <c r="BM8" s="97" t="str">
        <f t="shared" si="37"/>
        <v/>
      </c>
      <c r="BN8" s="97">
        <f t="shared" si="38"/>
        <v>0</v>
      </c>
      <c r="BP8" s="92">
        <f t="shared" si="40"/>
        <v>0</v>
      </c>
      <c r="BR8" s="92">
        <f t="shared" si="39"/>
        <v>0</v>
      </c>
    </row>
    <row r="9" spans="2:70" x14ac:dyDescent="0.15">
      <c r="B9" s="95" t="str">
        <f>'MODU 2025'!B12</f>
        <v>BOUDIER Laure</v>
      </c>
      <c r="C9" s="95" t="str">
        <f>'MODU 2025'!C12</f>
        <v>Production</v>
      </c>
      <c r="D9" s="95">
        <f>'MODU 2025'!D12</f>
        <v>37</v>
      </c>
      <c r="E9" s="95">
        <f>'MODU 2025'!G12</f>
        <v>41</v>
      </c>
      <c r="F9" s="95">
        <f>'MODU 2025'!H12</f>
        <v>33</v>
      </c>
      <c r="G9" s="95">
        <f>'MODU 2025'!I12</f>
        <v>41</v>
      </c>
      <c r="H9" s="95">
        <f>'MODU 2025'!J12</f>
        <v>33</v>
      </c>
      <c r="I9" s="95">
        <f>'MODU 2025'!K12</f>
        <v>41</v>
      </c>
      <c r="J9" s="95">
        <f>'MODU 2025'!L12</f>
        <v>33</v>
      </c>
      <c r="K9" s="95">
        <f>'MODU 2025'!M12</f>
        <v>41</v>
      </c>
      <c r="L9" s="95">
        <f>'MODU 2025'!N12</f>
        <v>33</v>
      </c>
      <c r="M9" s="95">
        <f>'MODU 2025'!O12</f>
        <v>41</v>
      </c>
      <c r="N9" s="95">
        <f>'MODU 2025'!P12</f>
        <v>33</v>
      </c>
      <c r="O9" s="95">
        <f>'MODU 2025'!Q12</f>
        <v>41</v>
      </c>
      <c r="P9" s="97"/>
      <c r="Q9" s="97">
        <f>IF(MOD(COLUMN(),2)=0,INDEX(paramètres!$C$4:$C$6,MATCH($C9,paramètres!$B$4:$B$6,0)),INDEX(paramètres!$D$4:$D$6,MATCH($C9,paramètres!$B$4:$B$6,0)))</f>
        <v>41</v>
      </c>
      <c r="R9" s="97">
        <f>IF(MOD(COLUMN(),2)=0,INDEX(paramètres!$C$4:$C$6,MATCH($C9,paramètres!$B$4:$B$6,0)),INDEX(paramètres!$D$4:$D$6,MATCH($C9,paramètres!$B$4:$B$6,0)))</f>
        <v>33</v>
      </c>
      <c r="S9" s="97">
        <f>IF(MOD(COLUMN(),2)=0,INDEX(paramètres!$C$4:$C$6,MATCH($C9,paramètres!$B$4:$B$6,0)),INDEX(paramètres!$D$4:$D$6,MATCH($C9,paramètres!$B$4:$B$6,0)))</f>
        <v>41</v>
      </c>
      <c r="T9" s="97">
        <f>IF(MOD(COLUMN(),2)=0,INDEX(paramètres!$C$4:$C$6,MATCH($C9,paramètres!$B$4:$B$6,0)),INDEX(paramètres!$D$4:$D$6,MATCH($C9,paramètres!$B$4:$B$6,0)))</f>
        <v>33</v>
      </c>
      <c r="U9" s="97">
        <f>IF(MOD(COLUMN(),2)=0,INDEX(paramètres!$C$4:$C$6,MATCH($C9,paramètres!$B$4:$B$6,0)),INDEX(paramètres!$D$4:$D$6,MATCH($C9,paramètres!$B$4:$B$6,0)))</f>
        <v>41</v>
      </c>
      <c r="V9" s="97">
        <f>IF(MOD(COLUMN(),2)=0,INDEX(paramètres!$C$4:$C$6,MATCH($C9,paramètres!$B$4:$B$6,0)),INDEX(paramètres!$D$4:$D$6,MATCH($C9,paramètres!$B$4:$B$6,0)))</f>
        <v>33</v>
      </c>
      <c r="W9" s="97">
        <f>IF(MOD(COLUMN(),2)=0,INDEX(paramètres!$C$4:$C$6,MATCH($C9,paramètres!$B$4:$B$6,0)),INDEX(paramètres!$D$4:$D$6,MATCH($C9,paramètres!$B$4:$B$6,0)))</f>
        <v>41</v>
      </c>
      <c r="X9" s="97">
        <f>IF(MOD(COLUMN(),2)=0,INDEX(paramètres!$C$4:$C$6,MATCH($C9,paramètres!$B$4:$B$6,0)),INDEX(paramètres!$D$4:$D$6,MATCH($C9,paramètres!$B$4:$B$6,0)))</f>
        <v>33</v>
      </c>
      <c r="Y9" s="97">
        <f>IF(MOD(COLUMN(),2)=0,INDEX(paramètres!$C$4:$C$6,MATCH($C9,paramètres!$B$4:$B$6,0)),INDEX(paramètres!$D$4:$D$6,MATCH($C9,paramètres!$B$4:$B$6,0)))</f>
        <v>41</v>
      </c>
      <c r="Z9" s="97">
        <f>IF(MOD(COLUMN(),2)=0,INDEX(paramètres!$C$4:$C$6,MATCH($C9,paramètres!$B$4:$B$6,0)),INDEX(paramètres!$D$4:$D$6,MATCH($C9,paramètres!$B$4:$B$6,0)))</f>
        <v>33</v>
      </c>
      <c r="AA9" s="97">
        <f>IF(MOD(COLUMN(),2)=0,INDEX(paramètres!$C$4:$C$6,MATCH($C9,paramètres!$B$4:$B$6,0)),INDEX(paramètres!$D$4:$D$6,MATCH($C9,paramètres!$B$4:$B$6,0)))</f>
        <v>41</v>
      </c>
      <c r="AB9" s="98"/>
      <c r="AC9" s="97">
        <f t="shared" si="15"/>
        <v>0</v>
      </c>
      <c r="AD9" s="97">
        <f t="shared" si="16"/>
        <v>0</v>
      </c>
      <c r="AE9" s="97">
        <f t="shared" si="17"/>
        <v>0</v>
      </c>
      <c r="AF9" s="97">
        <f t="shared" si="18"/>
        <v>0</v>
      </c>
      <c r="AG9" s="97">
        <f t="shared" si="19"/>
        <v>0</v>
      </c>
      <c r="AH9" s="97">
        <f t="shared" si="20"/>
        <v>0</v>
      </c>
      <c r="AI9" s="97">
        <f t="shared" si="21"/>
        <v>0</v>
      </c>
      <c r="AJ9" s="97">
        <f t="shared" si="22"/>
        <v>0</v>
      </c>
      <c r="AK9" s="97">
        <f t="shared" si="23"/>
        <v>0</v>
      </c>
      <c r="AL9" s="97">
        <f t="shared" si="24"/>
        <v>0</v>
      </c>
      <c r="AM9" s="97">
        <f t="shared" si="25"/>
        <v>0</v>
      </c>
      <c r="AN9" s="36"/>
      <c r="AO9" s="97" t="str" cm="1">
        <f t="array" ref="AO9">IFERROR(
_xlfn.IFS(AND(AC9&gt;0,AC9&lt;($AP$3-$D9)),AC9*$AO$3,
AND(AC9&gt;0,AC9&gt;($AP$3-$D9)),($AP$3-$D9)*$AO$3),"")</f>
        <v/>
      </c>
      <c r="AP9" s="97" t="str" cm="1">
        <f t="array" ref="AP9">IFERROR(
_xlfn.IFS(AND(AD9&gt;0,AD9&lt;($AP$3-$D9)),AD9*$AO$3,
AND(AD9&gt;0,AD9&gt;($AP$3-$D9)),($AP$3-$D9)*$AO$3),"")</f>
        <v/>
      </c>
      <c r="AQ9" s="97" t="str" cm="1">
        <f t="array" ref="AQ9">IFERROR(
_xlfn.IFS(AND(AE9&gt;0,AE9&lt;($AP$3-$D9)),AE9*$AO$3,
AND(AE9&gt;0,AE9&gt;($AP$3-$D9)),($AP$3-$D9)*$AO$3),"")</f>
        <v/>
      </c>
      <c r="AR9" s="97" t="str" cm="1">
        <f t="array" ref="AR9">IFERROR(
_xlfn.IFS(AND(AF9&gt;0,AF9&lt;($AP$3-$D9)),AF9*$AO$3,
AND(AF9&gt;0,AF9&gt;($AP$3-$D9)),($AP$3-$D9)*$AO$3),"")</f>
        <v/>
      </c>
      <c r="AS9" s="97" t="str" cm="1">
        <f t="array" ref="AS9">IFERROR(
_xlfn.IFS(AND(AG9&gt;0,AG9&lt;($AP$3-$D9)),AG9*$AO$3,
AND(AG9&gt;0,AG9&gt;($AP$3-$D9)),($AP$3-$D9)*$AO$3),"")</f>
        <v/>
      </c>
      <c r="AT9" s="97" t="str" cm="1">
        <f t="array" ref="AT9">IFERROR(
_xlfn.IFS(AND(AH9&gt;0,AH9&lt;($AP$3-$D9)),AH9*$AO$3,
AND(AH9&gt;0,AH9&gt;($AP$3-$D9)),($AP$3-$D9)*$AO$3),"")</f>
        <v/>
      </c>
      <c r="AU9" s="97" t="str" cm="1">
        <f t="array" ref="AU9">IFERROR(
_xlfn.IFS(AND(AI9&gt;0,AI9&lt;($AP$3-$D9)),AI9*$AO$3,
AND(AI9&gt;0,AI9&gt;($AP$3-$D9)),($AP$3-$D9)*$AO$3),"")</f>
        <v/>
      </c>
      <c r="AV9" s="97" t="str" cm="1">
        <f t="array" ref="AV9">IFERROR(
_xlfn.IFS(AND(AJ9&gt;0,AJ9&lt;($AP$3-$D9)),AJ9*$AO$3,
AND(AJ9&gt;0,AJ9&gt;($AP$3-$D9)),($AP$3-$D9)*$AO$3),"")</f>
        <v/>
      </c>
      <c r="AW9" s="97" t="str" cm="1">
        <f t="array" ref="AW9">IFERROR(
_xlfn.IFS(AND(AK9&gt;0,AK9&lt;($AP$3-$D9)),AK9*$AO$3,
AND(AK9&gt;0,AK9&gt;($AP$3-$D9)),($AP$3-$D9)*$AO$3),"")</f>
        <v/>
      </c>
      <c r="AX9" s="97" t="str" cm="1">
        <f t="array" ref="AX9">IFERROR(
_xlfn.IFS(AND(AL9&gt;0,AL9&lt;($AP$3-$D9)),AL9*$AO$3,
AND(AL9&gt;0,AL9&gt;($AP$3-$D9)),($AP$3-$D9)*$AO$3),"")</f>
        <v/>
      </c>
      <c r="AY9" s="97" t="str" cm="1">
        <f t="array" ref="AY9">IFERROR(
_xlfn.IFS(AND(AM9&gt;0,AM9&lt;($AP$3-$D9)),AM9*$AO$3,
AND(AM9&gt;0,AM9&gt;($AP$3-$D9)),($AP$3-$D9)*$AO$3),"")</f>
        <v/>
      </c>
      <c r="AZ9" s="97">
        <f t="shared" si="26"/>
        <v>0</v>
      </c>
      <c r="BA9" s="93"/>
      <c r="BB9" s="92"/>
      <c r="BC9" s="97" t="str">
        <f t="shared" si="27"/>
        <v/>
      </c>
      <c r="BD9" s="97" t="str">
        <f t="shared" si="28"/>
        <v/>
      </c>
      <c r="BE9" s="97" t="str">
        <f t="shared" si="29"/>
        <v/>
      </c>
      <c r="BF9" s="97" t="str">
        <f t="shared" si="30"/>
        <v/>
      </c>
      <c r="BG9" s="97" t="str">
        <f t="shared" si="31"/>
        <v/>
      </c>
      <c r="BH9" s="97" t="str">
        <f t="shared" si="32"/>
        <v/>
      </c>
      <c r="BI9" s="97" t="str">
        <f t="shared" si="33"/>
        <v/>
      </c>
      <c r="BJ9" s="97" t="str">
        <f t="shared" si="34"/>
        <v/>
      </c>
      <c r="BK9" s="97" t="str">
        <f t="shared" si="35"/>
        <v/>
      </c>
      <c r="BL9" s="97" t="str">
        <f t="shared" si="36"/>
        <v/>
      </c>
      <c r="BM9" s="97" t="str">
        <f t="shared" si="37"/>
        <v/>
      </c>
      <c r="BN9" s="97">
        <f t="shared" si="38"/>
        <v>0</v>
      </c>
      <c r="BP9" s="92">
        <f t="shared" si="40"/>
        <v>0</v>
      </c>
      <c r="BR9" s="92">
        <f t="shared" si="39"/>
        <v>0</v>
      </c>
    </row>
    <row r="10" spans="2:70" x14ac:dyDescent="0.15">
      <c r="B10" s="95" t="str">
        <f>'MODU 2025'!B13</f>
        <v>BOUILLET Dominique</v>
      </c>
      <c r="C10" s="95" t="str">
        <f>'MODU 2025'!C13</f>
        <v>Production</v>
      </c>
      <c r="D10" s="95">
        <f>'MODU 2025'!D13</f>
        <v>37</v>
      </c>
      <c r="E10" s="95">
        <f>'MODU 2025'!G13</f>
        <v>33</v>
      </c>
      <c r="F10" s="95">
        <f>'MODU 2025'!H13</f>
        <v>36.75</v>
      </c>
      <c r="G10" s="95">
        <f>'MODU 2025'!I13</f>
        <v>33</v>
      </c>
      <c r="H10" s="95">
        <f>'MODU 2025'!J13</f>
        <v>41</v>
      </c>
      <c r="I10" s="95">
        <f>'MODU 2025'!K13</f>
        <v>33</v>
      </c>
      <c r="J10" s="95">
        <f>'MODU 2025'!L13</f>
        <v>41</v>
      </c>
      <c r="K10" s="95">
        <f>'MODU 2025'!M13</f>
        <v>33</v>
      </c>
      <c r="L10" s="95">
        <f>'MODU 2025'!N13</f>
        <v>41</v>
      </c>
      <c r="M10" s="95">
        <f>'MODU 2025'!O13</f>
        <v>33</v>
      </c>
      <c r="N10" s="95">
        <f>'MODU 2025'!P13</f>
        <v>41</v>
      </c>
      <c r="O10" s="95">
        <f>'MODU 2025'!Q13</f>
        <v>33</v>
      </c>
      <c r="P10" s="97"/>
      <c r="Q10" s="97">
        <f>IF(MOD(COLUMN(),2)=0,INDEX(paramètres!$C$4:$C$6,MATCH($C10,paramètres!$B$4:$B$6,0)),INDEX(paramètres!$D$4:$D$6,MATCH($C10,paramètres!$B$4:$B$6,0)))</f>
        <v>41</v>
      </c>
      <c r="R10" s="97">
        <f>IF(MOD(COLUMN(),2)=0,INDEX(paramètres!$C$4:$C$6,MATCH($C10,paramètres!$B$4:$B$6,0)),INDEX(paramètres!$D$4:$D$6,MATCH($C10,paramètres!$B$4:$B$6,0)))</f>
        <v>33</v>
      </c>
      <c r="S10" s="97">
        <f>IF(MOD(COLUMN(),2)=0,INDEX(paramètres!$C$4:$C$6,MATCH($C10,paramètres!$B$4:$B$6,0)),INDEX(paramètres!$D$4:$D$6,MATCH($C10,paramètres!$B$4:$B$6,0)))</f>
        <v>41</v>
      </c>
      <c r="T10" s="97">
        <f>IF(MOD(COLUMN(),2)=0,INDEX(paramètres!$C$4:$C$6,MATCH($C10,paramètres!$B$4:$B$6,0)),INDEX(paramètres!$D$4:$D$6,MATCH($C10,paramètres!$B$4:$B$6,0)))</f>
        <v>33</v>
      </c>
      <c r="U10" s="97">
        <f>IF(MOD(COLUMN(),2)=0,INDEX(paramètres!$C$4:$C$6,MATCH($C10,paramètres!$B$4:$B$6,0)),INDEX(paramètres!$D$4:$D$6,MATCH($C10,paramètres!$B$4:$B$6,0)))</f>
        <v>41</v>
      </c>
      <c r="V10" s="97">
        <f>IF(MOD(COLUMN(),2)=0,INDEX(paramètres!$C$4:$C$6,MATCH($C10,paramètres!$B$4:$B$6,0)),INDEX(paramètres!$D$4:$D$6,MATCH($C10,paramètres!$B$4:$B$6,0)))</f>
        <v>33</v>
      </c>
      <c r="W10" s="97">
        <f>IF(MOD(COLUMN(),2)=0,INDEX(paramètres!$C$4:$C$6,MATCH($C10,paramètres!$B$4:$B$6,0)),INDEX(paramètres!$D$4:$D$6,MATCH($C10,paramètres!$B$4:$B$6,0)))</f>
        <v>41</v>
      </c>
      <c r="X10" s="97">
        <f>IF(MOD(COLUMN(),2)=0,INDEX(paramètres!$C$4:$C$6,MATCH($C10,paramètres!$B$4:$B$6,0)),INDEX(paramètres!$D$4:$D$6,MATCH($C10,paramètres!$B$4:$B$6,0)))</f>
        <v>33</v>
      </c>
      <c r="Y10" s="97">
        <f>IF(MOD(COLUMN(),2)=0,INDEX(paramètres!$C$4:$C$6,MATCH($C10,paramètres!$B$4:$B$6,0)),INDEX(paramètres!$D$4:$D$6,MATCH($C10,paramètres!$B$4:$B$6,0)))</f>
        <v>41</v>
      </c>
      <c r="Z10" s="97">
        <f>IF(MOD(COLUMN(),2)=0,INDEX(paramètres!$C$4:$C$6,MATCH($C10,paramètres!$B$4:$B$6,0)),INDEX(paramètres!$D$4:$D$6,MATCH($C10,paramètres!$B$4:$B$6,0)))</f>
        <v>33</v>
      </c>
      <c r="AA10" s="97">
        <f>IF(MOD(COLUMN(),2)=0,INDEX(paramètres!$C$4:$C$6,MATCH($C10,paramètres!$B$4:$B$6,0)),INDEX(paramètres!$D$4:$D$6,MATCH($C10,paramètres!$B$4:$B$6,0)))</f>
        <v>41</v>
      </c>
      <c r="AB10" s="98"/>
      <c r="AC10" s="97">
        <f t="shared" si="15"/>
        <v>0</v>
      </c>
      <c r="AD10" s="97">
        <f t="shared" si="16"/>
        <v>-4.25</v>
      </c>
      <c r="AE10" s="97">
        <f t="shared" si="17"/>
        <v>0</v>
      </c>
      <c r="AF10" s="97">
        <f t="shared" si="18"/>
        <v>0</v>
      </c>
      <c r="AG10" s="97">
        <f t="shared" si="19"/>
        <v>0</v>
      </c>
      <c r="AH10" s="97">
        <f t="shared" si="20"/>
        <v>0</v>
      </c>
      <c r="AI10" s="97">
        <f t="shared" si="21"/>
        <v>0</v>
      </c>
      <c r="AJ10" s="97">
        <f t="shared" si="22"/>
        <v>0</v>
      </c>
      <c r="AK10" s="97">
        <f t="shared" si="23"/>
        <v>0</v>
      </c>
      <c r="AL10" s="97">
        <f t="shared" si="24"/>
        <v>0</v>
      </c>
      <c r="AM10" s="97">
        <f t="shared" si="25"/>
        <v>0</v>
      </c>
      <c r="AN10" s="36"/>
      <c r="AO10" s="97" t="str" cm="1">
        <f t="array" ref="AO10">IFERROR(
_xlfn.IFS(AND(AC10&gt;0,AC10&lt;($AP$3-$D10)),AC10*$AO$3,
AND(AC10&gt;0,AC10&gt;($AP$3-$D10)),($AP$3-$D10)*$AO$3),"")</f>
        <v/>
      </c>
      <c r="AP10" s="97" t="str" cm="1">
        <f t="array" ref="AP10">IFERROR(
_xlfn.IFS(AND(AD10&gt;0,AD10&lt;($AP$3-$D10)),AD10*$AO$3,
AND(AD10&gt;0,AD10&gt;($AP$3-$D10)),($AP$3-$D10)*$AO$3),"")</f>
        <v/>
      </c>
      <c r="AQ10" s="97" t="str" cm="1">
        <f t="array" ref="AQ10">IFERROR(
_xlfn.IFS(AND(AE10&gt;0,AE10&lt;($AP$3-$D10)),AE10*$AO$3,
AND(AE10&gt;0,AE10&gt;($AP$3-$D10)),($AP$3-$D10)*$AO$3),"")</f>
        <v/>
      </c>
      <c r="AR10" s="97" t="str" cm="1">
        <f t="array" ref="AR10">IFERROR(
_xlfn.IFS(AND(AF10&gt;0,AF10&lt;($AP$3-$D10)),AF10*$AO$3,
AND(AF10&gt;0,AF10&gt;($AP$3-$D10)),($AP$3-$D10)*$AO$3),"")</f>
        <v/>
      </c>
      <c r="AS10" s="97" t="str" cm="1">
        <f t="array" ref="AS10">IFERROR(
_xlfn.IFS(AND(AG10&gt;0,AG10&lt;($AP$3-$D10)),AG10*$AO$3,
AND(AG10&gt;0,AG10&gt;($AP$3-$D10)),($AP$3-$D10)*$AO$3),"")</f>
        <v/>
      </c>
      <c r="AT10" s="97" t="str" cm="1">
        <f t="array" ref="AT10">IFERROR(
_xlfn.IFS(AND(AH10&gt;0,AH10&lt;($AP$3-$D10)),AH10*$AO$3,
AND(AH10&gt;0,AH10&gt;($AP$3-$D10)),($AP$3-$D10)*$AO$3),"")</f>
        <v/>
      </c>
      <c r="AU10" s="97" t="str" cm="1">
        <f t="array" ref="AU10">IFERROR(
_xlfn.IFS(AND(AI10&gt;0,AI10&lt;($AP$3-$D10)),AI10*$AO$3,
AND(AI10&gt;0,AI10&gt;($AP$3-$D10)),($AP$3-$D10)*$AO$3),"")</f>
        <v/>
      </c>
      <c r="AV10" s="97" t="str" cm="1">
        <f t="array" ref="AV10">IFERROR(
_xlfn.IFS(AND(AJ10&gt;0,AJ10&lt;($AP$3-$D10)),AJ10*$AO$3,
AND(AJ10&gt;0,AJ10&gt;($AP$3-$D10)),($AP$3-$D10)*$AO$3),"")</f>
        <v/>
      </c>
      <c r="AW10" s="97" t="str" cm="1">
        <f t="array" ref="AW10">IFERROR(
_xlfn.IFS(AND(AK10&gt;0,AK10&lt;($AP$3-$D10)),AK10*$AO$3,
AND(AK10&gt;0,AK10&gt;($AP$3-$D10)),($AP$3-$D10)*$AO$3),"")</f>
        <v/>
      </c>
      <c r="AX10" s="97" t="str" cm="1">
        <f t="array" ref="AX10">IFERROR(
_xlfn.IFS(AND(AL10&gt;0,AL10&lt;($AP$3-$D10)),AL10*$AO$3,
AND(AL10&gt;0,AL10&gt;($AP$3-$D10)),($AP$3-$D10)*$AO$3),"")</f>
        <v/>
      </c>
      <c r="AY10" s="97" t="str" cm="1">
        <f t="array" ref="AY10">IFERROR(
_xlfn.IFS(AND(AM10&gt;0,AM10&lt;($AP$3-$D10)),AM10*$AO$3,
AND(AM10&gt;0,AM10&gt;($AP$3-$D10)),($AP$3-$D10)*$AO$3),"")</f>
        <v/>
      </c>
      <c r="AZ10" s="97">
        <f t="shared" si="26"/>
        <v>0</v>
      </c>
      <c r="BA10" s="93"/>
      <c r="BB10" s="92"/>
      <c r="BC10" s="97" t="str">
        <f t="shared" si="27"/>
        <v/>
      </c>
      <c r="BD10" s="97" t="str">
        <f t="shared" si="28"/>
        <v/>
      </c>
      <c r="BE10" s="97" t="str">
        <f t="shared" si="29"/>
        <v/>
      </c>
      <c r="BF10" s="97" t="str">
        <f t="shared" si="30"/>
        <v/>
      </c>
      <c r="BG10" s="97" t="str">
        <f t="shared" si="31"/>
        <v/>
      </c>
      <c r="BH10" s="97" t="str">
        <f t="shared" si="32"/>
        <v/>
      </c>
      <c r="BI10" s="97" t="str">
        <f t="shared" si="33"/>
        <v/>
      </c>
      <c r="BJ10" s="97" t="str">
        <f t="shared" si="34"/>
        <v/>
      </c>
      <c r="BK10" s="97" t="str">
        <f t="shared" si="35"/>
        <v/>
      </c>
      <c r="BL10" s="97" t="str">
        <f t="shared" si="36"/>
        <v/>
      </c>
      <c r="BM10" s="97" t="str">
        <f t="shared" si="37"/>
        <v/>
      </c>
      <c r="BN10" s="97">
        <f t="shared" si="38"/>
        <v>0</v>
      </c>
      <c r="BP10" s="92">
        <f t="shared" si="40"/>
        <v>0</v>
      </c>
      <c r="BR10" s="92">
        <f t="shared" si="39"/>
        <v>-4.25</v>
      </c>
    </row>
    <row r="11" spans="2:70" x14ac:dyDescent="0.15">
      <c r="B11" s="95" t="str">
        <f>'MODU 2025'!B14</f>
        <v>BUFFY Stéphanie</v>
      </c>
      <c r="C11" s="95" t="str">
        <f>'MODU 2025'!C14</f>
        <v>Production</v>
      </c>
      <c r="D11" s="95">
        <f>'MODU 2025'!D14</f>
        <v>37</v>
      </c>
      <c r="E11" s="95">
        <f>'MODU 2025'!G14</f>
        <v>33</v>
      </c>
      <c r="F11" s="95">
        <f>'MODU 2025'!H14</f>
        <v>41</v>
      </c>
      <c r="G11" s="95">
        <f>'MODU 2025'!I14</f>
        <v>33</v>
      </c>
      <c r="H11" s="95">
        <f>'MODU 2025'!J14</f>
        <v>41</v>
      </c>
      <c r="I11" s="95">
        <f>'MODU 2025'!K14</f>
        <v>33</v>
      </c>
      <c r="J11" s="95">
        <f>'MODU 2025'!L14</f>
        <v>41</v>
      </c>
      <c r="K11" s="95">
        <f>'MODU 2025'!M14</f>
        <v>33</v>
      </c>
      <c r="L11" s="95">
        <f>'MODU 2025'!N14</f>
        <v>41</v>
      </c>
      <c r="M11" s="95">
        <f>'MODU 2025'!O14</f>
        <v>33</v>
      </c>
      <c r="N11" s="95">
        <f>'MODU 2025'!P14</f>
        <v>41</v>
      </c>
      <c r="O11" s="95">
        <f>'MODU 2025'!Q14</f>
        <v>33</v>
      </c>
      <c r="P11" s="97"/>
      <c r="Q11" s="97">
        <f>IF(MOD(COLUMN(),2)=0,INDEX(paramètres!$C$4:$C$6,MATCH($C11,paramètres!$B$4:$B$6,0)),INDEX(paramètres!$D$4:$D$6,MATCH($C11,paramètres!$B$4:$B$6,0)))</f>
        <v>41</v>
      </c>
      <c r="R11" s="97">
        <f>IF(MOD(COLUMN(),2)=0,INDEX(paramètres!$C$4:$C$6,MATCH($C11,paramètres!$B$4:$B$6,0)),INDEX(paramètres!$D$4:$D$6,MATCH($C11,paramètres!$B$4:$B$6,0)))</f>
        <v>33</v>
      </c>
      <c r="S11" s="97">
        <f>IF(MOD(COLUMN(),2)=0,INDEX(paramètres!$C$4:$C$6,MATCH($C11,paramètres!$B$4:$B$6,0)),INDEX(paramètres!$D$4:$D$6,MATCH($C11,paramètres!$B$4:$B$6,0)))</f>
        <v>41</v>
      </c>
      <c r="T11" s="97">
        <f>IF(MOD(COLUMN(),2)=0,INDEX(paramètres!$C$4:$C$6,MATCH($C11,paramètres!$B$4:$B$6,0)),INDEX(paramètres!$D$4:$D$6,MATCH($C11,paramètres!$B$4:$B$6,0)))</f>
        <v>33</v>
      </c>
      <c r="U11" s="97">
        <f>IF(MOD(COLUMN(),2)=0,INDEX(paramètres!$C$4:$C$6,MATCH($C11,paramètres!$B$4:$B$6,0)),INDEX(paramètres!$D$4:$D$6,MATCH($C11,paramètres!$B$4:$B$6,0)))</f>
        <v>41</v>
      </c>
      <c r="V11" s="97">
        <f>IF(MOD(COLUMN(),2)=0,INDEX(paramètres!$C$4:$C$6,MATCH($C11,paramètres!$B$4:$B$6,0)),INDEX(paramètres!$D$4:$D$6,MATCH($C11,paramètres!$B$4:$B$6,0)))</f>
        <v>33</v>
      </c>
      <c r="W11" s="97">
        <f>IF(MOD(COLUMN(),2)=0,INDEX(paramètres!$C$4:$C$6,MATCH($C11,paramètres!$B$4:$B$6,0)),INDEX(paramètres!$D$4:$D$6,MATCH($C11,paramètres!$B$4:$B$6,0)))</f>
        <v>41</v>
      </c>
      <c r="X11" s="97">
        <f>IF(MOD(COLUMN(),2)=0,INDEX(paramètres!$C$4:$C$6,MATCH($C11,paramètres!$B$4:$B$6,0)),INDEX(paramètres!$D$4:$D$6,MATCH($C11,paramètres!$B$4:$B$6,0)))</f>
        <v>33</v>
      </c>
      <c r="Y11" s="97">
        <f>IF(MOD(COLUMN(),2)=0,INDEX(paramètres!$C$4:$C$6,MATCH($C11,paramètres!$B$4:$B$6,0)),INDEX(paramètres!$D$4:$D$6,MATCH($C11,paramètres!$B$4:$B$6,0)))</f>
        <v>41</v>
      </c>
      <c r="Z11" s="97">
        <f>IF(MOD(COLUMN(),2)=0,INDEX(paramètres!$C$4:$C$6,MATCH($C11,paramètres!$B$4:$B$6,0)),INDEX(paramètres!$D$4:$D$6,MATCH($C11,paramètres!$B$4:$B$6,0)))</f>
        <v>33</v>
      </c>
      <c r="AA11" s="97">
        <f>IF(MOD(COLUMN(),2)=0,INDEX(paramètres!$C$4:$C$6,MATCH($C11,paramètres!$B$4:$B$6,0)),INDEX(paramètres!$D$4:$D$6,MATCH($C11,paramètres!$B$4:$B$6,0)))</f>
        <v>41</v>
      </c>
      <c r="AB11" s="98"/>
      <c r="AC11" s="97">
        <f t="shared" si="15"/>
        <v>0</v>
      </c>
      <c r="AD11" s="97">
        <f t="shared" si="16"/>
        <v>0</v>
      </c>
      <c r="AE11" s="97">
        <f t="shared" si="17"/>
        <v>0</v>
      </c>
      <c r="AF11" s="97">
        <f t="shared" si="18"/>
        <v>0</v>
      </c>
      <c r="AG11" s="97">
        <f t="shared" si="19"/>
        <v>0</v>
      </c>
      <c r="AH11" s="97">
        <f t="shared" si="20"/>
        <v>0</v>
      </c>
      <c r="AI11" s="97">
        <f t="shared" si="21"/>
        <v>0</v>
      </c>
      <c r="AJ11" s="97">
        <f t="shared" si="22"/>
        <v>0</v>
      </c>
      <c r="AK11" s="97">
        <f t="shared" si="23"/>
        <v>0</v>
      </c>
      <c r="AL11" s="97">
        <f t="shared" si="24"/>
        <v>0</v>
      </c>
      <c r="AM11" s="97">
        <f t="shared" si="25"/>
        <v>0</v>
      </c>
      <c r="AN11" s="36"/>
      <c r="AO11" s="97" t="str" cm="1">
        <f t="array" ref="AO11">IFERROR(
_xlfn.IFS(AND(AC11&gt;0,AC11&lt;($AP$3-$D11)),AC11*$AO$3,
AND(AC11&gt;0,AC11&gt;($AP$3-$D11)),($AP$3-$D11)*$AO$3),"")</f>
        <v/>
      </c>
      <c r="AP11" s="97" t="str" cm="1">
        <f t="array" ref="AP11">IFERROR(
_xlfn.IFS(AND(AD11&gt;0,AD11&lt;($AP$3-$D11)),AD11*$AO$3,
AND(AD11&gt;0,AD11&gt;($AP$3-$D11)),($AP$3-$D11)*$AO$3),"")</f>
        <v/>
      </c>
      <c r="AQ11" s="97" t="str" cm="1">
        <f t="array" ref="AQ11">IFERROR(
_xlfn.IFS(AND(AE11&gt;0,AE11&lt;($AP$3-$D11)),AE11*$AO$3,
AND(AE11&gt;0,AE11&gt;($AP$3-$D11)),($AP$3-$D11)*$AO$3),"")</f>
        <v/>
      </c>
      <c r="AR11" s="97" t="str" cm="1">
        <f t="array" ref="AR11">IFERROR(
_xlfn.IFS(AND(AF11&gt;0,AF11&lt;($AP$3-$D11)),AF11*$AO$3,
AND(AF11&gt;0,AF11&gt;($AP$3-$D11)),($AP$3-$D11)*$AO$3),"")</f>
        <v/>
      </c>
      <c r="AS11" s="97" t="str" cm="1">
        <f t="array" ref="AS11">IFERROR(
_xlfn.IFS(AND(AG11&gt;0,AG11&lt;($AP$3-$D11)),AG11*$AO$3,
AND(AG11&gt;0,AG11&gt;($AP$3-$D11)),($AP$3-$D11)*$AO$3),"")</f>
        <v/>
      </c>
      <c r="AT11" s="97" t="str" cm="1">
        <f t="array" ref="AT11">IFERROR(
_xlfn.IFS(AND(AH11&gt;0,AH11&lt;($AP$3-$D11)),AH11*$AO$3,
AND(AH11&gt;0,AH11&gt;($AP$3-$D11)),($AP$3-$D11)*$AO$3),"")</f>
        <v/>
      </c>
      <c r="AU11" s="97" t="str" cm="1">
        <f t="array" ref="AU11">IFERROR(
_xlfn.IFS(AND(AI11&gt;0,AI11&lt;($AP$3-$D11)),AI11*$AO$3,
AND(AI11&gt;0,AI11&gt;($AP$3-$D11)),($AP$3-$D11)*$AO$3),"")</f>
        <v/>
      </c>
      <c r="AV11" s="97" t="str" cm="1">
        <f t="array" ref="AV11">IFERROR(
_xlfn.IFS(AND(AJ11&gt;0,AJ11&lt;($AP$3-$D11)),AJ11*$AO$3,
AND(AJ11&gt;0,AJ11&gt;($AP$3-$D11)),($AP$3-$D11)*$AO$3),"")</f>
        <v/>
      </c>
      <c r="AW11" s="97" t="str" cm="1">
        <f t="array" ref="AW11">IFERROR(
_xlfn.IFS(AND(AK11&gt;0,AK11&lt;($AP$3-$D11)),AK11*$AO$3,
AND(AK11&gt;0,AK11&gt;($AP$3-$D11)),($AP$3-$D11)*$AO$3),"")</f>
        <v/>
      </c>
      <c r="AX11" s="97" t="str" cm="1">
        <f t="array" ref="AX11">IFERROR(
_xlfn.IFS(AND(AL11&gt;0,AL11&lt;($AP$3-$D11)),AL11*$AO$3,
AND(AL11&gt;0,AL11&gt;($AP$3-$D11)),($AP$3-$D11)*$AO$3),"")</f>
        <v/>
      </c>
      <c r="AY11" s="97" t="str" cm="1">
        <f t="array" ref="AY11">IFERROR(
_xlfn.IFS(AND(AM11&gt;0,AM11&lt;($AP$3-$D11)),AM11*$AO$3,
AND(AM11&gt;0,AM11&gt;($AP$3-$D11)),($AP$3-$D11)*$AO$3),"")</f>
        <v/>
      </c>
      <c r="AZ11" s="97">
        <f t="shared" si="26"/>
        <v>0</v>
      </c>
      <c r="BA11" s="93"/>
      <c r="BB11" s="92"/>
      <c r="BC11" s="97" t="str">
        <f t="shared" si="27"/>
        <v/>
      </c>
      <c r="BD11" s="97" t="str">
        <f t="shared" si="28"/>
        <v/>
      </c>
      <c r="BE11" s="97" t="str">
        <f t="shared" si="29"/>
        <v/>
      </c>
      <c r="BF11" s="97" t="str">
        <f t="shared" si="30"/>
        <v/>
      </c>
      <c r="BG11" s="97" t="str">
        <f t="shared" si="31"/>
        <v/>
      </c>
      <c r="BH11" s="97" t="str">
        <f t="shared" si="32"/>
        <v/>
      </c>
      <c r="BI11" s="97" t="str">
        <f t="shared" si="33"/>
        <v/>
      </c>
      <c r="BJ11" s="97" t="str">
        <f t="shared" si="34"/>
        <v/>
      </c>
      <c r="BK11" s="97" t="str">
        <f t="shared" si="35"/>
        <v/>
      </c>
      <c r="BL11" s="97" t="str">
        <f t="shared" si="36"/>
        <v/>
      </c>
      <c r="BM11" s="97" t="str">
        <f t="shared" si="37"/>
        <v/>
      </c>
      <c r="BN11" s="97">
        <f t="shared" si="38"/>
        <v>0</v>
      </c>
      <c r="BP11" s="92">
        <f t="shared" si="40"/>
        <v>0</v>
      </c>
      <c r="BR11" s="92">
        <f t="shared" si="39"/>
        <v>0</v>
      </c>
    </row>
    <row r="12" spans="2:70" x14ac:dyDescent="0.15">
      <c r="B12" s="95" t="str">
        <f>'MODU 2025'!B15</f>
        <v>BUISSON Cassandra</v>
      </c>
      <c r="C12" s="95" t="str">
        <f>'MODU 2025'!C15</f>
        <v>Production</v>
      </c>
      <c r="D12" s="95">
        <f>'MODU 2025'!D15</f>
        <v>37</v>
      </c>
      <c r="E12" s="95">
        <f>'MODU 2025'!G15</f>
        <v>33</v>
      </c>
      <c r="F12" s="95">
        <f>'MODU 2025'!H15</f>
        <v>41</v>
      </c>
      <c r="G12" s="95">
        <f>'MODU 2025'!I15</f>
        <v>29.25</v>
      </c>
      <c r="H12" s="95">
        <f>'MODU 2025'!J15</f>
        <v>41</v>
      </c>
      <c r="I12" s="95">
        <f>'MODU 2025'!K15</f>
        <v>33</v>
      </c>
      <c r="J12" s="95">
        <f>'MODU 2025'!L15</f>
        <v>41</v>
      </c>
      <c r="K12" s="95">
        <f>'MODU 2025'!M15</f>
        <v>33</v>
      </c>
      <c r="L12" s="95">
        <f>'MODU 2025'!N15</f>
        <v>41</v>
      </c>
      <c r="M12" s="95">
        <f>'MODU 2025'!O15</f>
        <v>33</v>
      </c>
      <c r="N12" s="95">
        <f>'MODU 2025'!P15</f>
        <v>41</v>
      </c>
      <c r="O12" s="95">
        <f>'MODU 2025'!Q15</f>
        <v>33</v>
      </c>
      <c r="P12" s="97"/>
      <c r="Q12" s="97">
        <f>IF(MOD(COLUMN(),2)=0,INDEX(paramètres!$C$4:$C$6,MATCH($C12,paramètres!$B$4:$B$6,0)),INDEX(paramètres!$D$4:$D$6,MATCH($C12,paramètres!$B$4:$B$6,0)))</f>
        <v>41</v>
      </c>
      <c r="R12" s="97">
        <f>IF(MOD(COLUMN(),2)=0,INDEX(paramètres!$C$4:$C$6,MATCH($C12,paramètres!$B$4:$B$6,0)),INDEX(paramètres!$D$4:$D$6,MATCH($C12,paramètres!$B$4:$B$6,0)))</f>
        <v>33</v>
      </c>
      <c r="S12" s="97">
        <f>IF(MOD(COLUMN(),2)=0,INDEX(paramètres!$C$4:$C$6,MATCH($C12,paramètres!$B$4:$B$6,0)),INDEX(paramètres!$D$4:$D$6,MATCH($C12,paramètres!$B$4:$B$6,0)))</f>
        <v>41</v>
      </c>
      <c r="T12" s="97">
        <f>IF(MOD(COLUMN(),2)=0,INDEX(paramètres!$C$4:$C$6,MATCH($C12,paramètres!$B$4:$B$6,0)),INDEX(paramètres!$D$4:$D$6,MATCH($C12,paramètres!$B$4:$B$6,0)))</f>
        <v>33</v>
      </c>
      <c r="U12" s="97">
        <f>IF(MOD(COLUMN(),2)=0,INDEX(paramètres!$C$4:$C$6,MATCH($C12,paramètres!$B$4:$B$6,0)),INDEX(paramètres!$D$4:$D$6,MATCH($C12,paramètres!$B$4:$B$6,0)))</f>
        <v>41</v>
      </c>
      <c r="V12" s="97">
        <f>IF(MOD(COLUMN(),2)=0,INDEX(paramètres!$C$4:$C$6,MATCH($C12,paramètres!$B$4:$B$6,0)),INDEX(paramètres!$D$4:$D$6,MATCH($C12,paramètres!$B$4:$B$6,0)))</f>
        <v>33</v>
      </c>
      <c r="W12" s="97">
        <f>IF(MOD(COLUMN(),2)=0,INDEX(paramètres!$C$4:$C$6,MATCH($C12,paramètres!$B$4:$B$6,0)),INDEX(paramètres!$D$4:$D$6,MATCH($C12,paramètres!$B$4:$B$6,0)))</f>
        <v>41</v>
      </c>
      <c r="X12" s="97">
        <f>IF(MOD(COLUMN(),2)=0,INDEX(paramètres!$C$4:$C$6,MATCH($C12,paramètres!$B$4:$B$6,0)),INDEX(paramètres!$D$4:$D$6,MATCH($C12,paramètres!$B$4:$B$6,0)))</f>
        <v>33</v>
      </c>
      <c r="Y12" s="97">
        <f>IF(MOD(COLUMN(),2)=0,INDEX(paramètres!$C$4:$C$6,MATCH($C12,paramètres!$B$4:$B$6,0)),INDEX(paramètres!$D$4:$D$6,MATCH($C12,paramètres!$B$4:$B$6,0)))</f>
        <v>41</v>
      </c>
      <c r="Z12" s="97">
        <f>IF(MOD(COLUMN(),2)=0,INDEX(paramètres!$C$4:$C$6,MATCH($C12,paramètres!$B$4:$B$6,0)),INDEX(paramètres!$D$4:$D$6,MATCH($C12,paramètres!$B$4:$B$6,0)))</f>
        <v>33</v>
      </c>
      <c r="AA12" s="97">
        <f>IF(MOD(COLUMN(),2)=0,INDEX(paramètres!$C$4:$C$6,MATCH($C12,paramètres!$B$4:$B$6,0)),INDEX(paramètres!$D$4:$D$6,MATCH($C12,paramètres!$B$4:$B$6,0)))</f>
        <v>41</v>
      </c>
      <c r="AB12" s="98"/>
      <c r="AC12" s="97">
        <f t="shared" si="15"/>
        <v>0</v>
      </c>
      <c r="AD12" s="97">
        <f t="shared" si="16"/>
        <v>-3.75</v>
      </c>
      <c r="AE12" s="97">
        <f t="shared" si="17"/>
        <v>0</v>
      </c>
      <c r="AF12" s="97">
        <f t="shared" si="18"/>
        <v>0</v>
      </c>
      <c r="AG12" s="97">
        <f t="shared" si="19"/>
        <v>0</v>
      </c>
      <c r="AH12" s="97">
        <f t="shared" si="20"/>
        <v>0</v>
      </c>
      <c r="AI12" s="97">
        <f t="shared" si="21"/>
        <v>0</v>
      </c>
      <c r="AJ12" s="97">
        <f t="shared" si="22"/>
        <v>0</v>
      </c>
      <c r="AK12" s="97">
        <f t="shared" si="23"/>
        <v>0</v>
      </c>
      <c r="AL12" s="97">
        <f t="shared" si="24"/>
        <v>0</v>
      </c>
      <c r="AM12" s="97">
        <f t="shared" si="25"/>
        <v>0</v>
      </c>
      <c r="AN12" s="36"/>
      <c r="AO12" s="97" t="str" cm="1">
        <f t="array" ref="AO12">IFERROR(
_xlfn.IFS(AND(AC12&gt;0,AC12&lt;($AP$3-$D12)),AC12*$AO$3,
AND(AC12&gt;0,AC12&gt;($AP$3-$D12)),($AP$3-$D12)*$AO$3),"")</f>
        <v/>
      </c>
      <c r="AP12" s="97" t="str" cm="1">
        <f t="array" ref="AP12">IFERROR(
_xlfn.IFS(AND(AD12&gt;0,AD12&lt;($AP$3-$D12)),AD12*$AO$3,
AND(AD12&gt;0,AD12&gt;($AP$3-$D12)),($AP$3-$D12)*$AO$3),"")</f>
        <v/>
      </c>
      <c r="AQ12" s="97" t="str" cm="1">
        <f t="array" ref="AQ12">IFERROR(
_xlfn.IFS(AND(AE12&gt;0,AE12&lt;($AP$3-$D12)),AE12*$AO$3,
AND(AE12&gt;0,AE12&gt;($AP$3-$D12)),($AP$3-$D12)*$AO$3),"")</f>
        <v/>
      </c>
      <c r="AR12" s="97" t="str" cm="1">
        <f t="array" ref="AR12">IFERROR(
_xlfn.IFS(AND(AF12&gt;0,AF12&lt;($AP$3-$D12)),AF12*$AO$3,
AND(AF12&gt;0,AF12&gt;($AP$3-$D12)),($AP$3-$D12)*$AO$3),"")</f>
        <v/>
      </c>
      <c r="AS12" s="97" t="str" cm="1">
        <f t="array" ref="AS12">IFERROR(
_xlfn.IFS(AND(AG12&gt;0,AG12&lt;($AP$3-$D12)),AG12*$AO$3,
AND(AG12&gt;0,AG12&gt;($AP$3-$D12)),($AP$3-$D12)*$AO$3),"")</f>
        <v/>
      </c>
      <c r="AT12" s="97" t="str" cm="1">
        <f t="array" ref="AT12">IFERROR(
_xlfn.IFS(AND(AH12&gt;0,AH12&lt;($AP$3-$D12)),AH12*$AO$3,
AND(AH12&gt;0,AH12&gt;($AP$3-$D12)),($AP$3-$D12)*$AO$3),"")</f>
        <v/>
      </c>
      <c r="AU12" s="97" t="str" cm="1">
        <f t="array" ref="AU12">IFERROR(
_xlfn.IFS(AND(AI12&gt;0,AI12&lt;($AP$3-$D12)),AI12*$AO$3,
AND(AI12&gt;0,AI12&gt;($AP$3-$D12)),($AP$3-$D12)*$AO$3),"")</f>
        <v/>
      </c>
      <c r="AV12" s="97" t="str" cm="1">
        <f t="array" ref="AV12">IFERROR(
_xlfn.IFS(AND(AJ12&gt;0,AJ12&lt;($AP$3-$D12)),AJ12*$AO$3,
AND(AJ12&gt;0,AJ12&gt;($AP$3-$D12)),($AP$3-$D12)*$AO$3),"")</f>
        <v/>
      </c>
      <c r="AW12" s="97" t="str" cm="1">
        <f t="array" ref="AW12">IFERROR(
_xlfn.IFS(AND(AK12&gt;0,AK12&lt;($AP$3-$D12)),AK12*$AO$3,
AND(AK12&gt;0,AK12&gt;($AP$3-$D12)),($AP$3-$D12)*$AO$3),"")</f>
        <v/>
      </c>
      <c r="AX12" s="97" t="str" cm="1">
        <f t="array" ref="AX12">IFERROR(
_xlfn.IFS(AND(AL12&gt;0,AL12&lt;($AP$3-$D12)),AL12*$AO$3,
AND(AL12&gt;0,AL12&gt;($AP$3-$D12)),($AP$3-$D12)*$AO$3),"")</f>
        <v/>
      </c>
      <c r="AY12" s="97" t="str" cm="1">
        <f t="array" ref="AY12">IFERROR(
_xlfn.IFS(AND(AM12&gt;0,AM12&lt;($AP$3-$D12)),AM12*$AO$3,
AND(AM12&gt;0,AM12&gt;($AP$3-$D12)),($AP$3-$D12)*$AO$3),"")</f>
        <v/>
      </c>
      <c r="AZ12" s="97">
        <f t="shared" si="26"/>
        <v>0</v>
      </c>
      <c r="BA12" s="93"/>
      <c r="BB12" s="92"/>
      <c r="BC12" s="97" t="str">
        <f t="shared" si="27"/>
        <v/>
      </c>
      <c r="BD12" s="97" t="str">
        <f t="shared" si="28"/>
        <v/>
      </c>
      <c r="BE12" s="97" t="str">
        <f t="shared" si="29"/>
        <v/>
      </c>
      <c r="BF12" s="97" t="str">
        <f t="shared" si="30"/>
        <v/>
      </c>
      <c r="BG12" s="97" t="str">
        <f t="shared" si="31"/>
        <v/>
      </c>
      <c r="BH12" s="97" t="str">
        <f t="shared" si="32"/>
        <v/>
      </c>
      <c r="BI12" s="97" t="str">
        <f t="shared" si="33"/>
        <v/>
      </c>
      <c r="BJ12" s="97" t="str">
        <f t="shared" si="34"/>
        <v/>
      </c>
      <c r="BK12" s="97" t="str">
        <f t="shared" si="35"/>
        <v/>
      </c>
      <c r="BL12" s="97" t="str">
        <f t="shared" si="36"/>
        <v/>
      </c>
      <c r="BM12" s="97" t="str">
        <f t="shared" si="37"/>
        <v/>
      </c>
      <c r="BN12" s="97">
        <f t="shared" si="38"/>
        <v>0</v>
      </c>
      <c r="BP12" s="92">
        <f t="shared" si="40"/>
        <v>0</v>
      </c>
      <c r="BR12" s="92">
        <f t="shared" si="39"/>
        <v>-3.75</v>
      </c>
    </row>
    <row r="13" spans="2:70" x14ac:dyDescent="0.15">
      <c r="B13" s="95" t="str">
        <f>'MODU 2025'!B16</f>
        <v xml:space="preserve">CANU Jason </v>
      </c>
      <c r="C13" s="95" t="str">
        <f>'MODU 2025'!C16</f>
        <v>Production</v>
      </c>
      <c r="D13" s="95">
        <f>'MODU 2025'!D16</f>
        <v>37</v>
      </c>
      <c r="E13" s="95">
        <f>'MODU 2025'!G16</f>
        <v>33</v>
      </c>
      <c r="F13" s="95">
        <f>'MODU 2025'!H16</f>
        <v>41</v>
      </c>
      <c r="G13" s="95">
        <f>'MODU 2025'!I16</f>
        <v>33</v>
      </c>
      <c r="H13" s="95">
        <f>'MODU 2025'!J16</f>
        <v>41</v>
      </c>
      <c r="I13" s="95">
        <f>'MODU 2025'!K16</f>
        <v>33</v>
      </c>
      <c r="J13" s="95">
        <f>'MODU 2025'!L16</f>
        <v>41</v>
      </c>
      <c r="K13" s="95">
        <f>'MODU 2025'!M16</f>
        <v>33</v>
      </c>
      <c r="L13" s="95">
        <f>'MODU 2025'!N16</f>
        <v>41</v>
      </c>
      <c r="M13" s="95">
        <f>'MODU 2025'!O16</f>
        <v>33</v>
      </c>
      <c r="N13" s="95">
        <f>'MODU 2025'!P16</f>
        <v>41</v>
      </c>
      <c r="O13" s="95">
        <f>'MODU 2025'!Q16</f>
        <v>33</v>
      </c>
      <c r="P13" s="97"/>
      <c r="Q13" s="97">
        <f>IF(MOD(COLUMN(),2)=0,INDEX(paramètres!$C$4:$C$6,MATCH($C13,paramètres!$B$4:$B$6,0)),INDEX(paramètres!$D$4:$D$6,MATCH($C13,paramètres!$B$4:$B$6,0)))</f>
        <v>41</v>
      </c>
      <c r="R13" s="97">
        <f>IF(MOD(COLUMN(),2)=0,INDEX(paramètres!$C$4:$C$6,MATCH($C13,paramètres!$B$4:$B$6,0)),INDEX(paramètres!$D$4:$D$6,MATCH($C13,paramètres!$B$4:$B$6,0)))</f>
        <v>33</v>
      </c>
      <c r="S13" s="97">
        <f>IF(MOD(COLUMN(),2)=0,INDEX(paramètres!$C$4:$C$6,MATCH($C13,paramètres!$B$4:$B$6,0)),INDEX(paramètres!$D$4:$D$6,MATCH($C13,paramètres!$B$4:$B$6,0)))</f>
        <v>41</v>
      </c>
      <c r="T13" s="97">
        <f>IF(MOD(COLUMN(),2)=0,INDEX(paramètres!$C$4:$C$6,MATCH($C13,paramètres!$B$4:$B$6,0)),INDEX(paramètres!$D$4:$D$6,MATCH($C13,paramètres!$B$4:$B$6,0)))</f>
        <v>33</v>
      </c>
      <c r="U13" s="97">
        <f>IF(MOD(COLUMN(),2)=0,INDEX(paramètres!$C$4:$C$6,MATCH($C13,paramètres!$B$4:$B$6,0)),INDEX(paramètres!$D$4:$D$6,MATCH($C13,paramètres!$B$4:$B$6,0)))</f>
        <v>41</v>
      </c>
      <c r="V13" s="97">
        <f>IF(MOD(COLUMN(),2)=0,INDEX(paramètres!$C$4:$C$6,MATCH($C13,paramètres!$B$4:$B$6,0)),INDEX(paramètres!$D$4:$D$6,MATCH($C13,paramètres!$B$4:$B$6,0)))</f>
        <v>33</v>
      </c>
      <c r="W13" s="97">
        <f>IF(MOD(COLUMN(),2)=0,INDEX(paramètres!$C$4:$C$6,MATCH($C13,paramètres!$B$4:$B$6,0)),INDEX(paramètres!$D$4:$D$6,MATCH($C13,paramètres!$B$4:$B$6,0)))</f>
        <v>41</v>
      </c>
      <c r="X13" s="97">
        <f>IF(MOD(COLUMN(),2)=0,INDEX(paramètres!$C$4:$C$6,MATCH($C13,paramètres!$B$4:$B$6,0)),INDEX(paramètres!$D$4:$D$6,MATCH($C13,paramètres!$B$4:$B$6,0)))</f>
        <v>33</v>
      </c>
      <c r="Y13" s="97">
        <f>IF(MOD(COLUMN(),2)=0,INDEX(paramètres!$C$4:$C$6,MATCH($C13,paramètres!$B$4:$B$6,0)),INDEX(paramètres!$D$4:$D$6,MATCH($C13,paramètres!$B$4:$B$6,0)))</f>
        <v>41</v>
      </c>
      <c r="Z13" s="97">
        <f>IF(MOD(COLUMN(),2)=0,INDEX(paramètres!$C$4:$C$6,MATCH($C13,paramètres!$B$4:$B$6,0)),INDEX(paramètres!$D$4:$D$6,MATCH($C13,paramètres!$B$4:$B$6,0)))</f>
        <v>33</v>
      </c>
      <c r="AA13" s="97">
        <f>IF(MOD(COLUMN(),2)=0,INDEX(paramètres!$C$4:$C$6,MATCH($C13,paramètres!$B$4:$B$6,0)),INDEX(paramètres!$D$4:$D$6,MATCH($C13,paramètres!$B$4:$B$6,0)))</f>
        <v>41</v>
      </c>
      <c r="AB13" s="98"/>
      <c r="AC13" s="97">
        <f t="shared" si="15"/>
        <v>0</v>
      </c>
      <c r="AD13" s="97">
        <f t="shared" si="16"/>
        <v>0</v>
      </c>
      <c r="AE13" s="97">
        <f t="shared" si="17"/>
        <v>0</v>
      </c>
      <c r="AF13" s="97">
        <f t="shared" si="18"/>
        <v>0</v>
      </c>
      <c r="AG13" s="97">
        <f t="shared" si="19"/>
        <v>0</v>
      </c>
      <c r="AH13" s="97">
        <f t="shared" si="20"/>
        <v>0</v>
      </c>
      <c r="AI13" s="97">
        <f t="shared" si="21"/>
        <v>0</v>
      </c>
      <c r="AJ13" s="97">
        <f t="shared" si="22"/>
        <v>0</v>
      </c>
      <c r="AK13" s="97">
        <f t="shared" si="23"/>
        <v>0</v>
      </c>
      <c r="AL13" s="97">
        <f t="shared" si="24"/>
        <v>0</v>
      </c>
      <c r="AM13" s="97">
        <f t="shared" si="25"/>
        <v>0</v>
      </c>
      <c r="AN13" s="36"/>
      <c r="AO13" s="97" t="str" cm="1">
        <f t="array" ref="AO13">IFERROR(
_xlfn.IFS(AND(AC13&gt;0,AC13&lt;($AP$3-$D13)),AC13*$AO$3,
AND(AC13&gt;0,AC13&gt;($AP$3-$D13)),($AP$3-$D13)*$AO$3),"")</f>
        <v/>
      </c>
      <c r="AP13" s="97" t="str" cm="1">
        <f t="array" ref="AP13">IFERROR(
_xlfn.IFS(AND(AD13&gt;0,AD13&lt;($AP$3-$D13)),AD13*$AO$3,
AND(AD13&gt;0,AD13&gt;($AP$3-$D13)),($AP$3-$D13)*$AO$3),"")</f>
        <v/>
      </c>
      <c r="AQ13" s="97" t="str" cm="1">
        <f t="array" ref="AQ13">IFERROR(
_xlfn.IFS(AND(AE13&gt;0,AE13&lt;($AP$3-$D13)),AE13*$AO$3,
AND(AE13&gt;0,AE13&gt;($AP$3-$D13)),($AP$3-$D13)*$AO$3),"")</f>
        <v/>
      </c>
      <c r="AR13" s="97" t="str" cm="1">
        <f t="array" ref="AR13">IFERROR(
_xlfn.IFS(AND(AF13&gt;0,AF13&lt;($AP$3-$D13)),AF13*$AO$3,
AND(AF13&gt;0,AF13&gt;($AP$3-$D13)),($AP$3-$D13)*$AO$3),"")</f>
        <v/>
      </c>
      <c r="AS13" s="97" t="str" cm="1">
        <f t="array" ref="AS13">IFERROR(
_xlfn.IFS(AND(AG13&gt;0,AG13&lt;($AP$3-$D13)),AG13*$AO$3,
AND(AG13&gt;0,AG13&gt;($AP$3-$D13)),($AP$3-$D13)*$AO$3),"")</f>
        <v/>
      </c>
      <c r="AT13" s="97" t="str" cm="1">
        <f t="array" ref="AT13">IFERROR(
_xlfn.IFS(AND(AH13&gt;0,AH13&lt;($AP$3-$D13)),AH13*$AO$3,
AND(AH13&gt;0,AH13&gt;($AP$3-$D13)),($AP$3-$D13)*$AO$3),"")</f>
        <v/>
      </c>
      <c r="AU13" s="97" t="str" cm="1">
        <f t="array" ref="AU13">IFERROR(
_xlfn.IFS(AND(AI13&gt;0,AI13&lt;($AP$3-$D13)),AI13*$AO$3,
AND(AI13&gt;0,AI13&gt;($AP$3-$D13)),($AP$3-$D13)*$AO$3),"")</f>
        <v/>
      </c>
      <c r="AV13" s="97" t="str" cm="1">
        <f t="array" ref="AV13">IFERROR(
_xlfn.IFS(AND(AJ13&gt;0,AJ13&lt;($AP$3-$D13)),AJ13*$AO$3,
AND(AJ13&gt;0,AJ13&gt;($AP$3-$D13)),($AP$3-$D13)*$AO$3),"")</f>
        <v/>
      </c>
      <c r="AW13" s="97" t="str" cm="1">
        <f t="array" ref="AW13">IFERROR(
_xlfn.IFS(AND(AK13&gt;0,AK13&lt;($AP$3-$D13)),AK13*$AO$3,
AND(AK13&gt;0,AK13&gt;($AP$3-$D13)),($AP$3-$D13)*$AO$3),"")</f>
        <v/>
      </c>
      <c r="AX13" s="97" t="str" cm="1">
        <f t="array" ref="AX13">IFERROR(
_xlfn.IFS(AND(AL13&gt;0,AL13&lt;($AP$3-$D13)),AL13*$AO$3,
AND(AL13&gt;0,AL13&gt;($AP$3-$D13)),($AP$3-$D13)*$AO$3),"")</f>
        <v/>
      </c>
      <c r="AY13" s="97" t="str" cm="1">
        <f t="array" ref="AY13">IFERROR(
_xlfn.IFS(AND(AM13&gt;0,AM13&lt;($AP$3-$D13)),AM13*$AO$3,
AND(AM13&gt;0,AM13&gt;($AP$3-$D13)),($AP$3-$D13)*$AO$3),"")</f>
        <v/>
      </c>
      <c r="AZ13" s="97">
        <f t="shared" si="26"/>
        <v>0</v>
      </c>
      <c r="BA13" s="93"/>
      <c r="BB13" s="92"/>
      <c r="BC13" s="97" t="str">
        <f t="shared" si="27"/>
        <v/>
      </c>
      <c r="BD13" s="97" t="str">
        <f t="shared" si="28"/>
        <v/>
      </c>
      <c r="BE13" s="97" t="str">
        <f t="shared" si="29"/>
        <v/>
      </c>
      <c r="BF13" s="97" t="str">
        <f t="shared" si="30"/>
        <v/>
      </c>
      <c r="BG13" s="97" t="str">
        <f t="shared" si="31"/>
        <v/>
      </c>
      <c r="BH13" s="97" t="str">
        <f t="shared" si="32"/>
        <v/>
      </c>
      <c r="BI13" s="97" t="str">
        <f t="shared" si="33"/>
        <v/>
      </c>
      <c r="BJ13" s="97" t="str">
        <f t="shared" si="34"/>
        <v/>
      </c>
      <c r="BK13" s="97" t="str">
        <f t="shared" si="35"/>
        <v/>
      </c>
      <c r="BL13" s="97" t="str">
        <f t="shared" si="36"/>
        <v/>
      </c>
      <c r="BM13" s="97" t="str">
        <f t="shared" si="37"/>
        <v/>
      </c>
      <c r="BN13" s="97">
        <f t="shared" si="38"/>
        <v>0</v>
      </c>
      <c r="BP13" s="92">
        <f t="shared" si="40"/>
        <v>0</v>
      </c>
      <c r="BR13" s="92">
        <f t="shared" si="39"/>
        <v>0</v>
      </c>
    </row>
    <row r="14" spans="2:70" x14ac:dyDescent="0.15">
      <c r="B14" s="95" t="str">
        <f>'MODU 2025'!B17</f>
        <v>COCHET Mélina</v>
      </c>
      <c r="C14" s="95" t="str">
        <f>'MODU 2025'!C17</f>
        <v>Logistique</v>
      </c>
      <c r="D14" s="95">
        <f>'MODU 2025'!D17</f>
        <v>39</v>
      </c>
      <c r="E14" s="95">
        <f>'MODU 2025'!G17</f>
        <v>40</v>
      </c>
      <c r="F14" s="95">
        <f>'MODU 2025'!H17</f>
        <v>40</v>
      </c>
      <c r="G14" s="95">
        <f>'MODU 2025'!I17</f>
        <v>40.5</v>
      </c>
      <c r="H14" s="95">
        <f>'MODU 2025'!J17</f>
        <v>39</v>
      </c>
      <c r="I14" s="95">
        <f>'MODU 2025'!K17</f>
        <v>39</v>
      </c>
      <c r="J14" s="95">
        <f>'MODU 2025'!L17</f>
        <v>39</v>
      </c>
      <c r="K14" s="95">
        <f>'MODU 2025'!M17</f>
        <v>39</v>
      </c>
      <c r="L14" s="95">
        <f>'MODU 2025'!N17</f>
        <v>39</v>
      </c>
      <c r="M14" s="95">
        <f>'MODU 2025'!O17</f>
        <v>39</v>
      </c>
      <c r="N14" s="95">
        <f>'MODU 2025'!P17</f>
        <v>39</v>
      </c>
      <c r="O14" s="95">
        <f>'MODU 2025'!Q17</f>
        <v>39</v>
      </c>
      <c r="P14" s="97"/>
      <c r="Q14" s="97">
        <f>IF(MOD(COLUMN(),2)=0,INDEX(paramètres!$C$4:$C$6,MATCH($C14,paramètres!$B$4:$B$6,0)),INDEX(paramètres!$D$4:$D$6,MATCH($C14,paramètres!$B$4:$B$6,0)))</f>
        <v>39</v>
      </c>
      <c r="R14" s="97">
        <f>IF(MOD(COLUMN(),2)=0,INDEX(paramètres!$C$4:$C$6,MATCH($C14,paramètres!$B$4:$B$6,0)),INDEX(paramètres!$D$4:$D$6,MATCH($C14,paramètres!$B$4:$B$6,0)))</f>
        <v>39</v>
      </c>
      <c r="S14" s="97">
        <f>IF(MOD(COLUMN(),2)=0,INDEX(paramètres!$C$4:$C$6,MATCH($C14,paramètres!$B$4:$B$6,0)),INDEX(paramètres!$D$4:$D$6,MATCH($C14,paramètres!$B$4:$B$6,0)))</f>
        <v>39</v>
      </c>
      <c r="T14" s="97">
        <f>IF(MOD(COLUMN(),2)=0,INDEX(paramètres!$C$4:$C$6,MATCH($C14,paramètres!$B$4:$B$6,0)),INDEX(paramètres!$D$4:$D$6,MATCH($C14,paramètres!$B$4:$B$6,0)))</f>
        <v>39</v>
      </c>
      <c r="U14" s="97">
        <f>IF(MOD(COLUMN(),2)=0,INDEX(paramètres!$C$4:$C$6,MATCH($C14,paramètres!$B$4:$B$6,0)),INDEX(paramètres!$D$4:$D$6,MATCH($C14,paramètres!$B$4:$B$6,0)))</f>
        <v>39</v>
      </c>
      <c r="V14" s="97">
        <f>IF(MOD(COLUMN(),2)=0,INDEX(paramètres!$C$4:$C$6,MATCH($C14,paramètres!$B$4:$B$6,0)),INDEX(paramètres!$D$4:$D$6,MATCH($C14,paramètres!$B$4:$B$6,0)))</f>
        <v>39</v>
      </c>
      <c r="W14" s="97">
        <f>IF(MOD(COLUMN(),2)=0,INDEX(paramètres!$C$4:$C$6,MATCH($C14,paramètres!$B$4:$B$6,0)),INDEX(paramètres!$D$4:$D$6,MATCH($C14,paramètres!$B$4:$B$6,0)))</f>
        <v>39</v>
      </c>
      <c r="X14" s="97">
        <f>IF(MOD(COLUMN(),2)=0,INDEX(paramètres!$C$4:$C$6,MATCH($C14,paramètres!$B$4:$B$6,0)),INDEX(paramètres!$D$4:$D$6,MATCH($C14,paramètres!$B$4:$B$6,0)))</f>
        <v>39</v>
      </c>
      <c r="Y14" s="97">
        <f>IF(MOD(COLUMN(),2)=0,INDEX(paramètres!$C$4:$C$6,MATCH($C14,paramètres!$B$4:$B$6,0)),INDEX(paramètres!$D$4:$D$6,MATCH($C14,paramètres!$B$4:$B$6,0)))</f>
        <v>39</v>
      </c>
      <c r="Z14" s="97">
        <f>IF(MOD(COLUMN(),2)=0,INDEX(paramètres!$C$4:$C$6,MATCH($C14,paramètres!$B$4:$B$6,0)),INDEX(paramètres!$D$4:$D$6,MATCH($C14,paramètres!$B$4:$B$6,0)))</f>
        <v>39</v>
      </c>
      <c r="AA14" s="97">
        <f>IF(MOD(COLUMN(),2)=0,INDEX(paramètres!$C$4:$C$6,MATCH($C14,paramètres!$B$4:$B$6,0)),INDEX(paramètres!$D$4:$D$6,MATCH($C14,paramètres!$B$4:$B$6,0)))</f>
        <v>39</v>
      </c>
      <c r="AB14" s="98"/>
      <c r="AC14" s="97">
        <f t="shared" si="15"/>
        <v>0</v>
      </c>
      <c r="AD14" s="97">
        <f t="shared" si="16"/>
        <v>2.5</v>
      </c>
      <c r="AE14" s="97">
        <f t="shared" si="17"/>
        <v>0</v>
      </c>
      <c r="AF14" s="97">
        <f t="shared" si="18"/>
        <v>0</v>
      </c>
      <c r="AG14" s="97">
        <f t="shared" si="19"/>
        <v>0</v>
      </c>
      <c r="AH14" s="97">
        <f t="shared" si="20"/>
        <v>0</v>
      </c>
      <c r="AI14" s="97">
        <f t="shared" si="21"/>
        <v>0</v>
      </c>
      <c r="AJ14" s="97">
        <f t="shared" si="22"/>
        <v>0</v>
      </c>
      <c r="AK14" s="97">
        <f t="shared" si="23"/>
        <v>0</v>
      </c>
      <c r="AL14" s="97">
        <f t="shared" si="24"/>
        <v>0</v>
      </c>
      <c r="AM14" s="97">
        <f t="shared" si="25"/>
        <v>0</v>
      </c>
      <c r="AN14" s="36"/>
      <c r="AO14" s="97" t="str" cm="1">
        <f t="array" ref="AO14">IFERROR(
_xlfn.IFS(AND(AC14&gt;0,AC14&lt;($AP$3-$D14)),AC14*$AO$3,
AND(AC14&gt;0,AC14&gt;($AP$3-$D14)),($AP$3-$D14)*$AO$3),"")</f>
        <v/>
      </c>
      <c r="AP14" s="97" cm="1">
        <f t="array" ref="AP14">IFERROR(
_xlfn.IFS(AND(AD14&gt;0,AD14&lt;($AP$3-$D14)),AD14*$AO$3,
AND(AD14&gt;0,AD14&gt;($AP$3-$D14)),($AP$3-$D14)*$AO$3),"")</f>
        <v>3.125</v>
      </c>
      <c r="AQ14" s="97" t="str" cm="1">
        <f t="array" ref="AQ14">IFERROR(
_xlfn.IFS(AND(AE14&gt;0,AE14&lt;($AP$3-$D14)),AE14*$AO$3,
AND(AE14&gt;0,AE14&gt;($AP$3-$D14)),($AP$3-$D14)*$AO$3),"")</f>
        <v/>
      </c>
      <c r="AR14" s="97" t="str" cm="1">
        <f t="array" ref="AR14">IFERROR(
_xlfn.IFS(AND(AF14&gt;0,AF14&lt;($AP$3-$D14)),AF14*$AO$3,
AND(AF14&gt;0,AF14&gt;($AP$3-$D14)),($AP$3-$D14)*$AO$3),"")</f>
        <v/>
      </c>
      <c r="AS14" s="97" t="str" cm="1">
        <f t="array" ref="AS14">IFERROR(
_xlfn.IFS(AND(AG14&gt;0,AG14&lt;($AP$3-$D14)),AG14*$AO$3,
AND(AG14&gt;0,AG14&gt;($AP$3-$D14)),($AP$3-$D14)*$AO$3),"")</f>
        <v/>
      </c>
      <c r="AT14" s="97" t="str" cm="1">
        <f t="array" ref="AT14">IFERROR(
_xlfn.IFS(AND(AH14&gt;0,AH14&lt;($AP$3-$D14)),AH14*$AO$3,
AND(AH14&gt;0,AH14&gt;($AP$3-$D14)),($AP$3-$D14)*$AO$3),"")</f>
        <v/>
      </c>
      <c r="AU14" s="97" t="str" cm="1">
        <f t="array" ref="AU14">IFERROR(
_xlfn.IFS(AND(AI14&gt;0,AI14&lt;($AP$3-$D14)),AI14*$AO$3,
AND(AI14&gt;0,AI14&gt;($AP$3-$D14)),($AP$3-$D14)*$AO$3),"")</f>
        <v/>
      </c>
      <c r="AV14" s="97" t="str" cm="1">
        <f t="array" ref="AV14">IFERROR(
_xlfn.IFS(AND(AJ14&gt;0,AJ14&lt;($AP$3-$D14)),AJ14*$AO$3,
AND(AJ14&gt;0,AJ14&gt;($AP$3-$D14)),($AP$3-$D14)*$AO$3),"")</f>
        <v/>
      </c>
      <c r="AW14" s="97" t="str" cm="1">
        <f t="array" ref="AW14">IFERROR(
_xlfn.IFS(AND(AK14&gt;0,AK14&lt;($AP$3-$D14)),AK14*$AO$3,
AND(AK14&gt;0,AK14&gt;($AP$3-$D14)),($AP$3-$D14)*$AO$3),"")</f>
        <v/>
      </c>
      <c r="AX14" s="97" t="str" cm="1">
        <f t="array" ref="AX14">IFERROR(
_xlfn.IFS(AND(AL14&gt;0,AL14&lt;($AP$3-$D14)),AL14*$AO$3,
AND(AL14&gt;0,AL14&gt;($AP$3-$D14)),($AP$3-$D14)*$AO$3),"")</f>
        <v/>
      </c>
      <c r="AY14" s="97" t="str" cm="1">
        <f t="array" ref="AY14">IFERROR(
_xlfn.IFS(AND(AM14&gt;0,AM14&lt;($AP$3-$D14)),AM14*$AO$3,
AND(AM14&gt;0,AM14&gt;($AP$3-$D14)),($AP$3-$D14)*$AO$3),"")</f>
        <v/>
      </c>
      <c r="AZ14" s="97">
        <f t="shared" si="26"/>
        <v>3.125</v>
      </c>
      <c r="BA14" s="93"/>
      <c r="BB14" s="92"/>
      <c r="BC14" s="97" t="str">
        <f t="shared" si="27"/>
        <v/>
      </c>
      <c r="BD14" s="97" t="str">
        <f t="shared" si="28"/>
        <v/>
      </c>
      <c r="BE14" s="97" t="str">
        <f t="shared" si="29"/>
        <v/>
      </c>
      <c r="BF14" s="97" t="str">
        <f t="shared" si="30"/>
        <v/>
      </c>
      <c r="BG14" s="97" t="str">
        <f t="shared" si="31"/>
        <v/>
      </c>
      <c r="BH14" s="97" t="str">
        <f t="shared" si="32"/>
        <v/>
      </c>
      <c r="BI14" s="97" t="str">
        <f t="shared" si="33"/>
        <v/>
      </c>
      <c r="BJ14" s="97" t="str">
        <f t="shared" si="34"/>
        <v/>
      </c>
      <c r="BK14" s="97" t="str">
        <f t="shared" si="35"/>
        <v/>
      </c>
      <c r="BL14" s="97" t="str">
        <f t="shared" si="36"/>
        <v/>
      </c>
      <c r="BM14" s="97" t="str">
        <f t="shared" si="37"/>
        <v/>
      </c>
      <c r="BN14" s="97">
        <f t="shared" si="38"/>
        <v>0</v>
      </c>
      <c r="BP14" s="92">
        <f t="shared" si="40"/>
        <v>3.125</v>
      </c>
      <c r="BR14" s="92">
        <f t="shared" si="39"/>
        <v>3.125</v>
      </c>
    </row>
    <row r="15" spans="2:70" x14ac:dyDescent="0.15">
      <c r="B15" s="95" t="str">
        <f>'MODU 2025'!B18</f>
        <v>COLLINS Tom</v>
      </c>
      <c r="C15" s="95" t="str">
        <f>'MODU 2025'!C18</f>
        <v>Production</v>
      </c>
      <c r="D15" s="95">
        <f>'MODU 2025'!D18</f>
        <v>37</v>
      </c>
      <c r="E15" s="95">
        <f>'MODU 2025'!G18</f>
        <v>33</v>
      </c>
      <c r="F15" s="95">
        <f>'MODU 2025'!H18</f>
        <v>41</v>
      </c>
      <c r="G15" s="95">
        <f>'MODU 2025'!I18</f>
        <v>33</v>
      </c>
      <c r="H15" s="95">
        <f>'MODU 2025'!J18</f>
        <v>41</v>
      </c>
      <c r="I15" s="95">
        <f>'MODU 2025'!K18</f>
        <v>33</v>
      </c>
      <c r="J15" s="95">
        <f>'MODU 2025'!L18</f>
        <v>41</v>
      </c>
      <c r="K15" s="95">
        <f>'MODU 2025'!M18</f>
        <v>33</v>
      </c>
      <c r="L15" s="95">
        <f>'MODU 2025'!N18</f>
        <v>41</v>
      </c>
      <c r="M15" s="95">
        <f>'MODU 2025'!O18</f>
        <v>33</v>
      </c>
      <c r="N15" s="95">
        <f>'MODU 2025'!P18</f>
        <v>41</v>
      </c>
      <c r="O15" s="95">
        <f>'MODU 2025'!Q18</f>
        <v>33</v>
      </c>
      <c r="P15" s="97"/>
      <c r="Q15" s="97">
        <f>IF(MOD(COLUMN(),2)=0,INDEX(paramètres!$C$4:$C$6,MATCH($C15,paramètres!$B$4:$B$6,0)),INDEX(paramètres!$D$4:$D$6,MATCH($C15,paramètres!$B$4:$B$6,0)))</f>
        <v>41</v>
      </c>
      <c r="R15" s="97">
        <f>IF(MOD(COLUMN(),2)=0,INDEX(paramètres!$C$4:$C$6,MATCH($C15,paramètres!$B$4:$B$6,0)),INDEX(paramètres!$D$4:$D$6,MATCH($C15,paramètres!$B$4:$B$6,0)))</f>
        <v>33</v>
      </c>
      <c r="S15" s="97">
        <f>IF(MOD(COLUMN(),2)=0,INDEX(paramètres!$C$4:$C$6,MATCH($C15,paramètres!$B$4:$B$6,0)),INDEX(paramètres!$D$4:$D$6,MATCH($C15,paramètres!$B$4:$B$6,0)))</f>
        <v>41</v>
      </c>
      <c r="T15" s="97">
        <f>IF(MOD(COLUMN(),2)=0,INDEX(paramètres!$C$4:$C$6,MATCH($C15,paramètres!$B$4:$B$6,0)),INDEX(paramètres!$D$4:$D$6,MATCH($C15,paramètres!$B$4:$B$6,0)))</f>
        <v>33</v>
      </c>
      <c r="U15" s="97">
        <f>IF(MOD(COLUMN(),2)=0,INDEX(paramètres!$C$4:$C$6,MATCH($C15,paramètres!$B$4:$B$6,0)),INDEX(paramètres!$D$4:$D$6,MATCH($C15,paramètres!$B$4:$B$6,0)))</f>
        <v>41</v>
      </c>
      <c r="V15" s="97">
        <f>IF(MOD(COLUMN(),2)=0,INDEX(paramètres!$C$4:$C$6,MATCH($C15,paramètres!$B$4:$B$6,0)),INDEX(paramètres!$D$4:$D$6,MATCH($C15,paramètres!$B$4:$B$6,0)))</f>
        <v>33</v>
      </c>
      <c r="W15" s="97">
        <f>IF(MOD(COLUMN(),2)=0,INDEX(paramètres!$C$4:$C$6,MATCH($C15,paramètres!$B$4:$B$6,0)),INDEX(paramètres!$D$4:$D$6,MATCH($C15,paramètres!$B$4:$B$6,0)))</f>
        <v>41</v>
      </c>
      <c r="X15" s="97">
        <f>IF(MOD(COLUMN(),2)=0,INDEX(paramètres!$C$4:$C$6,MATCH($C15,paramètres!$B$4:$B$6,0)),INDEX(paramètres!$D$4:$D$6,MATCH($C15,paramètres!$B$4:$B$6,0)))</f>
        <v>33</v>
      </c>
      <c r="Y15" s="97">
        <f>IF(MOD(COLUMN(),2)=0,INDEX(paramètres!$C$4:$C$6,MATCH($C15,paramètres!$B$4:$B$6,0)),INDEX(paramètres!$D$4:$D$6,MATCH($C15,paramètres!$B$4:$B$6,0)))</f>
        <v>41</v>
      </c>
      <c r="Z15" s="97">
        <f>IF(MOD(COLUMN(),2)=0,INDEX(paramètres!$C$4:$C$6,MATCH($C15,paramètres!$B$4:$B$6,0)),INDEX(paramètres!$D$4:$D$6,MATCH($C15,paramètres!$B$4:$B$6,0)))</f>
        <v>33</v>
      </c>
      <c r="AA15" s="97">
        <f>IF(MOD(COLUMN(),2)=0,INDEX(paramètres!$C$4:$C$6,MATCH($C15,paramètres!$B$4:$B$6,0)),INDEX(paramètres!$D$4:$D$6,MATCH($C15,paramètres!$B$4:$B$6,0)))</f>
        <v>41</v>
      </c>
      <c r="AB15" s="98"/>
      <c r="AC15" s="97">
        <f t="shared" si="15"/>
        <v>0</v>
      </c>
      <c r="AD15" s="97">
        <f t="shared" si="16"/>
        <v>0</v>
      </c>
      <c r="AE15" s="97">
        <f t="shared" si="17"/>
        <v>0</v>
      </c>
      <c r="AF15" s="97">
        <f t="shared" si="18"/>
        <v>0</v>
      </c>
      <c r="AG15" s="97">
        <f t="shared" si="19"/>
        <v>0</v>
      </c>
      <c r="AH15" s="97">
        <f t="shared" si="20"/>
        <v>0</v>
      </c>
      <c r="AI15" s="97">
        <f t="shared" si="21"/>
        <v>0</v>
      </c>
      <c r="AJ15" s="97">
        <f t="shared" si="22"/>
        <v>0</v>
      </c>
      <c r="AK15" s="97">
        <f t="shared" si="23"/>
        <v>0</v>
      </c>
      <c r="AL15" s="97">
        <f t="shared" si="24"/>
        <v>0</v>
      </c>
      <c r="AM15" s="97">
        <f t="shared" si="25"/>
        <v>0</v>
      </c>
      <c r="AN15" s="36"/>
      <c r="AO15" s="97" t="str" cm="1">
        <f t="array" ref="AO15">IFERROR(
_xlfn.IFS(AND(AC15&gt;0,AC15&lt;($AP$3-$D15)),AC15*$AO$3,
AND(AC15&gt;0,AC15&gt;($AP$3-$D15)),($AP$3-$D15)*$AO$3),"")</f>
        <v/>
      </c>
      <c r="AP15" s="97" t="str" cm="1">
        <f t="array" ref="AP15">IFERROR(
_xlfn.IFS(AND(AD15&gt;0,AD15&lt;($AP$3-$D15)),AD15*$AO$3,
AND(AD15&gt;0,AD15&gt;($AP$3-$D15)),($AP$3-$D15)*$AO$3),"")</f>
        <v/>
      </c>
      <c r="AQ15" s="97" t="str" cm="1">
        <f t="array" ref="AQ15">IFERROR(
_xlfn.IFS(AND(AE15&gt;0,AE15&lt;($AP$3-$D15)),AE15*$AO$3,
AND(AE15&gt;0,AE15&gt;($AP$3-$D15)),($AP$3-$D15)*$AO$3),"")</f>
        <v/>
      </c>
      <c r="AR15" s="97" t="str" cm="1">
        <f t="array" ref="AR15">IFERROR(
_xlfn.IFS(AND(AF15&gt;0,AF15&lt;($AP$3-$D15)),AF15*$AO$3,
AND(AF15&gt;0,AF15&gt;($AP$3-$D15)),($AP$3-$D15)*$AO$3),"")</f>
        <v/>
      </c>
      <c r="AS15" s="97" t="str" cm="1">
        <f t="array" ref="AS15">IFERROR(
_xlfn.IFS(AND(AG15&gt;0,AG15&lt;($AP$3-$D15)),AG15*$AO$3,
AND(AG15&gt;0,AG15&gt;($AP$3-$D15)),($AP$3-$D15)*$AO$3),"")</f>
        <v/>
      </c>
      <c r="AT15" s="97" t="str" cm="1">
        <f t="array" ref="AT15">IFERROR(
_xlfn.IFS(AND(AH15&gt;0,AH15&lt;($AP$3-$D15)),AH15*$AO$3,
AND(AH15&gt;0,AH15&gt;($AP$3-$D15)),($AP$3-$D15)*$AO$3),"")</f>
        <v/>
      </c>
      <c r="AU15" s="97" t="str" cm="1">
        <f t="array" ref="AU15">IFERROR(
_xlfn.IFS(AND(AI15&gt;0,AI15&lt;($AP$3-$D15)),AI15*$AO$3,
AND(AI15&gt;0,AI15&gt;($AP$3-$D15)),($AP$3-$D15)*$AO$3),"")</f>
        <v/>
      </c>
      <c r="AV15" s="97" t="str" cm="1">
        <f t="array" ref="AV15">IFERROR(
_xlfn.IFS(AND(AJ15&gt;0,AJ15&lt;($AP$3-$D15)),AJ15*$AO$3,
AND(AJ15&gt;0,AJ15&gt;($AP$3-$D15)),($AP$3-$D15)*$AO$3),"")</f>
        <v/>
      </c>
      <c r="AW15" s="97" t="str" cm="1">
        <f t="array" ref="AW15">IFERROR(
_xlfn.IFS(AND(AK15&gt;0,AK15&lt;($AP$3-$D15)),AK15*$AO$3,
AND(AK15&gt;0,AK15&gt;($AP$3-$D15)),($AP$3-$D15)*$AO$3),"")</f>
        <v/>
      </c>
      <c r="AX15" s="97" t="str" cm="1">
        <f t="array" ref="AX15">IFERROR(
_xlfn.IFS(AND(AL15&gt;0,AL15&lt;($AP$3-$D15)),AL15*$AO$3,
AND(AL15&gt;0,AL15&gt;($AP$3-$D15)),($AP$3-$D15)*$AO$3),"")</f>
        <v/>
      </c>
      <c r="AY15" s="97" t="str" cm="1">
        <f t="array" ref="AY15">IFERROR(
_xlfn.IFS(AND(AM15&gt;0,AM15&lt;($AP$3-$D15)),AM15*$AO$3,
AND(AM15&gt;0,AM15&gt;($AP$3-$D15)),($AP$3-$D15)*$AO$3),"")</f>
        <v/>
      </c>
      <c r="AZ15" s="97">
        <f t="shared" si="26"/>
        <v>0</v>
      </c>
      <c r="BA15" s="93"/>
      <c r="BB15" s="92"/>
      <c r="BC15" s="97" t="str">
        <f t="shared" si="27"/>
        <v/>
      </c>
      <c r="BD15" s="97" t="str">
        <f t="shared" si="28"/>
        <v/>
      </c>
      <c r="BE15" s="97" t="str">
        <f t="shared" si="29"/>
        <v/>
      </c>
      <c r="BF15" s="97" t="str">
        <f t="shared" si="30"/>
        <v/>
      </c>
      <c r="BG15" s="97" t="str">
        <f t="shared" si="31"/>
        <v/>
      </c>
      <c r="BH15" s="97" t="str">
        <f t="shared" si="32"/>
        <v/>
      </c>
      <c r="BI15" s="97" t="str">
        <f t="shared" si="33"/>
        <v/>
      </c>
      <c r="BJ15" s="97" t="str">
        <f t="shared" si="34"/>
        <v/>
      </c>
      <c r="BK15" s="97" t="str">
        <f t="shared" si="35"/>
        <v/>
      </c>
      <c r="BL15" s="97" t="str">
        <f t="shared" si="36"/>
        <v/>
      </c>
      <c r="BM15" s="97" t="str">
        <f t="shared" si="37"/>
        <v/>
      </c>
      <c r="BN15" s="97">
        <f t="shared" si="38"/>
        <v>0</v>
      </c>
      <c r="BP15" s="92">
        <f t="shared" si="40"/>
        <v>0</v>
      </c>
      <c r="BR15" s="92">
        <f t="shared" si="39"/>
        <v>0</v>
      </c>
    </row>
    <row r="16" spans="2:70" x14ac:dyDescent="0.15">
      <c r="B16" s="95" t="str">
        <f>'MODU 2025'!B19</f>
        <v>CORTOT Catherine</v>
      </c>
      <c r="C16" s="95" t="str">
        <f>'MODU 2025'!C19</f>
        <v>Production</v>
      </c>
      <c r="D16" s="95">
        <f>'MODU 2025'!D19</f>
        <v>37</v>
      </c>
      <c r="E16" s="95">
        <f>'MODU 2025'!G19</f>
        <v>33</v>
      </c>
      <c r="F16" s="95">
        <f>'MODU 2025'!H19</f>
        <v>41</v>
      </c>
      <c r="G16" s="95">
        <f>'MODU 2025'!I19</f>
        <v>33</v>
      </c>
      <c r="H16" s="95">
        <f>'MODU 2025'!J19</f>
        <v>41</v>
      </c>
      <c r="I16" s="95">
        <f>'MODU 2025'!K19</f>
        <v>33</v>
      </c>
      <c r="J16" s="95">
        <f>'MODU 2025'!L19</f>
        <v>41</v>
      </c>
      <c r="K16" s="95">
        <f>'MODU 2025'!M19</f>
        <v>33</v>
      </c>
      <c r="L16" s="95">
        <f>'MODU 2025'!N19</f>
        <v>41</v>
      </c>
      <c r="M16" s="95">
        <f>'MODU 2025'!O19</f>
        <v>33</v>
      </c>
      <c r="N16" s="95">
        <f>'MODU 2025'!P19</f>
        <v>41</v>
      </c>
      <c r="O16" s="95">
        <f>'MODU 2025'!Q19</f>
        <v>33</v>
      </c>
      <c r="P16" s="97"/>
      <c r="Q16" s="97">
        <f>IF(MOD(COLUMN(),2)=0,INDEX(paramètres!$C$4:$C$6,MATCH($C16,paramètres!$B$4:$B$6,0)),INDEX(paramètres!$D$4:$D$6,MATCH($C16,paramètres!$B$4:$B$6,0)))</f>
        <v>41</v>
      </c>
      <c r="R16" s="97">
        <f>IF(MOD(COLUMN(),2)=0,INDEX(paramètres!$C$4:$C$6,MATCH($C16,paramètres!$B$4:$B$6,0)),INDEX(paramètres!$D$4:$D$6,MATCH($C16,paramètres!$B$4:$B$6,0)))</f>
        <v>33</v>
      </c>
      <c r="S16" s="97">
        <f>IF(MOD(COLUMN(),2)=0,INDEX(paramètres!$C$4:$C$6,MATCH($C16,paramètres!$B$4:$B$6,0)),INDEX(paramètres!$D$4:$D$6,MATCH($C16,paramètres!$B$4:$B$6,0)))</f>
        <v>41</v>
      </c>
      <c r="T16" s="97">
        <f>IF(MOD(COLUMN(),2)=0,INDEX(paramètres!$C$4:$C$6,MATCH($C16,paramètres!$B$4:$B$6,0)),INDEX(paramètres!$D$4:$D$6,MATCH($C16,paramètres!$B$4:$B$6,0)))</f>
        <v>33</v>
      </c>
      <c r="U16" s="97">
        <f>IF(MOD(COLUMN(),2)=0,INDEX(paramètres!$C$4:$C$6,MATCH($C16,paramètres!$B$4:$B$6,0)),INDEX(paramètres!$D$4:$D$6,MATCH($C16,paramètres!$B$4:$B$6,0)))</f>
        <v>41</v>
      </c>
      <c r="V16" s="97">
        <f>IF(MOD(COLUMN(),2)=0,INDEX(paramètres!$C$4:$C$6,MATCH($C16,paramètres!$B$4:$B$6,0)),INDEX(paramètres!$D$4:$D$6,MATCH($C16,paramètres!$B$4:$B$6,0)))</f>
        <v>33</v>
      </c>
      <c r="W16" s="97">
        <f>IF(MOD(COLUMN(),2)=0,INDEX(paramètres!$C$4:$C$6,MATCH($C16,paramètres!$B$4:$B$6,0)),INDEX(paramètres!$D$4:$D$6,MATCH($C16,paramètres!$B$4:$B$6,0)))</f>
        <v>41</v>
      </c>
      <c r="X16" s="97">
        <f>IF(MOD(COLUMN(),2)=0,INDEX(paramètres!$C$4:$C$6,MATCH($C16,paramètres!$B$4:$B$6,0)),INDEX(paramètres!$D$4:$D$6,MATCH($C16,paramètres!$B$4:$B$6,0)))</f>
        <v>33</v>
      </c>
      <c r="Y16" s="97">
        <f>IF(MOD(COLUMN(),2)=0,INDEX(paramètres!$C$4:$C$6,MATCH($C16,paramètres!$B$4:$B$6,0)),INDEX(paramètres!$D$4:$D$6,MATCH($C16,paramètres!$B$4:$B$6,0)))</f>
        <v>41</v>
      </c>
      <c r="Z16" s="97">
        <f>IF(MOD(COLUMN(),2)=0,INDEX(paramètres!$C$4:$C$6,MATCH($C16,paramètres!$B$4:$B$6,0)),INDEX(paramètres!$D$4:$D$6,MATCH($C16,paramètres!$B$4:$B$6,0)))</f>
        <v>33</v>
      </c>
      <c r="AA16" s="97">
        <f>IF(MOD(COLUMN(),2)=0,INDEX(paramètres!$C$4:$C$6,MATCH($C16,paramètres!$B$4:$B$6,0)),INDEX(paramètres!$D$4:$D$6,MATCH($C16,paramètres!$B$4:$B$6,0)))</f>
        <v>41</v>
      </c>
      <c r="AB16" s="98"/>
      <c r="AC16" s="97">
        <f t="shared" si="15"/>
        <v>0</v>
      </c>
      <c r="AD16" s="97">
        <f t="shared" si="16"/>
        <v>0</v>
      </c>
      <c r="AE16" s="97">
        <f t="shared" si="17"/>
        <v>0</v>
      </c>
      <c r="AF16" s="97">
        <f t="shared" si="18"/>
        <v>0</v>
      </c>
      <c r="AG16" s="97">
        <f t="shared" si="19"/>
        <v>0</v>
      </c>
      <c r="AH16" s="97">
        <f t="shared" si="20"/>
        <v>0</v>
      </c>
      <c r="AI16" s="97">
        <f t="shared" si="21"/>
        <v>0</v>
      </c>
      <c r="AJ16" s="97">
        <f t="shared" si="22"/>
        <v>0</v>
      </c>
      <c r="AK16" s="97">
        <f t="shared" si="23"/>
        <v>0</v>
      </c>
      <c r="AL16" s="97">
        <f t="shared" si="24"/>
        <v>0</v>
      </c>
      <c r="AM16" s="97">
        <f t="shared" si="25"/>
        <v>0</v>
      </c>
      <c r="AN16" s="36"/>
      <c r="AO16" s="97" t="str" cm="1">
        <f t="array" ref="AO16">IFERROR(
_xlfn.IFS(AND(AC16&gt;0,AC16&lt;($AP$3-$D16)),AC16*$AO$3,
AND(AC16&gt;0,AC16&gt;($AP$3-$D16)),($AP$3-$D16)*$AO$3),"")</f>
        <v/>
      </c>
      <c r="AP16" s="97" t="str" cm="1">
        <f t="array" ref="AP16">IFERROR(
_xlfn.IFS(AND(AD16&gt;0,AD16&lt;($AP$3-$D16)),AD16*$AO$3,
AND(AD16&gt;0,AD16&gt;($AP$3-$D16)),($AP$3-$D16)*$AO$3),"")</f>
        <v/>
      </c>
      <c r="AQ16" s="97" t="str" cm="1">
        <f t="array" ref="AQ16">IFERROR(
_xlfn.IFS(AND(AE16&gt;0,AE16&lt;($AP$3-$D16)),AE16*$AO$3,
AND(AE16&gt;0,AE16&gt;($AP$3-$D16)),($AP$3-$D16)*$AO$3),"")</f>
        <v/>
      </c>
      <c r="AR16" s="97" t="str" cm="1">
        <f t="array" ref="AR16">IFERROR(
_xlfn.IFS(AND(AF16&gt;0,AF16&lt;($AP$3-$D16)),AF16*$AO$3,
AND(AF16&gt;0,AF16&gt;($AP$3-$D16)),($AP$3-$D16)*$AO$3),"")</f>
        <v/>
      </c>
      <c r="AS16" s="97" t="str" cm="1">
        <f t="array" ref="AS16">IFERROR(
_xlfn.IFS(AND(AG16&gt;0,AG16&lt;($AP$3-$D16)),AG16*$AO$3,
AND(AG16&gt;0,AG16&gt;($AP$3-$D16)),($AP$3-$D16)*$AO$3),"")</f>
        <v/>
      </c>
      <c r="AT16" s="97" t="str" cm="1">
        <f t="array" ref="AT16">IFERROR(
_xlfn.IFS(AND(AH16&gt;0,AH16&lt;($AP$3-$D16)),AH16*$AO$3,
AND(AH16&gt;0,AH16&gt;($AP$3-$D16)),($AP$3-$D16)*$AO$3),"")</f>
        <v/>
      </c>
      <c r="AU16" s="97" t="str" cm="1">
        <f t="array" ref="AU16">IFERROR(
_xlfn.IFS(AND(AI16&gt;0,AI16&lt;($AP$3-$D16)),AI16*$AO$3,
AND(AI16&gt;0,AI16&gt;($AP$3-$D16)),($AP$3-$D16)*$AO$3),"")</f>
        <v/>
      </c>
      <c r="AV16" s="97" t="str" cm="1">
        <f t="array" ref="AV16">IFERROR(
_xlfn.IFS(AND(AJ16&gt;0,AJ16&lt;($AP$3-$D16)),AJ16*$AO$3,
AND(AJ16&gt;0,AJ16&gt;($AP$3-$D16)),($AP$3-$D16)*$AO$3),"")</f>
        <v/>
      </c>
      <c r="AW16" s="97" t="str" cm="1">
        <f t="array" ref="AW16">IFERROR(
_xlfn.IFS(AND(AK16&gt;0,AK16&lt;($AP$3-$D16)),AK16*$AO$3,
AND(AK16&gt;0,AK16&gt;($AP$3-$D16)),($AP$3-$D16)*$AO$3),"")</f>
        <v/>
      </c>
      <c r="AX16" s="97" t="str" cm="1">
        <f t="array" ref="AX16">IFERROR(
_xlfn.IFS(AND(AL16&gt;0,AL16&lt;($AP$3-$D16)),AL16*$AO$3,
AND(AL16&gt;0,AL16&gt;($AP$3-$D16)),($AP$3-$D16)*$AO$3),"")</f>
        <v/>
      </c>
      <c r="AY16" s="97" t="str" cm="1">
        <f t="array" ref="AY16">IFERROR(
_xlfn.IFS(AND(AM16&gt;0,AM16&lt;($AP$3-$D16)),AM16*$AO$3,
AND(AM16&gt;0,AM16&gt;($AP$3-$D16)),($AP$3-$D16)*$AO$3),"")</f>
        <v/>
      </c>
      <c r="AZ16" s="97">
        <f t="shared" si="26"/>
        <v>0</v>
      </c>
      <c r="BA16" s="93"/>
      <c r="BB16" s="92"/>
      <c r="BC16" s="97" t="str">
        <f t="shared" si="27"/>
        <v/>
      </c>
      <c r="BD16" s="97" t="str">
        <f t="shared" si="28"/>
        <v/>
      </c>
      <c r="BE16" s="97" t="str">
        <f t="shared" si="29"/>
        <v/>
      </c>
      <c r="BF16" s="97" t="str">
        <f t="shared" si="30"/>
        <v/>
      </c>
      <c r="BG16" s="97" t="str">
        <f t="shared" si="31"/>
        <v/>
      </c>
      <c r="BH16" s="97" t="str">
        <f t="shared" si="32"/>
        <v/>
      </c>
      <c r="BI16" s="97" t="str">
        <f t="shared" si="33"/>
        <v/>
      </c>
      <c r="BJ16" s="97" t="str">
        <f t="shared" si="34"/>
        <v/>
      </c>
      <c r="BK16" s="97" t="str">
        <f t="shared" si="35"/>
        <v/>
      </c>
      <c r="BL16" s="97" t="str">
        <f t="shared" si="36"/>
        <v/>
      </c>
      <c r="BM16" s="97" t="str">
        <f t="shared" si="37"/>
        <v/>
      </c>
      <c r="BN16" s="97">
        <f t="shared" si="38"/>
        <v>0</v>
      </c>
      <c r="BP16" s="92">
        <f t="shared" si="40"/>
        <v>0</v>
      </c>
      <c r="BR16" s="92">
        <f t="shared" si="39"/>
        <v>0</v>
      </c>
    </row>
    <row r="17" spans="2:70" x14ac:dyDescent="0.15">
      <c r="B17" s="95" t="str">
        <f>'MODU 2025'!B20</f>
        <v>DUCERF Norbert</v>
      </c>
      <c r="C17" s="95" t="str">
        <f>'MODU 2025'!C20</f>
        <v>Logistique</v>
      </c>
      <c r="D17" s="95">
        <f>'MODU 2025'!D20</f>
        <v>39</v>
      </c>
      <c r="E17" s="95">
        <f>'MODU 2025'!G20</f>
        <v>39</v>
      </c>
      <c r="F17" s="95">
        <f>'MODU 2025'!H20</f>
        <v>39</v>
      </c>
      <c r="G17" s="95">
        <f>'MODU 2025'!I20</f>
        <v>40</v>
      </c>
      <c r="H17" s="95">
        <f>'MODU 2025'!J20</f>
        <v>39</v>
      </c>
      <c r="I17" s="95">
        <f>'MODU 2025'!K20</f>
        <v>39</v>
      </c>
      <c r="J17" s="95">
        <f>'MODU 2025'!L20</f>
        <v>39</v>
      </c>
      <c r="K17" s="95">
        <f>'MODU 2025'!M20</f>
        <v>39</v>
      </c>
      <c r="L17" s="95">
        <f>'MODU 2025'!N20</f>
        <v>39</v>
      </c>
      <c r="M17" s="95">
        <f>'MODU 2025'!O20</f>
        <v>39</v>
      </c>
      <c r="N17" s="95">
        <f>'MODU 2025'!P20</f>
        <v>39</v>
      </c>
      <c r="O17" s="95">
        <f>'MODU 2025'!Q20</f>
        <v>39</v>
      </c>
      <c r="P17" s="97"/>
      <c r="Q17" s="97">
        <f>IF(MOD(COLUMN(),2)=0,INDEX(paramètres!$C$4:$C$6,MATCH($C17,paramètres!$B$4:$B$6,0)),INDEX(paramètres!$D$4:$D$6,MATCH($C17,paramètres!$B$4:$B$6,0)))</f>
        <v>39</v>
      </c>
      <c r="R17" s="97">
        <f>IF(MOD(COLUMN(),2)=0,INDEX(paramètres!$C$4:$C$6,MATCH($C17,paramètres!$B$4:$B$6,0)),INDEX(paramètres!$D$4:$D$6,MATCH($C17,paramètres!$B$4:$B$6,0)))</f>
        <v>39</v>
      </c>
      <c r="S17" s="97">
        <f>IF(MOD(COLUMN(),2)=0,INDEX(paramètres!$C$4:$C$6,MATCH($C17,paramètres!$B$4:$B$6,0)),INDEX(paramètres!$D$4:$D$6,MATCH($C17,paramètres!$B$4:$B$6,0)))</f>
        <v>39</v>
      </c>
      <c r="T17" s="97">
        <f>IF(MOD(COLUMN(),2)=0,INDEX(paramètres!$C$4:$C$6,MATCH($C17,paramètres!$B$4:$B$6,0)),INDEX(paramètres!$D$4:$D$6,MATCH($C17,paramètres!$B$4:$B$6,0)))</f>
        <v>39</v>
      </c>
      <c r="U17" s="97">
        <f>IF(MOD(COLUMN(),2)=0,INDEX(paramètres!$C$4:$C$6,MATCH($C17,paramètres!$B$4:$B$6,0)),INDEX(paramètres!$D$4:$D$6,MATCH($C17,paramètres!$B$4:$B$6,0)))</f>
        <v>39</v>
      </c>
      <c r="V17" s="97">
        <f>IF(MOD(COLUMN(),2)=0,INDEX(paramètres!$C$4:$C$6,MATCH($C17,paramètres!$B$4:$B$6,0)),INDEX(paramètres!$D$4:$D$6,MATCH($C17,paramètres!$B$4:$B$6,0)))</f>
        <v>39</v>
      </c>
      <c r="W17" s="97">
        <f>IF(MOD(COLUMN(),2)=0,INDEX(paramètres!$C$4:$C$6,MATCH($C17,paramètres!$B$4:$B$6,0)),INDEX(paramètres!$D$4:$D$6,MATCH($C17,paramètres!$B$4:$B$6,0)))</f>
        <v>39</v>
      </c>
      <c r="X17" s="97">
        <f>IF(MOD(COLUMN(),2)=0,INDEX(paramètres!$C$4:$C$6,MATCH($C17,paramètres!$B$4:$B$6,0)),INDEX(paramètres!$D$4:$D$6,MATCH($C17,paramètres!$B$4:$B$6,0)))</f>
        <v>39</v>
      </c>
      <c r="Y17" s="97">
        <f>IF(MOD(COLUMN(),2)=0,INDEX(paramètres!$C$4:$C$6,MATCH($C17,paramètres!$B$4:$B$6,0)),INDEX(paramètres!$D$4:$D$6,MATCH($C17,paramètres!$B$4:$B$6,0)))</f>
        <v>39</v>
      </c>
      <c r="Z17" s="97">
        <f>IF(MOD(COLUMN(),2)=0,INDEX(paramètres!$C$4:$C$6,MATCH($C17,paramètres!$B$4:$B$6,0)),INDEX(paramètres!$D$4:$D$6,MATCH($C17,paramètres!$B$4:$B$6,0)))</f>
        <v>39</v>
      </c>
      <c r="AA17" s="97">
        <f>IF(MOD(COLUMN(),2)=0,INDEX(paramètres!$C$4:$C$6,MATCH($C17,paramètres!$B$4:$B$6,0)),INDEX(paramètres!$D$4:$D$6,MATCH($C17,paramètres!$B$4:$B$6,0)))</f>
        <v>39</v>
      </c>
      <c r="AB17" s="98"/>
      <c r="AC17" s="97">
        <f t="shared" si="15"/>
        <v>0</v>
      </c>
      <c r="AD17" s="97">
        <f t="shared" si="16"/>
        <v>1</v>
      </c>
      <c r="AE17" s="97">
        <f t="shared" si="17"/>
        <v>0</v>
      </c>
      <c r="AF17" s="97">
        <f t="shared" si="18"/>
        <v>0</v>
      </c>
      <c r="AG17" s="97">
        <f t="shared" si="19"/>
        <v>0</v>
      </c>
      <c r="AH17" s="97">
        <f t="shared" si="20"/>
        <v>0</v>
      </c>
      <c r="AI17" s="97">
        <f t="shared" si="21"/>
        <v>0</v>
      </c>
      <c r="AJ17" s="97">
        <f t="shared" si="22"/>
        <v>0</v>
      </c>
      <c r="AK17" s="97">
        <f t="shared" si="23"/>
        <v>0</v>
      </c>
      <c r="AL17" s="97">
        <f t="shared" si="24"/>
        <v>0</v>
      </c>
      <c r="AM17" s="97">
        <f t="shared" si="25"/>
        <v>0</v>
      </c>
      <c r="AN17" s="36"/>
      <c r="AO17" s="97" t="str" cm="1">
        <f t="array" ref="AO17">IFERROR(
_xlfn.IFS(AND(AC17&gt;0,AC17&lt;($AP$3-$D17)),AC17*$AO$3,
AND(AC17&gt;0,AC17&gt;($AP$3-$D17)),($AP$3-$D17)*$AO$3),"")</f>
        <v/>
      </c>
      <c r="AP17" s="97" cm="1">
        <f t="array" ref="AP17">IFERROR(
_xlfn.IFS(AND(AD17&gt;0,AD17&lt;($AP$3-$D17)),AD17*$AO$3,
AND(AD17&gt;0,AD17&gt;($AP$3-$D17)),($AP$3-$D17)*$AO$3),"")</f>
        <v>1.25</v>
      </c>
      <c r="AQ17" s="97" t="str" cm="1">
        <f t="array" ref="AQ17">IFERROR(
_xlfn.IFS(AND(AE17&gt;0,AE17&lt;($AP$3-$D17)),AE17*$AO$3,
AND(AE17&gt;0,AE17&gt;($AP$3-$D17)),($AP$3-$D17)*$AO$3),"")</f>
        <v/>
      </c>
      <c r="AR17" s="97" t="str" cm="1">
        <f t="array" ref="AR17">IFERROR(
_xlfn.IFS(AND(AF17&gt;0,AF17&lt;($AP$3-$D17)),AF17*$AO$3,
AND(AF17&gt;0,AF17&gt;($AP$3-$D17)),($AP$3-$D17)*$AO$3),"")</f>
        <v/>
      </c>
      <c r="AS17" s="97" t="str" cm="1">
        <f t="array" ref="AS17">IFERROR(
_xlfn.IFS(AND(AG17&gt;0,AG17&lt;($AP$3-$D17)),AG17*$AO$3,
AND(AG17&gt;0,AG17&gt;($AP$3-$D17)),($AP$3-$D17)*$AO$3),"")</f>
        <v/>
      </c>
      <c r="AT17" s="97" t="str" cm="1">
        <f t="array" ref="AT17">IFERROR(
_xlfn.IFS(AND(AH17&gt;0,AH17&lt;($AP$3-$D17)),AH17*$AO$3,
AND(AH17&gt;0,AH17&gt;($AP$3-$D17)),($AP$3-$D17)*$AO$3),"")</f>
        <v/>
      </c>
      <c r="AU17" s="97" t="str" cm="1">
        <f t="array" ref="AU17">IFERROR(
_xlfn.IFS(AND(AI17&gt;0,AI17&lt;($AP$3-$D17)),AI17*$AO$3,
AND(AI17&gt;0,AI17&gt;($AP$3-$D17)),($AP$3-$D17)*$AO$3),"")</f>
        <v/>
      </c>
      <c r="AV17" s="97" t="str" cm="1">
        <f t="array" ref="AV17">IFERROR(
_xlfn.IFS(AND(AJ17&gt;0,AJ17&lt;($AP$3-$D17)),AJ17*$AO$3,
AND(AJ17&gt;0,AJ17&gt;($AP$3-$D17)),($AP$3-$D17)*$AO$3),"")</f>
        <v/>
      </c>
      <c r="AW17" s="97" t="str" cm="1">
        <f t="array" ref="AW17">IFERROR(
_xlfn.IFS(AND(AK17&gt;0,AK17&lt;($AP$3-$D17)),AK17*$AO$3,
AND(AK17&gt;0,AK17&gt;($AP$3-$D17)),($AP$3-$D17)*$AO$3),"")</f>
        <v/>
      </c>
      <c r="AX17" s="97" t="str" cm="1">
        <f t="array" ref="AX17">IFERROR(
_xlfn.IFS(AND(AL17&gt;0,AL17&lt;($AP$3-$D17)),AL17*$AO$3,
AND(AL17&gt;0,AL17&gt;($AP$3-$D17)),($AP$3-$D17)*$AO$3),"")</f>
        <v/>
      </c>
      <c r="AY17" s="97" t="str" cm="1">
        <f t="array" ref="AY17">IFERROR(
_xlfn.IFS(AND(AM17&gt;0,AM17&lt;($AP$3-$D17)),AM17*$AO$3,
AND(AM17&gt;0,AM17&gt;($AP$3-$D17)),($AP$3-$D17)*$AO$3),"")</f>
        <v/>
      </c>
      <c r="AZ17" s="97">
        <f t="shared" si="26"/>
        <v>1.25</v>
      </c>
      <c r="BA17" s="93"/>
      <c r="BB17" s="92"/>
      <c r="BC17" s="97" t="str">
        <f t="shared" si="27"/>
        <v/>
      </c>
      <c r="BD17" s="97" t="str">
        <f t="shared" si="28"/>
        <v/>
      </c>
      <c r="BE17" s="97" t="str">
        <f t="shared" si="29"/>
        <v/>
      </c>
      <c r="BF17" s="97" t="str">
        <f t="shared" si="30"/>
        <v/>
      </c>
      <c r="BG17" s="97" t="str">
        <f t="shared" si="31"/>
        <v/>
      </c>
      <c r="BH17" s="97" t="str">
        <f t="shared" si="32"/>
        <v/>
      </c>
      <c r="BI17" s="97" t="str">
        <f t="shared" si="33"/>
        <v/>
      </c>
      <c r="BJ17" s="97" t="str">
        <f t="shared" si="34"/>
        <v/>
      </c>
      <c r="BK17" s="97" t="str">
        <f t="shared" si="35"/>
        <v/>
      </c>
      <c r="BL17" s="97" t="str">
        <f t="shared" si="36"/>
        <v/>
      </c>
      <c r="BM17" s="97" t="str">
        <f t="shared" si="37"/>
        <v/>
      </c>
      <c r="BN17" s="97">
        <f t="shared" si="38"/>
        <v>0</v>
      </c>
      <c r="BP17" s="92">
        <f t="shared" si="40"/>
        <v>1.25</v>
      </c>
      <c r="BR17" s="92">
        <f t="shared" si="39"/>
        <v>1.25</v>
      </c>
    </row>
    <row r="18" spans="2:70" x14ac:dyDescent="0.15">
      <c r="B18" s="95" t="str">
        <f>'MODU 2025'!B21</f>
        <v>EL BOUKABOUTI Mamouch</v>
      </c>
      <c r="C18" s="95" t="str">
        <f>'MODU 2025'!C21</f>
        <v>Production</v>
      </c>
      <c r="D18" s="95">
        <f>'MODU 2025'!D21</f>
        <v>37</v>
      </c>
      <c r="E18" s="95">
        <f>'MODU 2025'!G21</f>
        <v>41</v>
      </c>
      <c r="F18" s="95">
        <f>'MODU 2025'!H21</f>
        <v>28</v>
      </c>
      <c r="G18" s="95">
        <f>'MODU 2025'!I21</f>
        <v>41</v>
      </c>
      <c r="H18" s="95">
        <f>'MODU 2025'!J21</f>
        <v>33</v>
      </c>
      <c r="I18" s="95">
        <f>'MODU 2025'!K21</f>
        <v>41</v>
      </c>
      <c r="J18" s="95">
        <f>'MODU 2025'!L21</f>
        <v>33</v>
      </c>
      <c r="K18" s="95">
        <f>'MODU 2025'!M21</f>
        <v>41</v>
      </c>
      <c r="L18" s="95">
        <f>'MODU 2025'!N21</f>
        <v>33</v>
      </c>
      <c r="M18" s="95">
        <f>'MODU 2025'!O21</f>
        <v>41</v>
      </c>
      <c r="N18" s="95">
        <f>'MODU 2025'!P21</f>
        <v>33</v>
      </c>
      <c r="O18" s="95">
        <f>'MODU 2025'!Q21</f>
        <v>41</v>
      </c>
      <c r="P18" s="97"/>
      <c r="Q18" s="97">
        <f>IF(MOD(COLUMN(),2)=0,INDEX(paramètres!$C$4:$C$6,MATCH($C18,paramètres!$B$4:$B$6,0)),INDEX(paramètres!$D$4:$D$6,MATCH($C18,paramètres!$B$4:$B$6,0)))</f>
        <v>41</v>
      </c>
      <c r="R18" s="97">
        <f>IF(MOD(COLUMN(),2)=0,INDEX(paramètres!$C$4:$C$6,MATCH($C18,paramètres!$B$4:$B$6,0)),INDEX(paramètres!$D$4:$D$6,MATCH($C18,paramètres!$B$4:$B$6,0)))</f>
        <v>33</v>
      </c>
      <c r="S18" s="97">
        <f>IF(MOD(COLUMN(),2)=0,INDEX(paramètres!$C$4:$C$6,MATCH($C18,paramètres!$B$4:$B$6,0)),INDEX(paramètres!$D$4:$D$6,MATCH($C18,paramètres!$B$4:$B$6,0)))</f>
        <v>41</v>
      </c>
      <c r="T18" s="97">
        <f>IF(MOD(COLUMN(),2)=0,INDEX(paramètres!$C$4:$C$6,MATCH($C18,paramètres!$B$4:$B$6,0)),INDEX(paramètres!$D$4:$D$6,MATCH($C18,paramètres!$B$4:$B$6,0)))</f>
        <v>33</v>
      </c>
      <c r="U18" s="97">
        <f>IF(MOD(COLUMN(),2)=0,INDEX(paramètres!$C$4:$C$6,MATCH($C18,paramètres!$B$4:$B$6,0)),INDEX(paramètres!$D$4:$D$6,MATCH($C18,paramètres!$B$4:$B$6,0)))</f>
        <v>41</v>
      </c>
      <c r="V18" s="97">
        <f>IF(MOD(COLUMN(),2)=0,INDEX(paramètres!$C$4:$C$6,MATCH($C18,paramètres!$B$4:$B$6,0)),INDEX(paramètres!$D$4:$D$6,MATCH($C18,paramètres!$B$4:$B$6,0)))</f>
        <v>33</v>
      </c>
      <c r="W18" s="97">
        <f>IF(MOD(COLUMN(),2)=0,INDEX(paramètres!$C$4:$C$6,MATCH($C18,paramètres!$B$4:$B$6,0)),INDEX(paramètres!$D$4:$D$6,MATCH($C18,paramètres!$B$4:$B$6,0)))</f>
        <v>41</v>
      </c>
      <c r="X18" s="97">
        <f>IF(MOD(COLUMN(),2)=0,INDEX(paramètres!$C$4:$C$6,MATCH($C18,paramètres!$B$4:$B$6,0)),INDEX(paramètres!$D$4:$D$6,MATCH($C18,paramètres!$B$4:$B$6,0)))</f>
        <v>33</v>
      </c>
      <c r="Y18" s="97">
        <f>IF(MOD(COLUMN(),2)=0,INDEX(paramètres!$C$4:$C$6,MATCH($C18,paramètres!$B$4:$B$6,0)),INDEX(paramètres!$D$4:$D$6,MATCH($C18,paramètres!$B$4:$B$6,0)))</f>
        <v>41</v>
      </c>
      <c r="Z18" s="97">
        <f>IF(MOD(COLUMN(),2)=0,INDEX(paramètres!$C$4:$C$6,MATCH($C18,paramètres!$B$4:$B$6,0)),INDEX(paramètres!$D$4:$D$6,MATCH($C18,paramètres!$B$4:$B$6,0)))</f>
        <v>33</v>
      </c>
      <c r="AA18" s="97">
        <f>IF(MOD(COLUMN(),2)=0,INDEX(paramètres!$C$4:$C$6,MATCH($C18,paramètres!$B$4:$B$6,0)),INDEX(paramètres!$D$4:$D$6,MATCH($C18,paramètres!$B$4:$B$6,0)))</f>
        <v>41</v>
      </c>
      <c r="AB18" s="98"/>
      <c r="AC18" s="97">
        <f t="shared" si="15"/>
        <v>0</v>
      </c>
      <c r="AD18" s="97">
        <f t="shared" si="16"/>
        <v>-5</v>
      </c>
      <c r="AE18" s="97">
        <f t="shared" si="17"/>
        <v>0</v>
      </c>
      <c r="AF18" s="97">
        <f t="shared" si="18"/>
        <v>0</v>
      </c>
      <c r="AG18" s="97">
        <f t="shared" si="19"/>
        <v>0</v>
      </c>
      <c r="AH18" s="97">
        <f t="shared" si="20"/>
        <v>0</v>
      </c>
      <c r="AI18" s="97">
        <f t="shared" si="21"/>
        <v>0</v>
      </c>
      <c r="AJ18" s="97">
        <f t="shared" si="22"/>
        <v>0</v>
      </c>
      <c r="AK18" s="97">
        <f t="shared" si="23"/>
        <v>0</v>
      </c>
      <c r="AL18" s="97">
        <f t="shared" si="24"/>
        <v>0</v>
      </c>
      <c r="AM18" s="97">
        <f t="shared" si="25"/>
        <v>0</v>
      </c>
      <c r="AN18" s="36"/>
      <c r="AO18" s="97" t="str" cm="1">
        <f t="array" ref="AO18">IFERROR(
_xlfn.IFS(AND(AC18&gt;0,AC18&lt;($AP$3-$D18)),AC18*$AO$3,
AND(AC18&gt;0,AC18&gt;($AP$3-$D18)),($AP$3-$D18)*$AO$3),"")</f>
        <v/>
      </c>
      <c r="AP18" s="97" t="str" cm="1">
        <f t="array" ref="AP18">IFERROR(
_xlfn.IFS(AND(AD18&gt;0,AD18&lt;($AP$3-$D18)),AD18*$AO$3,
AND(AD18&gt;0,AD18&gt;($AP$3-$D18)),($AP$3-$D18)*$AO$3),"")</f>
        <v/>
      </c>
      <c r="AQ18" s="97" t="str" cm="1">
        <f t="array" ref="AQ18">IFERROR(
_xlfn.IFS(AND(AE18&gt;0,AE18&lt;($AP$3-$D18)),AE18*$AO$3,
AND(AE18&gt;0,AE18&gt;($AP$3-$D18)),($AP$3-$D18)*$AO$3),"")</f>
        <v/>
      </c>
      <c r="AR18" s="97" t="str" cm="1">
        <f t="array" ref="AR18">IFERROR(
_xlfn.IFS(AND(AF18&gt;0,AF18&lt;($AP$3-$D18)),AF18*$AO$3,
AND(AF18&gt;0,AF18&gt;($AP$3-$D18)),($AP$3-$D18)*$AO$3),"")</f>
        <v/>
      </c>
      <c r="AS18" s="97" t="str" cm="1">
        <f t="array" ref="AS18">IFERROR(
_xlfn.IFS(AND(AG18&gt;0,AG18&lt;($AP$3-$D18)),AG18*$AO$3,
AND(AG18&gt;0,AG18&gt;($AP$3-$D18)),($AP$3-$D18)*$AO$3),"")</f>
        <v/>
      </c>
      <c r="AT18" s="97" t="str" cm="1">
        <f t="array" ref="AT18">IFERROR(
_xlfn.IFS(AND(AH18&gt;0,AH18&lt;($AP$3-$D18)),AH18*$AO$3,
AND(AH18&gt;0,AH18&gt;($AP$3-$D18)),($AP$3-$D18)*$AO$3),"")</f>
        <v/>
      </c>
      <c r="AU18" s="97" t="str" cm="1">
        <f t="array" ref="AU18">IFERROR(
_xlfn.IFS(AND(AI18&gt;0,AI18&lt;($AP$3-$D18)),AI18*$AO$3,
AND(AI18&gt;0,AI18&gt;($AP$3-$D18)),($AP$3-$D18)*$AO$3),"")</f>
        <v/>
      </c>
      <c r="AV18" s="97" t="str" cm="1">
        <f t="array" ref="AV18">IFERROR(
_xlfn.IFS(AND(AJ18&gt;0,AJ18&lt;($AP$3-$D18)),AJ18*$AO$3,
AND(AJ18&gt;0,AJ18&gt;($AP$3-$D18)),($AP$3-$D18)*$AO$3),"")</f>
        <v/>
      </c>
      <c r="AW18" s="97" t="str" cm="1">
        <f t="array" ref="AW18">IFERROR(
_xlfn.IFS(AND(AK18&gt;0,AK18&lt;($AP$3-$D18)),AK18*$AO$3,
AND(AK18&gt;0,AK18&gt;($AP$3-$D18)),($AP$3-$D18)*$AO$3),"")</f>
        <v/>
      </c>
      <c r="AX18" s="97" t="str" cm="1">
        <f t="array" ref="AX18">IFERROR(
_xlfn.IFS(AND(AL18&gt;0,AL18&lt;($AP$3-$D18)),AL18*$AO$3,
AND(AL18&gt;0,AL18&gt;($AP$3-$D18)),($AP$3-$D18)*$AO$3),"")</f>
        <v/>
      </c>
      <c r="AY18" s="97" t="str" cm="1">
        <f t="array" ref="AY18">IFERROR(
_xlfn.IFS(AND(AM18&gt;0,AM18&lt;($AP$3-$D18)),AM18*$AO$3,
AND(AM18&gt;0,AM18&gt;($AP$3-$D18)),($AP$3-$D18)*$AO$3),"")</f>
        <v/>
      </c>
      <c r="AZ18" s="97">
        <f t="shared" si="26"/>
        <v>0</v>
      </c>
      <c r="BA18" s="93"/>
      <c r="BB18" s="92"/>
      <c r="BC18" s="97" t="str">
        <f t="shared" si="27"/>
        <v/>
      </c>
      <c r="BD18" s="97" t="str">
        <f t="shared" si="28"/>
        <v/>
      </c>
      <c r="BE18" s="97" t="str">
        <f t="shared" si="29"/>
        <v/>
      </c>
      <c r="BF18" s="97" t="str">
        <f t="shared" si="30"/>
        <v/>
      </c>
      <c r="BG18" s="97" t="str">
        <f t="shared" si="31"/>
        <v/>
      </c>
      <c r="BH18" s="97" t="str">
        <f t="shared" si="32"/>
        <v/>
      </c>
      <c r="BI18" s="97" t="str">
        <f t="shared" si="33"/>
        <v/>
      </c>
      <c r="BJ18" s="97" t="str">
        <f t="shared" si="34"/>
        <v/>
      </c>
      <c r="BK18" s="97" t="str">
        <f t="shared" si="35"/>
        <v/>
      </c>
      <c r="BL18" s="97" t="str">
        <f t="shared" si="36"/>
        <v/>
      </c>
      <c r="BM18" s="97" t="str">
        <f t="shared" si="37"/>
        <v/>
      </c>
      <c r="BN18" s="97">
        <f t="shared" si="38"/>
        <v>0</v>
      </c>
      <c r="BP18" s="92">
        <f t="shared" si="40"/>
        <v>0</v>
      </c>
      <c r="BR18" s="92">
        <f t="shared" si="39"/>
        <v>-5</v>
      </c>
    </row>
    <row r="19" spans="2:70" x14ac:dyDescent="0.15">
      <c r="B19" s="95" t="str">
        <f>'MODU 2025'!B22</f>
        <v>EVENTOVA Natalya</v>
      </c>
      <c r="C19" s="95" t="str">
        <f>'MODU 2025'!C22</f>
        <v>Production</v>
      </c>
      <c r="D19" s="95">
        <f>'MODU 2025'!D22</f>
        <v>37</v>
      </c>
      <c r="E19" s="95">
        <f>'MODU 2025'!G22</f>
        <v>41</v>
      </c>
      <c r="F19" s="95">
        <f>'MODU 2025'!H22</f>
        <v>33</v>
      </c>
      <c r="G19" s="95">
        <f>'MODU 2025'!I22</f>
        <v>41</v>
      </c>
      <c r="H19" s="95">
        <f>'MODU 2025'!J22</f>
        <v>33</v>
      </c>
      <c r="I19" s="95">
        <f>'MODU 2025'!K22</f>
        <v>41</v>
      </c>
      <c r="J19" s="95">
        <f>'MODU 2025'!L22</f>
        <v>33</v>
      </c>
      <c r="K19" s="95">
        <f>'MODU 2025'!M22</f>
        <v>41</v>
      </c>
      <c r="L19" s="95">
        <f>'MODU 2025'!N22</f>
        <v>33</v>
      </c>
      <c r="M19" s="95">
        <f>'MODU 2025'!O22</f>
        <v>41</v>
      </c>
      <c r="N19" s="95">
        <f>'MODU 2025'!P22</f>
        <v>33</v>
      </c>
      <c r="O19" s="95">
        <f>'MODU 2025'!Q22</f>
        <v>41</v>
      </c>
      <c r="P19" s="97"/>
      <c r="Q19" s="97">
        <f>IF(MOD(COLUMN(),2)=0,INDEX(paramètres!$C$4:$C$6,MATCH($C19,paramètres!$B$4:$B$6,0)),INDEX(paramètres!$D$4:$D$6,MATCH($C19,paramètres!$B$4:$B$6,0)))</f>
        <v>41</v>
      </c>
      <c r="R19" s="97">
        <f>IF(MOD(COLUMN(),2)=0,INDEX(paramètres!$C$4:$C$6,MATCH($C19,paramètres!$B$4:$B$6,0)),INDEX(paramètres!$D$4:$D$6,MATCH($C19,paramètres!$B$4:$B$6,0)))</f>
        <v>33</v>
      </c>
      <c r="S19" s="97">
        <f>IF(MOD(COLUMN(),2)=0,INDEX(paramètres!$C$4:$C$6,MATCH($C19,paramètres!$B$4:$B$6,0)),INDEX(paramètres!$D$4:$D$6,MATCH($C19,paramètres!$B$4:$B$6,0)))</f>
        <v>41</v>
      </c>
      <c r="T19" s="97">
        <f>IF(MOD(COLUMN(),2)=0,INDEX(paramètres!$C$4:$C$6,MATCH($C19,paramètres!$B$4:$B$6,0)),INDEX(paramètres!$D$4:$D$6,MATCH($C19,paramètres!$B$4:$B$6,0)))</f>
        <v>33</v>
      </c>
      <c r="U19" s="97">
        <f>IF(MOD(COLUMN(),2)=0,INDEX(paramètres!$C$4:$C$6,MATCH($C19,paramètres!$B$4:$B$6,0)),INDEX(paramètres!$D$4:$D$6,MATCH($C19,paramètres!$B$4:$B$6,0)))</f>
        <v>41</v>
      </c>
      <c r="V19" s="97">
        <f>IF(MOD(COLUMN(),2)=0,INDEX(paramètres!$C$4:$C$6,MATCH($C19,paramètres!$B$4:$B$6,0)),INDEX(paramètres!$D$4:$D$6,MATCH($C19,paramètres!$B$4:$B$6,0)))</f>
        <v>33</v>
      </c>
      <c r="W19" s="97">
        <f>IF(MOD(COLUMN(),2)=0,INDEX(paramètres!$C$4:$C$6,MATCH($C19,paramètres!$B$4:$B$6,0)),INDEX(paramètres!$D$4:$D$6,MATCH($C19,paramètres!$B$4:$B$6,0)))</f>
        <v>41</v>
      </c>
      <c r="X19" s="97">
        <f>IF(MOD(COLUMN(),2)=0,INDEX(paramètres!$C$4:$C$6,MATCH($C19,paramètres!$B$4:$B$6,0)),INDEX(paramètres!$D$4:$D$6,MATCH($C19,paramètres!$B$4:$B$6,0)))</f>
        <v>33</v>
      </c>
      <c r="Y19" s="97">
        <f>IF(MOD(COLUMN(),2)=0,INDEX(paramètres!$C$4:$C$6,MATCH($C19,paramètres!$B$4:$B$6,0)),INDEX(paramètres!$D$4:$D$6,MATCH($C19,paramètres!$B$4:$B$6,0)))</f>
        <v>41</v>
      </c>
      <c r="Z19" s="97">
        <f>IF(MOD(COLUMN(),2)=0,INDEX(paramètres!$C$4:$C$6,MATCH($C19,paramètres!$B$4:$B$6,0)),INDEX(paramètres!$D$4:$D$6,MATCH($C19,paramètres!$B$4:$B$6,0)))</f>
        <v>33</v>
      </c>
      <c r="AA19" s="97">
        <f>IF(MOD(COLUMN(),2)=0,INDEX(paramètres!$C$4:$C$6,MATCH($C19,paramètres!$B$4:$B$6,0)),INDEX(paramètres!$D$4:$D$6,MATCH($C19,paramètres!$B$4:$B$6,0)))</f>
        <v>41</v>
      </c>
      <c r="AB19" s="98"/>
      <c r="AC19" s="97">
        <f t="shared" si="15"/>
        <v>0</v>
      </c>
      <c r="AD19" s="97">
        <f t="shared" si="16"/>
        <v>0</v>
      </c>
      <c r="AE19" s="97">
        <f t="shared" si="17"/>
        <v>0</v>
      </c>
      <c r="AF19" s="97">
        <f t="shared" si="18"/>
        <v>0</v>
      </c>
      <c r="AG19" s="97">
        <f t="shared" si="19"/>
        <v>0</v>
      </c>
      <c r="AH19" s="97">
        <f t="shared" si="20"/>
        <v>0</v>
      </c>
      <c r="AI19" s="97">
        <f t="shared" si="21"/>
        <v>0</v>
      </c>
      <c r="AJ19" s="97">
        <f t="shared" si="22"/>
        <v>0</v>
      </c>
      <c r="AK19" s="97">
        <f t="shared" si="23"/>
        <v>0</v>
      </c>
      <c r="AL19" s="97">
        <f t="shared" si="24"/>
        <v>0</v>
      </c>
      <c r="AM19" s="97">
        <f t="shared" si="25"/>
        <v>0</v>
      </c>
      <c r="AN19" s="36"/>
      <c r="AO19" s="97" t="str" cm="1">
        <f t="array" ref="AO19">IFERROR(
_xlfn.IFS(AND(AC19&gt;0,AC19&lt;($AP$3-$D19)),AC19*$AO$3,
AND(AC19&gt;0,AC19&gt;($AP$3-$D19)),($AP$3-$D19)*$AO$3),"")</f>
        <v/>
      </c>
      <c r="AP19" s="97" t="str" cm="1">
        <f t="array" ref="AP19">IFERROR(
_xlfn.IFS(AND(AD19&gt;0,AD19&lt;($AP$3-$D19)),AD19*$AO$3,
AND(AD19&gt;0,AD19&gt;($AP$3-$D19)),($AP$3-$D19)*$AO$3),"")</f>
        <v/>
      </c>
      <c r="AQ19" s="97" t="str" cm="1">
        <f t="array" ref="AQ19">IFERROR(
_xlfn.IFS(AND(AE19&gt;0,AE19&lt;($AP$3-$D19)),AE19*$AO$3,
AND(AE19&gt;0,AE19&gt;($AP$3-$D19)),($AP$3-$D19)*$AO$3),"")</f>
        <v/>
      </c>
      <c r="AR19" s="97" t="str" cm="1">
        <f t="array" ref="AR19">IFERROR(
_xlfn.IFS(AND(AF19&gt;0,AF19&lt;($AP$3-$D19)),AF19*$AO$3,
AND(AF19&gt;0,AF19&gt;($AP$3-$D19)),($AP$3-$D19)*$AO$3),"")</f>
        <v/>
      </c>
      <c r="AS19" s="97" t="str" cm="1">
        <f t="array" ref="AS19">IFERROR(
_xlfn.IFS(AND(AG19&gt;0,AG19&lt;($AP$3-$D19)),AG19*$AO$3,
AND(AG19&gt;0,AG19&gt;($AP$3-$D19)),($AP$3-$D19)*$AO$3),"")</f>
        <v/>
      </c>
      <c r="AT19" s="97" t="str" cm="1">
        <f t="array" ref="AT19">IFERROR(
_xlfn.IFS(AND(AH19&gt;0,AH19&lt;($AP$3-$D19)),AH19*$AO$3,
AND(AH19&gt;0,AH19&gt;($AP$3-$D19)),($AP$3-$D19)*$AO$3),"")</f>
        <v/>
      </c>
      <c r="AU19" s="97" t="str" cm="1">
        <f t="array" ref="AU19">IFERROR(
_xlfn.IFS(AND(AI19&gt;0,AI19&lt;($AP$3-$D19)),AI19*$AO$3,
AND(AI19&gt;0,AI19&gt;($AP$3-$D19)),($AP$3-$D19)*$AO$3),"")</f>
        <v/>
      </c>
      <c r="AV19" s="97" t="str" cm="1">
        <f t="array" ref="AV19">IFERROR(
_xlfn.IFS(AND(AJ19&gt;0,AJ19&lt;($AP$3-$D19)),AJ19*$AO$3,
AND(AJ19&gt;0,AJ19&gt;($AP$3-$D19)),($AP$3-$D19)*$AO$3),"")</f>
        <v/>
      </c>
      <c r="AW19" s="97" t="str" cm="1">
        <f t="array" ref="AW19">IFERROR(
_xlfn.IFS(AND(AK19&gt;0,AK19&lt;($AP$3-$D19)),AK19*$AO$3,
AND(AK19&gt;0,AK19&gt;($AP$3-$D19)),($AP$3-$D19)*$AO$3),"")</f>
        <v/>
      </c>
      <c r="AX19" s="97" t="str" cm="1">
        <f t="array" ref="AX19">IFERROR(
_xlfn.IFS(AND(AL19&gt;0,AL19&lt;($AP$3-$D19)),AL19*$AO$3,
AND(AL19&gt;0,AL19&gt;($AP$3-$D19)),($AP$3-$D19)*$AO$3),"")</f>
        <v/>
      </c>
      <c r="AY19" s="97" t="str" cm="1">
        <f t="array" ref="AY19">IFERROR(
_xlfn.IFS(AND(AM19&gt;0,AM19&lt;($AP$3-$D19)),AM19*$AO$3,
AND(AM19&gt;0,AM19&gt;($AP$3-$D19)),($AP$3-$D19)*$AO$3),"")</f>
        <v/>
      </c>
      <c r="AZ19" s="97">
        <f t="shared" si="26"/>
        <v>0</v>
      </c>
      <c r="BA19" s="93"/>
      <c r="BB19" s="92"/>
      <c r="BC19" s="97" t="str">
        <f t="shared" si="27"/>
        <v/>
      </c>
      <c r="BD19" s="97" t="str">
        <f t="shared" si="28"/>
        <v/>
      </c>
      <c r="BE19" s="97" t="str">
        <f t="shared" si="29"/>
        <v/>
      </c>
      <c r="BF19" s="97" t="str">
        <f t="shared" si="30"/>
        <v/>
      </c>
      <c r="BG19" s="97" t="str">
        <f t="shared" si="31"/>
        <v/>
      </c>
      <c r="BH19" s="97" t="str">
        <f t="shared" si="32"/>
        <v/>
      </c>
      <c r="BI19" s="97" t="str">
        <f t="shared" si="33"/>
        <v/>
      </c>
      <c r="BJ19" s="97" t="str">
        <f t="shared" si="34"/>
        <v/>
      </c>
      <c r="BK19" s="97" t="str">
        <f t="shared" si="35"/>
        <v/>
      </c>
      <c r="BL19" s="97" t="str">
        <f t="shared" si="36"/>
        <v/>
      </c>
      <c r="BM19" s="97" t="str">
        <f t="shared" si="37"/>
        <v/>
      </c>
      <c r="BN19" s="97">
        <f t="shared" si="38"/>
        <v>0</v>
      </c>
      <c r="BP19" s="92">
        <f t="shared" si="40"/>
        <v>0</v>
      </c>
      <c r="BR19" s="92">
        <f t="shared" si="39"/>
        <v>0</v>
      </c>
    </row>
    <row r="20" spans="2:70" x14ac:dyDescent="0.15">
      <c r="B20" s="95" t="str">
        <f>'MODU 2025'!B23</f>
        <v>FANGUIN Nadine</v>
      </c>
      <c r="C20" s="95" t="str">
        <f>'MODU 2025'!C23</f>
        <v>Production</v>
      </c>
      <c r="D20" s="95">
        <f>'MODU 2025'!D23</f>
        <v>37</v>
      </c>
      <c r="E20" s="95">
        <f>'MODU 2025'!G23</f>
        <v>41</v>
      </c>
      <c r="F20" s="95">
        <f>'MODU 2025'!H23</f>
        <v>33</v>
      </c>
      <c r="G20" s="95">
        <f>'MODU 2025'!I23</f>
        <v>41</v>
      </c>
      <c r="H20" s="95">
        <f>'MODU 2025'!J23</f>
        <v>33</v>
      </c>
      <c r="I20" s="95">
        <f>'MODU 2025'!K23</f>
        <v>32.75</v>
      </c>
      <c r="J20" s="95">
        <f>'MODU 2025'!L23</f>
        <v>33</v>
      </c>
      <c r="K20" s="95">
        <f>'MODU 2025'!M23</f>
        <v>41</v>
      </c>
      <c r="L20" s="95">
        <f>'MODU 2025'!N23</f>
        <v>33</v>
      </c>
      <c r="M20" s="95">
        <f>'MODU 2025'!O23</f>
        <v>41</v>
      </c>
      <c r="N20" s="95">
        <f>'MODU 2025'!P23</f>
        <v>33</v>
      </c>
      <c r="O20" s="95">
        <f>'MODU 2025'!Q23</f>
        <v>41</v>
      </c>
      <c r="P20" s="97"/>
      <c r="Q20" s="97">
        <f>IF(MOD(COLUMN(),2)=0,INDEX(paramètres!$C$4:$C$6,MATCH($C20,paramètres!$B$4:$B$6,0)),INDEX(paramètres!$D$4:$D$6,MATCH($C20,paramètres!$B$4:$B$6,0)))</f>
        <v>41</v>
      </c>
      <c r="R20" s="97">
        <f>IF(MOD(COLUMN(),2)=0,INDEX(paramètres!$C$4:$C$6,MATCH($C20,paramètres!$B$4:$B$6,0)),INDEX(paramètres!$D$4:$D$6,MATCH($C20,paramètres!$B$4:$B$6,0)))</f>
        <v>33</v>
      </c>
      <c r="S20" s="97">
        <f>IF(MOD(COLUMN(),2)=0,INDEX(paramètres!$C$4:$C$6,MATCH($C20,paramètres!$B$4:$B$6,0)),INDEX(paramètres!$D$4:$D$6,MATCH($C20,paramètres!$B$4:$B$6,0)))</f>
        <v>41</v>
      </c>
      <c r="T20" s="97">
        <f>IF(MOD(COLUMN(),2)=0,INDEX(paramètres!$C$4:$C$6,MATCH($C20,paramètres!$B$4:$B$6,0)),INDEX(paramètres!$D$4:$D$6,MATCH($C20,paramètres!$B$4:$B$6,0)))</f>
        <v>33</v>
      </c>
      <c r="U20" s="97">
        <f>IF(MOD(COLUMN(),2)=0,INDEX(paramètres!$C$4:$C$6,MATCH($C20,paramètres!$B$4:$B$6,0)),INDEX(paramètres!$D$4:$D$6,MATCH($C20,paramètres!$B$4:$B$6,0)))</f>
        <v>41</v>
      </c>
      <c r="V20" s="97">
        <f>IF(MOD(COLUMN(),2)=0,INDEX(paramètres!$C$4:$C$6,MATCH($C20,paramètres!$B$4:$B$6,0)),INDEX(paramètres!$D$4:$D$6,MATCH($C20,paramètres!$B$4:$B$6,0)))</f>
        <v>33</v>
      </c>
      <c r="W20" s="97">
        <f>IF(MOD(COLUMN(),2)=0,INDEX(paramètres!$C$4:$C$6,MATCH($C20,paramètres!$B$4:$B$6,0)),INDEX(paramètres!$D$4:$D$6,MATCH($C20,paramètres!$B$4:$B$6,0)))</f>
        <v>41</v>
      </c>
      <c r="X20" s="97">
        <f>IF(MOD(COLUMN(),2)=0,INDEX(paramètres!$C$4:$C$6,MATCH($C20,paramètres!$B$4:$B$6,0)),INDEX(paramètres!$D$4:$D$6,MATCH($C20,paramètres!$B$4:$B$6,0)))</f>
        <v>33</v>
      </c>
      <c r="Y20" s="97">
        <f>IF(MOD(COLUMN(),2)=0,INDEX(paramètres!$C$4:$C$6,MATCH($C20,paramètres!$B$4:$B$6,0)),INDEX(paramètres!$D$4:$D$6,MATCH($C20,paramètres!$B$4:$B$6,0)))</f>
        <v>41</v>
      </c>
      <c r="Z20" s="97">
        <f>IF(MOD(COLUMN(),2)=0,INDEX(paramètres!$C$4:$C$6,MATCH($C20,paramètres!$B$4:$B$6,0)),INDEX(paramètres!$D$4:$D$6,MATCH($C20,paramètres!$B$4:$B$6,0)))</f>
        <v>33</v>
      </c>
      <c r="AA20" s="97">
        <f>IF(MOD(COLUMN(),2)=0,INDEX(paramètres!$C$4:$C$6,MATCH($C20,paramètres!$B$4:$B$6,0)),INDEX(paramètres!$D$4:$D$6,MATCH($C20,paramètres!$B$4:$B$6,0)))</f>
        <v>41</v>
      </c>
      <c r="AB20" s="98"/>
      <c r="AC20" s="97">
        <f t="shared" si="15"/>
        <v>0</v>
      </c>
      <c r="AD20" s="97">
        <f t="shared" si="16"/>
        <v>0</v>
      </c>
      <c r="AE20" s="97">
        <f t="shared" si="17"/>
        <v>0</v>
      </c>
      <c r="AF20" s="97">
        <f t="shared" si="18"/>
        <v>-8.25</v>
      </c>
      <c r="AG20" s="97">
        <f t="shared" si="19"/>
        <v>0</v>
      </c>
      <c r="AH20" s="97">
        <f t="shared" si="20"/>
        <v>0</v>
      </c>
      <c r="AI20" s="97">
        <f t="shared" si="21"/>
        <v>0</v>
      </c>
      <c r="AJ20" s="97">
        <f t="shared" si="22"/>
        <v>0</v>
      </c>
      <c r="AK20" s="97">
        <f t="shared" si="23"/>
        <v>0</v>
      </c>
      <c r="AL20" s="97">
        <f t="shared" si="24"/>
        <v>0</v>
      </c>
      <c r="AM20" s="97">
        <f t="shared" si="25"/>
        <v>0</v>
      </c>
      <c r="AN20" s="36"/>
      <c r="AO20" s="97" t="str" cm="1">
        <f t="array" ref="AO20">IFERROR(
_xlfn.IFS(AND(AC20&gt;0,AC20&lt;($AP$3-$D20)),AC20*$AO$3,
AND(AC20&gt;0,AC20&gt;($AP$3-$D20)),($AP$3-$D20)*$AO$3),"")</f>
        <v/>
      </c>
      <c r="AP20" s="97" t="str" cm="1">
        <f t="array" ref="AP20">IFERROR(
_xlfn.IFS(AND(AD20&gt;0,AD20&lt;($AP$3-$D20)),AD20*$AO$3,
AND(AD20&gt;0,AD20&gt;($AP$3-$D20)),($AP$3-$D20)*$AO$3),"")</f>
        <v/>
      </c>
      <c r="AQ20" s="97" t="str" cm="1">
        <f t="array" ref="AQ20">IFERROR(
_xlfn.IFS(AND(AE20&gt;0,AE20&lt;($AP$3-$D20)),AE20*$AO$3,
AND(AE20&gt;0,AE20&gt;($AP$3-$D20)),($AP$3-$D20)*$AO$3),"")</f>
        <v/>
      </c>
      <c r="AR20" s="97" t="str" cm="1">
        <f t="array" ref="AR20">IFERROR(
_xlfn.IFS(AND(AF20&gt;0,AF20&lt;($AP$3-$D20)),AF20*$AO$3,
AND(AF20&gt;0,AF20&gt;($AP$3-$D20)),($AP$3-$D20)*$AO$3),"")</f>
        <v/>
      </c>
      <c r="AS20" s="97" t="str" cm="1">
        <f t="array" ref="AS20">IFERROR(
_xlfn.IFS(AND(AG20&gt;0,AG20&lt;($AP$3-$D20)),AG20*$AO$3,
AND(AG20&gt;0,AG20&gt;($AP$3-$D20)),($AP$3-$D20)*$AO$3),"")</f>
        <v/>
      </c>
      <c r="AT20" s="97" t="str" cm="1">
        <f t="array" ref="AT20">IFERROR(
_xlfn.IFS(AND(AH20&gt;0,AH20&lt;($AP$3-$D20)),AH20*$AO$3,
AND(AH20&gt;0,AH20&gt;($AP$3-$D20)),($AP$3-$D20)*$AO$3),"")</f>
        <v/>
      </c>
      <c r="AU20" s="97" t="str" cm="1">
        <f t="array" ref="AU20">IFERROR(
_xlfn.IFS(AND(AI20&gt;0,AI20&lt;($AP$3-$D20)),AI20*$AO$3,
AND(AI20&gt;0,AI20&gt;($AP$3-$D20)),($AP$3-$D20)*$AO$3),"")</f>
        <v/>
      </c>
      <c r="AV20" s="97" t="str" cm="1">
        <f t="array" ref="AV20">IFERROR(
_xlfn.IFS(AND(AJ20&gt;0,AJ20&lt;($AP$3-$D20)),AJ20*$AO$3,
AND(AJ20&gt;0,AJ20&gt;($AP$3-$D20)),($AP$3-$D20)*$AO$3),"")</f>
        <v/>
      </c>
      <c r="AW20" s="97" t="str" cm="1">
        <f t="array" ref="AW20">IFERROR(
_xlfn.IFS(AND(AK20&gt;0,AK20&lt;($AP$3-$D20)),AK20*$AO$3,
AND(AK20&gt;0,AK20&gt;($AP$3-$D20)),($AP$3-$D20)*$AO$3),"")</f>
        <v/>
      </c>
      <c r="AX20" s="97" t="str" cm="1">
        <f t="array" ref="AX20">IFERROR(
_xlfn.IFS(AND(AL20&gt;0,AL20&lt;($AP$3-$D20)),AL20*$AO$3,
AND(AL20&gt;0,AL20&gt;($AP$3-$D20)),($AP$3-$D20)*$AO$3),"")</f>
        <v/>
      </c>
      <c r="AY20" s="97" t="str" cm="1">
        <f t="array" ref="AY20">IFERROR(
_xlfn.IFS(AND(AM20&gt;0,AM20&lt;($AP$3-$D20)),AM20*$AO$3,
AND(AM20&gt;0,AM20&gt;($AP$3-$D20)),($AP$3-$D20)*$AO$3),"")</f>
        <v/>
      </c>
      <c r="AZ20" s="97">
        <f t="shared" si="26"/>
        <v>0</v>
      </c>
      <c r="BA20" s="93"/>
      <c r="BB20" s="92"/>
      <c r="BC20" s="97" t="str">
        <f t="shared" si="27"/>
        <v/>
      </c>
      <c r="BD20" s="97" t="str">
        <f t="shared" si="28"/>
        <v/>
      </c>
      <c r="BE20" s="97" t="str">
        <f t="shared" si="29"/>
        <v/>
      </c>
      <c r="BF20" s="97" t="str">
        <f t="shared" si="30"/>
        <v/>
      </c>
      <c r="BG20" s="97" t="str">
        <f t="shared" si="31"/>
        <v/>
      </c>
      <c r="BH20" s="97" t="str">
        <f t="shared" si="32"/>
        <v/>
      </c>
      <c r="BI20" s="97" t="str">
        <f t="shared" si="33"/>
        <v/>
      </c>
      <c r="BJ20" s="97" t="str">
        <f t="shared" si="34"/>
        <v/>
      </c>
      <c r="BK20" s="97" t="str">
        <f t="shared" si="35"/>
        <v/>
      </c>
      <c r="BL20" s="97" t="str">
        <f t="shared" si="36"/>
        <v/>
      </c>
      <c r="BM20" s="97" t="str">
        <f t="shared" si="37"/>
        <v/>
      </c>
      <c r="BN20" s="97">
        <f t="shared" si="38"/>
        <v>0</v>
      </c>
      <c r="BP20" s="92">
        <f t="shared" si="40"/>
        <v>0</v>
      </c>
      <c r="BR20" s="92">
        <f t="shared" si="39"/>
        <v>-8.25</v>
      </c>
    </row>
    <row r="21" spans="2:70" x14ac:dyDescent="0.15">
      <c r="B21" s="95" t="str">
        <f>'MODU 2025'!B24</f>
        <v>FENILLE Victoria</v>
      </c>
      <c r="C21" s="95" t="str">
        <f>'MODU 2025'!C24</f>
        <v>Production</v>
      </c>
      <c r="D21" s="95">
        <f>'MODU 2025'!D24</f>
        <v>37</v>
      </c>
      <c r="E21" s="95">
        <f>'MODU 2025'!G24</f>
        <v>41</v>
      </c>
      <c r="F21" s="95">
        <f>'MODU 2025'!H24</f>
        <v>32.75</v>
      </c>
      <c r="G21" s="95">
        <f>'MODU 2025'!I24</f>
        <v>42</v>
      </c>
      <c r="H21" s="95">
        <f>'MODU 2025'!J24</f>
        <v>33</v>
      </c>
      <c r="I21" s="95">
        <f>'MODU 2025'!K24</f>
        <v>41</v>
      </c>
      <c r="J21" s="95">
        <f>'MODU 2025'!L24</f>
        <v>33</v>
      </c>
      <c r="K21" s="95">
        <f>'MODU 2025'!M24</f>
        <v>41</v>
      </c>
      <c r="L21" s="95">
        <f>'MODU 2025'!N24</f>
        <v>33</v>
      </c>
      <c r="M21" s="95">
        <f>'MODU 2025'!O24</f>
        <v>41</v>
      </c>
      <c r="N21" s="95">
        <f>'MODU 2025'!P24</f>
        <v>33</v>
      </c>
      <c r="O21" s="95">
        <f>'MODU 2025'!Q24</f>
        <v>41</v>
      </c>
      <c r="P21" s="97"/>
      <c r="Q21" s="97">
        <f>IF(MOD(COLUMN(),2)=0,INDEX(paramètres!$C$4:$C$6,MATCH($C21,paramètres!$B$4:$B$6,0)),INDEX(paramètres!$D$4:$D$6,MATCH($C21,paramètres!$B$4:$B$6,0)))</f>
        <v>41</v>
      </c>
      <c r="R21" s="97">
        <f>IF(MOD(COLUMN(),2)=0,INDEX(paramètres!$C$4:$C$6,MATCH($C21,paramètres!$B$4:$B$6,0)),INDEX(paramètres!$D$4:$D$6,MATCH($C21,paramètres!$B$4:$B$6,0)))</f>
        <v>33</v>
      </c>
      <c r="S21" s="97">
        <f>IF(MOD(COLUMN(),2)=0,INDEX(paramètres!$C$4:$C$6,MATCH($C21,paramètres!$B$4:$B$6,0)),INDEX(paramètres!$D$4:$D$6,MATCH($C21,paramètres!$B$4:$B$6,0)))</f>
        <v>41</v>
      </c>
      <c r="T21" s="97">
        <f>IF(MOD(COLUMN(),2)=0,INDEX(paramètres!$C$4:$C$6,MATCH($C21,paramètres!$B$4:$B$6,0)),INDEX(paramètres!$D$4:$D$6,MATCH($C21,paramètres!$B$4:$B$6,0)))</f>
        <v>33</v>
      </c>
      <c r="U21" s="97">
        <f>IF(MOD(COLUMN(),2)=0,INDEX(paramètres!$C$4:$C$6,MATCH($C21,paramètres!$B$4:$B$6,0)),INDEX(paramètres!$D$4:$D$6,MATCH($C21,paramètres!$B$4:$B$6,0)))</f>
        <v>41</v>
      </c>
      <c r="V21" s="97">
        <f>IF(MOD(COLUMN(),2)=0,INDEX(paramètres!$C$4:$C$6,MATCH($C21,paramètres!$B$4:$B$6,0)),INDEX(paramètres!$D$4:$D$6,MATCH($C21,paramètres!$B$4:$B$6,0)))</f>
        <v>33</v>
      </c>
      <c r="W21" s="97">
        <f>IF(MOD(COLUMN(),2)=0,INDEX(paramètres!$C$4:$C$6,MATCH($C21,paramètres!$B$4:$B$6,0)),INDEX(paramètres!$D$4:$D$6,MATCH($C21,paramètres!$B$4:$B$6,0)))</f>
        <v>41</v>
      </c>
      <c r="X21" s="97">
        <f>IF(MOD(COLUMN(),2)=0,INDEX(paramètres!$C$4:$C$6,MATCH($C21,paramètres!$B$4:$B$6,0)),INDEX(paramètres!$D$4:$D$6,MATCH($C21,paramètres!$B$4:$B$6,0)))</f>
        <v>33</v>
      </c>
      <c r="Y21" s="97">
        <f>IF(MOD(COLUMN(),2)=0,INDEX(paramètres!$C$4:$C$6,MATCH($C21,paramètres!$B$4:$B$6,0)),INDEX(paramètres!$D$4:$D$6,MATCH($C21,paramètres!$B$4:$B$6,0)))</f>
        <v>41</v>
      </c>
      <c r="Z21" s="97">
        <f>IF(MOD(COLUMN(),2)=0,INDEX(paramètres!$C$4:$C$6,MATCH($C21,paramètres!$B$4:$B$6,0)),INDEX(paramètres!$D$4:$D$6,MATCH($C21,paramètres!$B$4:$B$6,0)))</f>
        <v>33</v>
      </c>
      <c r="AA21" s="97">
        <f>IF(MOD(COLUMN(),2)=0,INDEX(paramètres!$C$4:$C$6,MATCH($C21,paramètres!$B$4:$B$6,0)),INDEX(paramètres!$D$4:$D$6,MATCH($C21,paramètres!$B$4:$B$6,0)))</f>
        <v>41</v>
      </c>
      <c r="AB21" s="98"/>
      <c r="AC21" s="97">
        <f t="shared" si="15"/>
        <v>0</v>
      </c>
      <c r="AD21" s="97">
        <f t="shared" si="16"/>
        <v>0.75</v>
      </c>
      <c r="AE21" s="97">
        <f t="shared" si="17"/>
        <v>0</v>
      </c>
      <c r="AF21" s="97">
        <f t="shared" si="18"/>
        <v>0</v>
      </c>
      <c r="AG21" s="97">
        <f t="shared" si="19"/>
        <v>0</v>
      </c>
      <c r="AH21" s="97">
        <f t="shared" si="20"/>
        <v>0</v>
      </c>
      <c r="AI21" s="97">
        <f t="shared" si="21"/>
        <v>0</v>
      </c>
      <c r="AJ21" s="97">
        <f t="shared" si="22"/>
        <v>0</v>
      </c>
      <c r="AK21" s="97">
        <f t="shared" si="23"/>
        <v>0</v>
      </c>
      <c r="AL21" s="97">
        <f t="shared" si="24"/>
        <v>0</v>
      </c>
      <c r="AM21" s="97">
        <f t="shared" si="25"/>
        <v>0</v>
      </c>
      <c r="AN21" s="36"/>
      <c r="AO21" s="97" t="str" cm="1">
        <f t="array" ref="AO21">IFERROR(
_xlfn.IFS(AND(AC21&gt;0,AC21&lt;($AP$3-$D21)),AC21*$AO$3,
AND(AC21&gt;0,AC21&gt;($AP$3-$D21)),($AP$3-$D21)*$AO$3),"")</f>
        <v/>
      </c>
      <c r="AP21" s="97" cm="1">
        <f t="array" ref="AP21">IFERROR(
_xlfn.IFS(AND(AD21&gt;0,AD21&lt;($AP$3-$D21)),AD21*$AO$3,
AND(AD21&gt;0,AD21&gt;($AP$3-$D21)),($AP$3-$D21)*$AO$3),"")</f>
        <v>0.9375</v>
      </c>
      <c r="AQ21" s="97" t="str" cm="1">
        <f t="array" ref="AQ21">IFERROR(
_xlfn.IFS(AND(AE21&gt;0,AE21&lt;($AP$3-$D21)),AE21*$AO$3,
AND(AE21&gt;0,AE21&gt;($AP$3-$D21)),($AP$3-$D21)*$AO$3),"")</f>
        <v/>
      </c>
      <c r="AR21" s="97" t="str" cm="1">
        <f t="array" ref="AR21">IFERROR(
_xlfn.IFS(AND(AF21&gt;0,AF21&lt;($AP$3-$D21)),AF21*$AO$3,
AND(AF21&gt;0,AF21&gt;($AP$3-$D21)),($AP$3-$D21)*$AO$3),"")</f>
        <v/>
      </c>
      <c r="AS21" s="97" t="str" cm="1">
        <f t="array" ref="AS21">IFERROR(
_xlfn.IFS(AND(AG21&gt;0,AG21&lt;($AP$3-$D21)),AG21*$AO$3,
AND(AG21&gt;0,AG21&gt;($AP$3-$D21)),($AP$3-$D21)*$AO$3),"")</f>
        <v/>
      </c>
      <c r="AT21" s="97" t="str" cm="1">
        <f t="array" ref="AT21">IFERROR(
_xlfn.IFS(AND(AH21&gt;0,AH21&lt;($AP$3-$D21)),AH21*$AO$3,
AND(AH21&gt;0,AH21&gt;($AP$3-$D21)),($AP$3-$D21)*$AO$3),"")</f>
        <v/>
      </c>
      <c r="AU21" s="97" t="str" cm="1">
        <f t="array" ref="AU21">IFERROR(
_xlfn.IFS(AND(AI21&gt;0,AI21&lt;($AP$3-$D21)),AI21*$AO$3,
AND(AI21&gt;0,AI21&gt;($AP$3-$D21)),($AP$3-$D21)*$AO$3),"")</f>
        <v/>
      </c>
      <c r="AV21" s="97" t="str" cm="1">
        <f t="array" ref="AV21">IFERROR(
_xlfn.IFS(AND(AJ21&gt;0,AJ21&lt;($AP$3-$D21)),AJ21*$AO$3,
AND(AJ21&gt;0,AJ21&gt;($AP$3-$D21)),($AP$3-$D21)*$AO$3),"")</f>
        <v/>
      </c>
      <c r="AW21" s="97" t="str" cm="1">
        <f t="array" ref="AW21">IFERROR(
_xlfn.IFS(AND(AK21&gt;0,AK21&lt;($AP$3-$D21)),AK21*$AO$3,
AND(AK21&gt;0,AK21&gt;($AP$3-$D21)),($AP$3-$D21)*$AO$3),"")</f>
        <v/>
      </c>
      <c r="AX21" s="97" t="str" cm="1">
        <f t="array" ref="AX21">IFERROR(
_xlfn.IFS(AND(AL21&gt;0,AL21&lt;($AP$3-$D21)),AL21*$AO$3,
AND(AL21&gt;0,AL21&gt;($AP$3-$D21)),($AP$3-$D21)*$AO$3),"")</f>
        <v/>
      </c>
      <c r="AY21" s="97" t="str" cm="1">
        <f t="array" ref="AY21">IFERROR(
_xlfn.IFS(AND(AM21&gt;0,AM21&lt;($AP$3-$D21)),AM21*$AO$3,
AND(AM21&gt;0,AM21&gt;($AP$3-$D21)),($AP$3-$D21)*$AO$3),"")</f>
        <v/>
      </c>
      <c r="AZ21" s="97">
        <f t="shared" si="26"/>
        <v>0.9375</v>
      </c>
      <c r="BA21" s="93"/>
      <c r="BB21" s="92"/>
      <c r="BC21" s="97" t="str">
        <f t="shared" si="27"/>
        <v/>
      </c>
      <c r="BD21" s="97" t="str">
        <f t="shared" si="28"/>
        <v/>
      </c>
      <c r="BE21" s="97" t="str">
        <f t="shared" si="29"/>
        <v/>
      </c>
      <c r="BF21" s="97" t="str">
        <f t="shared" si="30"/>
        <v/>
      </c>
      <c r="BG21" s="97" t="str">
        <f t="shared" si="31"/>
        <v/>
      </c>
      <c r="BH21" s="97" t="str">
        <f t="shared" si="32"/>
        <v/>
      </c>
      <c r="BI21" s="97" t="str">
        <f t="shared" si="33"/>
        <v/>
      </c>
      <c r="BJ21" s="97" t="str">
        <f t="shared" si="34"/>
        <v/>
      </c>
      <c r="BK21" s="97" t="str">
        <f t="shared" si="35"/>
        <v/>
      </c>
      <c r="BL21" s="97" t="str">
        <f t="shared" si="36"/>
        <v/>
      </c>
      <c r="BM21" s="97" t="str">
        <f t="shared" si="37"/>
        <v/>
      </c>
      <c r="BN21" s="97">
        <f t="shared" si="38"/>
        <v>0</v>
      </c>
      <c r="BP21" s="92">
        <f t="shared" si="40"/>
        <v>0.9375</v>
      </c>
      <c r="BR21" s="92">
        <f t="shared" si="39"/>
        <v>0.9375</v>
      </c>
    </row>
    <row r="22" spans="2:70" x14ac:dyDescent="0.15">
      <c r="B22" s="95" t="str">
        <f>'MODU 2025'!B25</f>
        <v>GARCIA Béatrice</v>
      </c>
      <c r="C22" s="95" t="str">
        <f>'MODU 2025'!C25</f>
        <v>Production</v>
      </c>
      <c r="D22" s="95">
        <f>'MODU 2025'!D25</f>
        <v>37</v>
      </c>
      <c r="E22" s="95">
        <f>'MODU 2025'!G25</f>
        <v>41</v>
      </c>
      <c r="F22" s="95">
        <f>'MODU 2025'!H25</f>
        <v>33</v>
      </c>
      <c r="G22" s="95">
        <f>'MODU 2025'!I25</f>
        <v>41</v>
      </c>
      <c r="H22" s="95">
        <f>'MODU 2025'!J25</f>
        <v>33</v>
      </c>
      <c r="I22" s="95">
        <f>'MODU 2025'!K25</f>
        <v>41</v>
      </c>
      <c r="J22" s="95">
        <f>'MODU 2025'!L25</f>
        <v>33</v>
      </c>
      <c r="K22" s="95">
        <f>'MODU 2025'!M25</f>
        <v>41</v>
      </c>
      <c r="L22" s="95">
        <f>'MODU 2025'!N25</f>
        <v>33</v>
      </c>
      <c r="M22" s="95">
        <f>'MODU 2025'!O25</f>
        <v>41</v>
      </c>
      <c r="N22" s="95">
        <f>'MODU 2025'!P25</f>
        <v>33</v>
      </c>
      <c r="O22" s="95">
        <f>'MODU 2025'!Q25</f>
        <v>41</v>
      </c>
      <c r="P22" s="97"/>
      <c r="Q22" s="97">
        <f>IF(MOD(COLUMN(),2)=0,INDEX(paramètres!$C$4:$C$6,MATCH($C22,paramètres!$B$4:$B$6,0)),INDEX(paramètres!$D$4:$D$6,MATCH($C22,paramètres!$B$4:$B$6,0)))</f>
        <v>41</v>
      </c>
      <c r="R22" s="97">
        <f>IF(MOD(COLUMN(),2)=0,INDEX(paramètres!$C$4:$C$6,MATCH($C22,paramètres!$B$4:$B$6,0)),INDEX(paramètres!$D$4:$D$6,MATCH($C22,paramètres!$B$4:$B$6,0)))</f>
        <v>33</v>
      </c>
      <c r="S22" s="97">
        <f>IF(MOD(COLUMN(),2)=0,INDEX(paramètres!$C$4:$C$6,MATCH($C22,paramètres!$B$4:$B$6,0)),INDEX(paramètres!$D$4:$D$6,MATCH($C22,paramètres!$B$4:$B$6,0)))</f>
        <v>41</v>
      </c>
      <c r="T22" s="97">
        <f>IF(MOD(COLUMN(),2)=0,INDEX(paramètres!$C$4:$C$6,MATCH($C22,paramètres!$B$4:$B$6,0)),INDEX(paramètres!$D$4:$D$6,MATCH($C22,paramètres!$B$4:$B$6,0)))</f>
        <v>33</v>
      </c>
      <c r="U22" s="97">
        <f>IF(MOD(COLUMN(),2)=0,INDEX(paramètres!$C$4:$C$6,MATCH($C22,paramètres!$B$4:$B$6,0)),INDEX(paramètres!$D$4:$D$6,MATCH($C22,paramètres!$B$4:$B$6,0)))</f>
        <v>41</v>
      </c>
      <c r="V22" s="97">
        <f>IF(MOD(COLUMN(),2)=0,INDEX(paramètres!$C$4:$C$6,MATCH($C22,paramètres!$B$4:$B$6,0)),INDEX(paramètres!$D$4:$D$6,MATCH($C22,paramètres!$B$4:$B$6,0)))</f>
        <v>33</v>
      </c>
      <c r="W22" s="97">
        <f>IF(MOD(COLUMN(),2)=0,INDEX(paramètres!$C$4:$C$6,MATCH($C22,paramètres!$B$4:$B$6,0)),INDEX(paramètres!$D$4:$D$6,MATCH($C22,paramètres!$B$4:$B$6,0)))</f>
        <v>41</v>
      </c>
      <c r="X22" s="97">
        <f>IF(MOD(COLUMN(),2)=0,INDEX(paramètres!$C$4:$C$6,MATCH($C22,paramètres!$B$4:$B$6,0)),INDEX(paramètres!$D$4:$D$6,MATCH($C22,paramètres!$B$4:$B$6,0)))</f>
        <v>33</v>
      </c>
      <c r="Y22" s="97">
        <f>IF(MOD(COLUMN(),2)=0,INDEX(paramètres!$C$4:$C$6,MATCH($C22,paramètres!$B$4:$B$6,0)),INDEX(paramètres!$D$4:$D$6,MATCH($C22,paramètres!$B$4:$B$6,0)))</f>
        <v>41</v>
      </c>
      <c r="Z22" s="97">
        <f>IF(MOD(COLUMN(),2)=0,INDEX(paramètres!$C$4:$C$6,MATCH($C22,paramètres!$B$4:$B$6,0)),INDEX(paramètres!$D$4:$D$6,MATCH($C22,paramètres!$B$4:$B$6,0)))</f>
        <v>33</v>
      </c>
      <c r="AA22" s="97">
        <f>IF(MOD(COLUMN(),2)=0,INDEX(paramètres!$C$4:$C$6,MATCH($C22,paramètres!$B$4:$B$6,0)),INDEX(paramètres!$D$4:$D$6,MATCH($C22,paramètres!$B$4:$B$6,0)))</f>
        <v>41</v>
      </c>
      <c r="AB22" s="98"/>
      <c r="AC22" s="97">
        <f t="shared" si="15"/>
        <v>0</v>
      </c>
      <c r="AD22" s="97">
        <f t="shared" si="16"/>
        <v>0</v>
      </c>
      <c r="AE22" s="97">
        <f t="shared" si="17"/>
        <v>0</v>
      </c>
      <c r="AF22" s="97">
        <f t="shared" si="18"/>
        <v>0</v>
      </c>
      <c r="AG22" s="97">
        <f t="shared" si="19"/>
        <v>0</v>
      </c>
      <c r="AH22" s="97">
        <f t="shared" si="20"/>
        <v>0</v>
      </c>
      <c r="AI22" s="97">
        <f t="shared" si="21"/>
        <v>0</v>
      </c>
      <c r="AJ22" s="97">
        <f t="shared" si="22"/>
        <v>0</v>
      </c>
      <c r="AK22" s="97">
        <f t="shared" si="23"/>
        <v>0</v>
      </c>
      <c r="AL22" s="97">
        <f t="shared" si="24"/>
        <v>0</v>
      </c>
      <c r="AM22" s="97">
        <f t="shared" si="25"/>
        <v>0</v>
      </c>
      <c r="AN22" s="36"/>
      <c r="AO22" s="97" t="str" cm="1">
        <f t="array" ref="AO22">IFERROR(
_xlfn.IFS(AND(AC22&gt;0,AC22&lt;($AP$3-$D22)),AC22*$AO$3,
AND(AC22&gt;0,AC22&gt;($AP$3-$D22)),($AP$3-$D22)*$AO$3),"")</f>
        <v/>
      </c>
      <c r="AP22" s="97" t="str" cm="1">
        <f t="array" ref="AP22">IFERROR(
_xlfn.IFS(AND(AD22&gt;0,AD22&lt;($AP$3-$D22)),AD22*$AO$3,
AND(AD22&gt;0,AD22&gt;($AP$3-$D22)),($AP$3-$D22)*$AO$3),"")</f>
        <v/>
      </c>
      <c r="AQ22" s="97" t="str" cm="1">
        <f t="array" ref="AQ22">IFERROR(
_xlfn.IFS(AND(AE22&gt;0,AE22&lt;($AP$3-$D22)),AE22*$AO$3,
AND(AE22&gt;0,AE22&gt;($AP$3-$D22)),($AP$3-$D22)*$AO$3),"")</f>
        <v/>
      </c>
      <c r="AR22" s="97" t="str" cm="1">
        <f t="array" ref="AR22">IFERROR(
_xlfn.IFS(AND(AF22&gt;0,AF22&lt;($AP$3-$D22)),AF22*$AO$3,
AND(AF22&gt;0,AF22&gt;($AP$3-$D22)),($AP$3-$D22)*$AO$3),"")</f>
        <v/>
      </c>
      <c r="AS22" s="97" t="str" cm="1">
        <f t="array" ref="AS22">IFERROR(
_xlfn.IFS(AND(AG22&gt;0,AG22&lt;($AP$3-$D22)),AG22*$AO$3,
AND(AG22&gt;0,AG22&gt;($AP$3-$D22)),($AP$3-$D22)*$AO$3),"")</f>
        <v/>
      </c>
      <c r="AT22" s="97" t="str" cm="1">
        <f t="array" ref="AT22">IFERROR(
_xlfn.IFS(AND(AH22&gt;0,AH22&lt;($AP$3-$D22)),AH22*$AO$3,
AND(AH22&gt;0,AH22&gt;($AP$3-$D22)),($AP$3-$D22)*$AO$3),"")</f>
        <v/>
      </c>
      <c r="AU22" s="97" t="str" cm="1">
        <f t="array" ref="AU22">IFERROR(
_xlfn.IFS(AND(AI22&gt;0,AI22&lt;($AP$3-$D22)),AI22*$AO$3,
AND(AI22&gt;0,AI22&gt;($AP$3-$D22)),($AP$3-$D22)*$AO$3),"")</f>
        <v/>
      </c>
      <c r="AV22" s="97" t="str" cm="1">
        <f t="array" ref="AV22">IFERROR(
_xlfn.IFS(AND(AJ22&gt;0,AJ22&lt;($AP$3-$D22)),AJ22*$AO$3,
AND(AJ22&gt;0,AJ22&gt;($AP$3-$D22)),($AP$3-$D22)*$AO$3),"")</f>
        <v/>
      </c>
      <c r="AW22" s="97" t="str" cm="1">
        <f t="array" ref="AW22">IFERROR(
_xlfn.IFS(AND(AK22&gt;0,AK22&lt;($AP$3-$D22)),AK22*$AO$3,
AND(AK22&gt;0,AK22&gt;($AP$3-$D22)),($AP$3-$D22)*$AO$3),"")</f>
        <v/>
      </c>
      <c r="AX22" s="97" t="str" cm="1">
        <f t="array" ref="AX22">IFERROR(
_xlfn.IFS(AND(AL22&gt;0,AL22&lt;($AP$3-$D22)),AL22*$AO$3,
AND(AL22&gt;0,AL22&gt;($AP$3-$D22)),($AP$3-$D22)*$AO$3),"")</f>
        <v/>
      </c>
      <c r="AY22" s="97" t="str" cm="1">
        <f t="array" ref="AY22">IFERROR(
_xlfn.IFS(AND(AM22&gt;0,AM22&lt;($AP$3-$D22)),AM22*$AO$3,
AND(AM22&gt;0,AM22&gt;($AP$3-$D22)),($AP$3-$D22)*$AO$3),"")</f>
        <v/>
      </c>
      <c r="AZ22" s="97">
        <f t="shared" si="26"/>
        <v>0</v>
      </c>
      <c r="BA22" s="93"/>
      <c r="BB22" s="92"/>
      <c r="BC22" s="97" t="str">
        <f t="shared" si="27"/>
        <v/>
      </c>
      <c r="BD22" s="97" t="str">
        <f t="shared" si="28"/>
        <v/>
      </c>
      <c r="BE22" s="97" t="str">
        <f t="shared" si="29"/>
        <v/>
      </c>
      <c r="BF22" s="97" t="str">
        <f t="shared" si="30"/>
        <v/>
      </c>
      <c r="BG22" s="97" t="str">
        <f t="shared" si="31"/>
        <v/>
      </c>
      <c r="BH22" s="97" t="str">
        <f t="shared" si="32"/>
        <v/>
      </c>
      <c r="BI22" s="97" t="str">
        <f t="shared" si="33"/>
        <v/>
      </c>
      <c r="BJ22" s="97" t="str">
        <f t="shared" si="34"/>
        <v/>
      </c>
      <c r="BK22" s="97" t="str">
        <f t="shared" si="35"/>
        <v/>
      </c>
      <c r="BL22" s="97" t="str">
        <f t="shared" si="36"/>
        <v/>
      </c>
      <c r="BM22" s="97" t="str">
        <f t="shared" si="37"/>
        <v/>
      </c>
      <c r="BN22" s="97">
        <f t="shared" si="38"/>
        <v>0</v>
      </c>
      <c r="BP22" s="92">
        <f t="shared" si="40"/>
        <v>0</v>
      </c>
      <c r="BR22" s="92">
        <f t="shared" si="39"/>
        <v>0</v>
      </c>
    </row>
    <row r="23" spans="2:70" x14ac:dyDescent="0.15">
      <c r="B23" s="95" t="str">
        <f>'MODU 2025'!B26</f>
        <v>GOYON Marie Christine</v>
      </c>
      <c r="C23" s="95" t="str">
        <f>'MODU 2025'!C26</f>
        <v>Production</v>
      </c>
      <c r="D23" s="95">
        <f>'MODU 2025'!D26</f>
        <v>37</v>
      </c>
      <c r="E23" s="95">
        <f>'MODU 2025'!G26</f>
        <v>38</v>
      </c>
      <c r="F23" s="95">
        <f>'MODU 2025'!H26</f>
        <v>33</v>
      </c>
      <c r="G23" s="95">
        <f>'MODU 2025'!I26</f>
        <v>41</v>
      </c>
      <c r="H23" s="95">
        <f>'MODU 2025'!J26</f>
        <v>33</v>
      </c>
      <c r="I23" s="95">
        <f>'MODU 2025'!K26</f>
        <v>41</v>
      </c>
      <c r="J23" s="95">
        <f>'MODU 2025'!L26</f>
        <v>33</v>
      </c>
      <c r="K23" s="95">
        <f>'MODU 2025'!M26</f>
        <v>41</v>
      </c>
      <c r="L23" s="95">
        <f>'MODU 2025'!N26</f>
        <v>33</v>
      </c>
      <c r="M23" s="95">
        <f>'MODU 2025'!O26</f>
        <v>41</v>
      </c>
      <c r="N23" s="95">
        <f>'MODU 2025'!P26</f>
        <v>33</v>
      </c>
      <c r="O23" s="95">
        <f>'MODU 2025'!Q26</f>
        <v>41</v>
      </c>
      <c r="P23" s="97"/>
      <c r="Q23" s="97">
        <f>IF(MOD(COLUMN(),2)=0,INDEX(paramètres!$C$4:$C$6,MATCH($C23,paramètres!$B$4:$B$6,0)),INDEX(paramètres!$D$4:$D$6,MATCH($C23,paramètres!$B$4:$B$6,0)))</f>
        <v>41</v>
      </c>
      <c r="R23" s="97">
        <f>IF(MOD(COLUMN(),2)=0,INDEX(paramètres!$C$4:$C$6,MATCH($C23,paramètres!$B$4:$B$6,0)),INDEX(paramètres!$D$4:$D$6,MATCH($C23,paramètres!$B$4:$B$6,0)))</f>
        <v>33</v>
      </c>
      <c r="S23" s="97">
        <f>IF(MOD(COLUMN(),2)=0,INDEX(paramètres!$C$4:$C$6,MATCH($C23,paramètres!$B$4:$B$6,0)),INDEX(paramètres!$D$4:$D$6,MATCH($C23,paramètres!$B$4:$B$6,0)))</f>
        <v>41</v>
      </c>
      <c r="T23" s="97">
        <f>IF(MOD(COLUMN(),2)=0,INDEX(paramètres!$C$4:$C$6,MATCH($C23,paramètres!$B$4:$B$6,0)),INDEX(paramètres!$D$4:$D$6,MATCH($C23,paramètres!$B$4:$B$6,0)))</f>
        <v>33</v>
      </c>
      <c r="U23" s="97">
        <f>IF(MOD(COLUMN(),2)=0,INDEX(paramètres!$C$4:$C$6,MATCH($C23,paramètres!$B$4:$B$6,0)),INDEX(paramètres!$D$4:$D$6,MATCH($C23,paramètres!$B$4:$B$6,0)))</f>
        <v>41</v>
      </c>
      <c r="V23" s="97">
        <f>IF(MOD(COLUMN(),2)=0,INDEX(paramètres!$C$4:$C$6,MATCH($C23,paramètres!$B$4:$B$6,0)),INDEX(paramètres!$D$4:$D$6,MATCH($C23,paramètres!$B$4:$B$6,0)))</f>
        <v>33</v>
      </c>
      <c r="W23" s="97">
        <f>IF(MOD(COLUMN(),2)=0,INDEX(paramètres!$C$4:$C$6,MATCH($C23,paramètres!$B$4:$B$6,0)),INDEX(paramètres!$D$4:$D$6,MATCH($C23,paramètres!$B$4:$B$6,0)))</f>
        <v>41</v>
      </c>
      <c r="X23" s="97">
        <f>IF(MOD(COLUMN(),2)=0,INDEX(paramètres!$C$4:$C$6,MATCH($C23,paramètres!$B$4:$B$6,0)),INDEX(paramètres!$D$4:$D$6,MATCH($C23,paramètres!$B$4:$B$6,0)))</f>
        <v>33</v>
      </c>
      <c r="Y23" s="97">
        <f>IF(MOD(COLUMN(),2)=0,INDEX(paramètres!$C$4:$C$6,MATCH($C23,paramètres!$B$4:$B$6,0)),INDEX(paramètres!$D$4:$D$6,MATCH($C23,paramètres!$B$4:$B$6,0)))</f>
        <v>41</v>
      </c>
      <c r="Z23" s="97">
        <f>IF(MOD(COLUMN(),2)=0,INDEX(paramètres!$C$4:$C$6,MATCH($C23,paramètres!$B$4:$B$6,0)),INDEX(paramètres!$D$4:$D$6,MATCH($C23,paramètres!$B$4:$B$6,0)))</f>
        <v>33</v>
      </c>
      <c r="AA23" s="97">
        <f>IF(MOD(COLUMN(),2)=0,INDEX(paramètres!$C$4:$C$6,MATCH($C23,paramètres!$B$4:$B$6,0)),INDEX(paramètres!$D$4:$D$6,MATCH($C23,paramètres!$B$4:$B$6,0)))</f>
        <v>41</v>
      </c>
      <c r="AB23" s="98"/>
      <c r="AC23" s="97">
        <f t="shared" si="15"/>
        <v>0</v>
      </c>
      <c r="AD23" s="97">
        <f t="shared" si="16"/>
        <v>0</v>
      </c>
      <c r="AE23" s="97">
        <f t="shared" si="17"/>
        <v>0</v>
      </c>
      <c r="AF23" s="97">
        <f t="shared" si="18"/>
        <v>0</v>
      </c>
      <c r="AG23" s="97">
        <f t="shared" si="19"/>
        <v>0</v>
      </c>
      <c r="AH23" s="97">
        <f t="shared" si="20"/>
        <v>0</v>
      </c>
      <c r="AI23" s="97">
        <f t="shared" si="21"/>
        <v>0</v>
      </c>
      <c r="AJ23" s="97">
        <f t="shared" si="22"/>
        <v>0</v>
      </c>
      <c r="AK23" s="97">
        <f t="shared" si="23"/>
        <v>0</v>
      </c>
      <c r="AL23" s="97">
        <f t="shared" si="24"/>
        <v>0</v>
      </c>
      <c r="AM23" s="97">
        <f t="shared" si="25"/>
        <v>0</v>
      </c>
      <c r="AN23" s="36"/>
      <c r="AO23" s="97" t="str" cm="1">
        <f t="array" ref="AO23">IFERROR(
_xlfn.IFS(AND(AC23&gt;0,AC23&lt;($AP$3-$D23)),AC23*$AO$3,
AND(AC23&gt;0,AC23&gt;($AP$3-$D23)),($AP$3-$D23)*$AO$3),"")</f>
        <v/>
      </c>
      <c r="AP23" s="97" t="str" cm="1">
        <f t="array" ref="AP23">IFERROR(
_xlfn.IFS(AND(AD23&gt;0,AD23&lt;($AP$3-$D23)),AD23*$AO$3,
AND(AD23&gt;0,AD23&gt;($AP$3-$D23)),($AP$3-$D23)*$AO$3),"")</f>
        <v/>
      </c>
      <c r="AQ23" s="97" t="str" cm="1">
        <f t="array" ref="AQ23">IFERROR(
_xlfn.IFS(AND(AE23&gt;0,AE23&lt;($AP$3-$D23)),AE23*$AO$3,
AND(AE23&gt;0,AE23&gt;($AP$3-$D23)),($AP$3-$D23)*$AO$3),"")</f>
        <v/>
      </c>
      <c r="AR23" s="97" t="str" cm="1">
        <f t="array" ref="AR23">IFERROR(
_xlfn.IFS(AND(AF23&gt;0,AF23&lt;($AP$3-$D23)),AF23*$AO$3,
AND(AF23&gt;0,AF23&gt;($AP$3-$D23)),($AP$3-$D23)*$AO$3),"")</f>
        <v/>
      </c>
      <c r="AS23" s="97" t="str" cm="1">
        <f t="array" ref="AS23">IFERROR(
_xlfn.IFS(AND(AG23&gt;0,AG23&lt;($AP$3-$D23)),AG23*$AO$3,
AND(AG23&gt;0,AG23&gt;($AP$3-$D23)),($AP$3-$D23)*$AO$3),"")</f>
        <v/>
      </c>
      <c r="AT23" s="97" t="str" cm="1">
        <f t="array" ref="AT23">IFERROR(
_xlfn.IFS(AND(AH23&gt;0,AH23&lt;($AP$3-$D23)),AH23*$AO$3,
AND(AH23&gt;0,AH23&gt;($AP$3-$D23)),($AP$3-$D23)*$AO$3),"")</f>
        <v/>
      </c>
      <c r="AU23" s="97" t="str" cm="1">
        <f t="array" ref="AU23">IFERROR(
_xlfn.IFS(AND(AI23&gt;0,AI23&lt;($AP$3-$D23)),AI23*$AO$3,
AND(AI23&gt;0,AI23&gt;($AP$3-$D23)),($AP$3-$D23)*$AO$3),"")</f>
        <v/>
      </c>
      <c r="AV23" s="97" t="str" cm="1">
        <f t="array" ref="AV23">IFERROR(
_xlfn.IFS(AND(AJ23&gt;0,AJ23&lt;($AP$3-$D23)),AJ23*$AO$3,
AND(AJ23&gt;0,AJ23&gt;($AP$3-$D23)),($AP$3-$D23)*$AO$3),"")</f>
        <v/>
      </c>
      <c r="AW23" s="97" t="str" cm="1">
        <f t="array" ref="AW23">IFERROR(
_xlfn.IFS(AND(AK23&gt;0,AK23&lt;($AP$3-$D23)),AK23*$AO$3,
AND(AK23&gt;0,AK23&gt;($AP$3-$D23)),($AP$3-$D23)*$AO$3),"")</f>
        <v/>
      </c>
      <c r="AX23" s="97" t="str" cm="1">
        <f t="array" ref="AX23">IFERROR(
_xlfn.IFS(AND(AL23&gt;0,AL23&lt;($AP$3-$D23)),AL23*$AO$3,
AND(AL23&gt;0,AL23&gt;($AP$3-$D23)),($AP$3-$D23)*$AO$3),"")</f>
        <v/>
      </c>
      <c r="AY23" s="97" t="str" cm="1">
        <f t="array" ref="AY23">IFERROR(
_xlfn.IFS(AND(AM23&gt;0,AM23&lt;($AP$3-$D23)),AM23*$AO$3,
AND(AM23&gt;0,AM23&gt;($AP$3-$D23)),($AP$3-$D23)*$AO$3),"")</f>
        <v/>
      </c>
      <c r="AZ23" s="97">
        <f t="shared" si="26"/>
        <v>0</v>
      </c>
      <c r="BA23" s="93"/>
      <c r="BB23" s="92"/>
      <c r="BC23" s="97" t="str">
        <f t="shared" si="27"/>
        <v/>
      </c>
      <c r="BD23" s="97" t="str">
        <f t="shared" si="28"/>
        <v/>
      </c>
      <c r="BE23" s="97" t="str">
        <f t="shared" si="29"/>
        <v/>
      </c>
      <c r="BF23" s="97" t="str">
        <f t="shared" si="30"/>
        <v/>
      </c>
      <c r="BG23" s="97" t="str">
        <f t="shared" si="31"/>
        <v/>
      </c>
      <c r="BH23" s="97" t="str">
        <f t="shared" si="32"/>
        <v/>
      </c>
      <c r="BI23" s="97" t="str">
        <f t="shared" si="33"/>
        <v/>
      </c>
      <c r="BJ23" s="97" t="str">
        <f t="shared" si="34"/>
        <v/>
      </c>
      <c r="BK23" s="97" t="str">
        <f t="shared" si="35"/>
        <v/>
      </c>
      <c r="BL23" s="97" t="str">
        <f t="shared" si="36"/>
        <v/>
      </c>
      <c r="BM23" s="97" t="str">
        <f t="shared" si="37"/>
        <v/>
      </c>
      <c r="BN23" s="97">
        <f t="shared" si="38"/>
        <v>0</v>
      </c>
      <c r="BP23" s="92">
        <f t="shared" si="40"/>
        <v>0</v>
      </c>
      <c r="BR23" s="92">
        <f t="shared" si="39"/>
        <v>0</v>
      </c>
    </row>
    <row r="24" spans="2:70" x14ac:dyDescent="0.15">
      <c r="B24" s="95" t="str">
        <f>'MODU 2025'!B27</f>
        <v>LECAPITAINE Angélique</v>
      </c>
      <c r="C24" s="95" t="str">
        <f>'MODU 2025'!C27</f>
        <v>Production</v>
      </c>
      <c r="D24" s="95">
        <f>'MODU 2025'!D27</f>
        <v>37</v>
      </c>
      <c r="E24" s="95">
        <f>'MODU 2025'!G27</f>
        <v>41</v>
      </c>
      <c r="F24" s="95">
        <f>'MODU 2025'!H27</f>
        <v>33</v>
      </c>
      <c r="G24" s="95">
        <f>'MODU 2025'!I27</f>
        <v>41</v>
      </c>
      <c r="H24" s="95">
        <f>'MODU 2025'!J27</f>
        <v>33</v>
      </c>
      <c r="I24" s="95">
        <f>'MODU 2025'!K27</f>
        <v>41</v>
      </c>
      <c r="J24" s="95">
        <f>'MODU 2025'!L27</f>
        <v>33</v>
      </c>
      <c r="K24" s="95">
        <f>'MODU 2025'!M27</f>
        <v>41</v>
      </c>
      <c r="L24" s="95">
        <f>'MODU 2025'!N27</f>
        <v>33</v>
      </c>
      <c r="M24" s="95">
        <f>'MODU 2025'!O27</f>
        <v>41</v>
      </c>
      <c r="N24" s="95">
        <f>'MODU 2025'!P27</f>
        <v>33</v>
      </c>
      <c r="O24" s="95">
        <f>'MODU 2025'!Q27</f>
        <v>41</v>
      </c>
      <c r="P24" s="97"/>
      <c r="Q24" s="97">
        <f>IF(MOD(COLUMN(),2)=0,INDEX(paramètres!$C$4:$C$6,MATCH($C24,paramètres!$B$4:$B$6,0)),INDEX(paramètres!$D$4:$D$6,MATCH($C24,paramètres!$B$4:$B$6,0)))</f>
        <v>41</v>
      </c>
      <c r="R24" s="97">
        <f>IF(MOD(COLUMN(),2)=0,INDEX(paramètres!$C$4:$C$6,MATCH($C24,paramètres!$B$4:$B$6,0)),INDEX(paramètres!$D$4:$D$6,MATCH($C24,paramètres!$B$4:$B$6,0)))</f>
        <v>33</v>
      </c>
      <c r="S24" s="97">
        <f>IF(MOD(COLUMN(),2)=0,INDEX(paramètres!$C$4:$C$6,MATCH($C24,paramètres!$B$4:$B$6,0)),INDEX(paramètres!$D$4:$D$6,MATCH($C24,paramètres!$B$4:$B$6,0)))</f>
        <v>41</v>
      </c>
      <c r="T24" s="97">
        <f>IF(MOD(COLUMN(),2)=0,INDEX(paramètres!$C$4:$C$6,MATCH($C24,paramètres!$B$4:$B$6,0)),INDEX(paramètres!$D$4:$D$6,MATCH($C24,paramètres!$B$4:$B$6,0)))</f>
        <v>33</v>
      </c>
      <c r="U24" s="97">
        <f>IF(MOD(COLUMN(),2)=0,INDEX(paramètres!$C$4:$C$6,MATCH($C24,paramètres!$B$4:$B$6,0)),INDEX(paramètres!$D$4:$D$6,MATCH($C24,paramètres!$B$4:$B$6,0)))</f>
        <v>41</v>
      </c>
      <c r="V24" s="97">
        <f>IF(MOD(COLUMN(),2)=0,INDEX(paramètres!$C$4:$C$6,MATCH($C24,paramètres!$B$4:$B$6,0)),INDEX(paramètres!$D$4:$D$6,MATCH($C24,paramètres!$B$4:$B$6,0)))</f>
        <v>33</v>
      </c>
      <c r="W24" s="97">
        <f>IF(MOD(COLUMN(),2)=0,INDEX(paramètres!$C$4:$C$6,MATCH($C24,paramètres!$B$4:$B$6,0)),INDEX(paramètres!$D$4:$D$6,MATCH($C24,paramètres!$B$4:$B$6,0)))</f>
        <v>41</v>
      </c>
      <c r="X24" s="97">
        <f>IF(MOD(COLUMN(),2)=0,INDEX(paramètres!$C$4:$C$6,MATCH($C24,paramètres!$B$4:$B$6,0)),INDEX(paramètres!$D$4:$D$6,MATCH($C24,paramètres!$B$4:$B$6,0)))</f>
        <v>33</v>
      </c>
      <c r="Y24" s="97">
        <f>IF(MOD(COLUMN(),2)=0,INDEX(paramètres!$C$4:$C$6,MATCH($C24,paramètres!$B$4:$B$6,0)),INDEX(paramètres!$D$4:$D$6,MATCH($C24,paramètres!$B$4:$B$6,0)))</f>
        <v>41</v>
      </c>
      <c r="Z24" s="97">
        <f>IF(MOD(COLUMN(),2)=0,INDEX(paramètres!$C$4:$C$6,MATCH($C24,paramètres!$B$4:$B$6,0)),INDEX(paramètres!$D$4:$D$6,MATCH($C24,paramètres!$B$4:$B$6,0)))</f>
        <v>33</v>
      </c>
      <c r="AA24" s="97">
        <f>IF(MOD(COLUMN(),2)=0,INDEX(paramètres!$C$4:$C$6,MATCH($C24,paramètres!$B$4:$B$6,0)),INDEX(paramètres!$D$4:$D$6,MATCH($C24,paramètres!$B$4:$B$6,0)))</f>
        <v>41</v>
      </c>
      <c r="AB24" s="98"/>
      <c r="AC24" s="97">
        <f t="shared" si="15"/>
        <v>0</v>
      </c>
      <c r="AD24" s="97">
        <f t="shared" si="16"/>
        <v>0</v>
      </c>
      <c r="AE24" s="97">
        <f t="shared" si="17"/>
        <v>0</v>
      </c>
      <c r="AF24" s="97">
        <f t="shared" si="18"/>
        <v>0</v>
      </c>
      <c r="AG24" s="97">
        <f t="shared" si="19"/>
        <v>0</v>
      </c>
      <c r="AH24" s="97">
        <f t="shared" si="20"/>
        <v>0</v>
      </c>
      <c r="AI24" s="97">
        <f t="shared" si="21"/>
        <v>0</v>
      </c>
      <c r="AJ24" s="97">
        <f t="shared" si="22"/>
        <v>0</v>
      </c>
      <c r="AK24" s="97">
        <f t="shared" si="23"/>
        <v>0</v>
      </c>
      <c r="AL24" s="97">
        <f t="shared" si="24"/>
        <v>0</v>
      </c>
      <c r="AM24" s="97">
        <f t="shared" si="25"/>
        <v>0</v>
      </c>
      <c r="AN24" s="36"/>
      <c r="AO24" s="97" t="str" cm="1">
        <f t="array" ref="AO24">IFERROR(
_xlfn.IFS(AND(AC24&gt;0,AC24&lt;($AP$3-$D24)),AC24*$AO$3,
AND(AC24&gt;0,AC24&gt;($AP$3-$D24)),($AP$3-$D24)*$AO$3),"")</f>
        <v/>
      </c>
      <c r="AP24" s="97" t="str" cm="1">
        <f t="array" ref="AP24">IFERROR(
_xlfn.IFS(AND(AD24&gt;0,AD24&lt;($AP$3-$D24)),AD24*$AO$3,
AND(AD24&gt;0,AD24&gt;($AP$3-$D24)),($AP$3-$D24)*$AO$3),"")</f>
        <v/>
      </c>
      <c r="AQ24" s="97" t="str" cm="1">
        <f t="array" ref="AQ24">IFERROR(
_xlfn.IFS(AND(AE24&gt;0,AE24&lt;($AP$3-$D24)),AE24*$AO$3,
AND(AE24&gt;0,AE24&gt;($AP$3-$D24)),($AP$3-$D24)*$AO$3),"")</f>
        <v/>
      </c>
      <c r="AR24" s="97" t="str" cm="1">
        <f t="array" ref="AR24">IFERROR(
_xlfn.IFS(AND(AF24&gt;0,AF24&lt;($AP$3-$D24)),AF24*$AO$3,
AND(AF24&gt;0,AF24&gt;($AP$3-$D24)),($AP$3-$D24)*$AO$3),"")</f>
        <v/>
      </c>
      <c r="AS24" s="97" t="str" cm="1">
        <f t="array" ref="AS24">IFERROR(
_xlfn.IFS(AND(AG24&gt;0,AG24&lt;($AP$3-$D24)),AG24*$AO$3,
AND(AG24&gt;0,AG24&gt;($AP$3-$D24)),($AP$3-$D24)*$AO$3),"")</f>
        <v/>
      </c>
      <c r="AT24" s="97" t="str" cm="1">
        <f t="array" ref="AT24">IFERROR(
_xlfn.IFS(AND(AH24&gt;0,AH24&lt;($AP$3-$D24)),AH24*$AO$3,
AND(AH24&gt;0,AH24&gt;($AP$3-$D24)),($AP$3-$D24)*$AO$3),"")</f>
        <v/>
      </c>
      <c r="AU24" s="97" t="str" cm="1">
        <f t="array" ref="AU24">IFERROR(
_xlfn.IFS(AND(AI24&gt;0,AI24&lt;($AP$3-$D24)),AI24*$AO$3,
AND(AI24&gt;0,AI24&gt;($AP$3-$D24)),($AP$3-$D24)*$AO$3),"")</f>
        <v/>
      </c>
      <c r="AV24" s="97" t="str" cm="1">
        <f t="array" ref="AV24">IFERROR(
_xlfn.IFS(AND(AJ24&gt;0,AJ24&lt;($AP$3-$D24)),AJ24*$AO$3,
AND(AJ24&gt;0,AJ24&gt;($AP$3-$D24)),($AP$3-$D24)*$AO$3),"")</f>
        <v/>
      </c>
      <c r="AW24" s="97" t="str" cm="1">
        <f t="array" ref="AW24">IFERROR(
_xlfn.IFS(AND(AK24&gt;0,AK24&lt;($AP$3-$D24)),AK24*$AO$3,
AND(AK24&gt;0,AK24&gt;($AP$3-$D24)),($AP$3-$D24)*$AO$3),"")</f>
        <v/>
      </c>
      <c r="AX24" s="97" t="str" cm="1">
        <f t="array" ref="AX24">IFERROR(
_xlfn.IFS(AND(AL24&gt;0,AL24&lt;($AP$3-$D24)),AL24*$AO$3,
AND(AL24&gt;0,AL24&gt;($AP$3-$D24)),($AP$3-$D24)*$AO$3),"")</f>
        <v/>
      </c>
      <c r="AY24" s="97" t="str" cm="1">
        <f t="array" ref="AY24">IFERROR(
_xlfn.IFS(AND(AM24&gt;0,AM24&lt;($AP$3-$D24)),AM24*$AO$3,
AND(AM24&gt;0,AM24&gt;($AP$3-$D24)),($AP$3-$D24)*$AO$3),"")</f>
        <v/>
      </c>
      <c r="AZ24" s="97">
        <f t="shared" si="26"/>
        <v>0</v>
      </c>
      <c r="BA24" s="93"/>
      <c r="BB24" s="92"/>
      <c r="BC24" s="97" t="str">
        <f t="shared" si="27"/>
        <v/>
      </c>
      <c r="BD24" s="97" t="str">
        <f t="shared" si="28"/>
        <v/>
      </c>
      <c r="BE24" s="97" t="str">
        <f t="shared" si="29"/>
        <v/>
      </c>
      <c r="BF24" s="97" t="str">
        <f t="shared" si="30"/>
        <v/>
      </c>
      <c r="BG24" s="97" t="str">
        <f t="shared" si="31"/>
        <v/>
      </c>
      <c r="BH24" s="97" t="str">
        <f t="shared" si="32"/>
        <v/>
      </c>
      <c r="BI24" s="97" t="str">
        <f t="shared" si="33"/>
        <v/>
      </c>
      <c r="BJ24" s="97" t="str">
        <f t="shared" si="34"/>
        <v/>
      </c>
      <c r="BK24" s="97" t="str">
        <f t="shared" si="35"/>
        <v/>
      </c>
      <c r="BL24" s="97" t="str">
        <f t="shared" si="36"/>
        <v/>
      </c>
      <c r="BM24" s="97" t="str">
        <f t="shared" si="37"/>
        <v/>
      </c>
      <c r="BN24" s="97">
        <f t="shared" si="38"/>
        <v>0</v>
      </c>
      <c r="BP24" s="92">
        <f t="shared" si="40"/>
        <v>0</v>
      </c>
      <c r="BR24" s="92">
        <f t="shared" si="39"/>
        <v>0</v>
      </c>
    </row>
    <row r="25" spans="2:70" x14ac:dyDescent="0.15">
      <c r="B25" s="95" t="str">
        <f>'MODU 2025'!B28</f>
        <v>LEMOINE Anthony</v>
      </c>
      <c r="C25" s="95" t="str">
        <f>'MODU 2025'!C28</f>
        <v>Production</v>
      </c>
      <c r="D25" s="95">
        <f>'MODU 2025'!D28</f>
        <v>37</v>
      </c>
      <c r="E25" s="95">
        <f>'MODU 2025'!G28</f>
        <v>33</v>
      </c>
      <c r="F25" s="95">
        <f>'MODU 2025'!H28</f>
        <v>39.5</v>
      </c>
      <c r="G25" s="95">
        <f>'MODU 2025'!I28</f>
        <v>33</v>
      </c>
      <c r="H25" s="95">
        <f>'MODU 2025'!J28</f>
        <v>41</v>
      </c>
      <c r="I25" s="95">
        <f>'MODU 2025'!K28</f>
        <v>33</v>
      </c>
      <c r="J25" s="95">
        <f>'MODU 2025'!L28</f>
        <v>41</v>
      </c>
      <c r="K25" s="95">
        <f>'MODU 2025'!M28</f>
        <v>33</v>
      </c>
      <c r="L25" s="95">
        <f>'MODU 2025'!N28</f>
        <v>41</v>
      </c>
      <c r="M25" s="95">
        <f>'MODU 2025'!O28</f>
        <v>33</v>
      </c>
      <c r="N25" s="95">
        <f>'MODU 2025'!P28</f>
        <v>41</v>
      </c>
      <c r="O25" s="95">
        <f>'MODU 2025'!Q28</f>
        <v>33</v>
      </c>
      <c r="P25" s="97"/>
      <c r="Q25" s="97">
        <f>IF(MOD(COLUMN(),2)=0,INDEX(paramètres!$C$4:$C$6,MATCH($C25,paramètres!$B$4:$B$6,0)),INDEX(paramètres!$D$4:$D$6,MATCH($C25,paramètres!$B$4:$B$6,0)))</f>
        <v>41</v>
      </c>
      <c r="R25" s="97">
        <f>IF(MOD(COLUMN(),2)=0,INDEX(paramètres!$C$4:$C$6,MATCH($C25,paramètres!$B$4:$B$6,0)),INDEX(paramètres!$D$4:$D$6,MATCH($C25,paramètres!$B$4:$B$6,0)))</f>
        <v>33</v>
      </c>
      <c r="S25" s="97">
        <f>IF(MOD(COLUMN(),2)=0,INDEX(paramètres!$C$4:$C$6,MATCH($C25,paramètres!$B$4:$B$6,0)),INDEX(paramètres!$D$4:$D$6,MATCH($C25,paramètres!$B$4:$B$6,0)))</f>
        <v>41</v>
      </c>
      <c r="T25" s="97">
        <f>IF(MOD(COLUMN(),2)=0,INDEX(paramètres!$C$4:$C$6,MATCH($C25,paramètres!$B$4:$B$6,0)),INDEX(paramètres!$D$4:$D$6,MATCH($C25,paramètres!$B$4:$B$6,0)))</f>
        <v>33</v>
      </c>
      <c r="U25" s="97">
        <f>IF(MOD(COLUMN(),2)=0,INDEX(paramètres!$C$4:$C$6,MATCH($C25,paramètres!$B$4:$B$6,0)),INDEX(paramètres!$D$4:$D$6,MATCH($C25,paramètres!$B$4:$B$6,0)))</f>
        <v>41</v>
      </c>
      <c r="V25" s="97">
        <f>IF(MOD(COLUMN(),2)=0,INDEX(paramètres!$C$4:$C$6,MATCH($C25,paramètres!$B$4:$B$6,0)),INDEX(paramètres!$D$4:$D$6,MATCH($C25,paramètres!$B$4:$B$6,0)))</f>
        <v>33</v>
      </c>
      <c r="W25" s="97">
        <f>IF(MOD(COLUMN(),2)=0,INDEX(paramètres!$C$4:$C$6,MATCH($C25,paramètres!$B$4:$B$6,0)),INDEX(paramètres!$D$4:$D$6,MATCH($C25,paramètres!$B$4:$B$6,0)))</f>
        <v>41</v>
      </c>
      <c r="X25" s="97">
        <f>IF(MOD(COLUMN(),2)=0,INDEX(paramètres!$C$4:$C$6,MATCH($C25,paramètres!$B$4:$B$6,0)),INDEX(paramètres!$D$4:$D$6,MATCH($C25,paramètres!$B$4:$B$6,0)))</f>
        <v>33</v>
      </c>
      <c r="Y25" s="97">
        <f>IF(MOD(COLUMN(),2)=0,INDEX(paramètres!$C$4:$C$6,MATCH($C25,paramètres!$B$4:$B$6,0)),INDEX(paramètres!$D$4:$D$6,MATCH($C25,paramètres!$B$4:$B$6,0)))</f>
        <v>41</v>
      </c>
      <c r="Z25" s="97">
        <f>IF(MOD(COLUMN(),2)=0,INDEX(paramètres!$C$4:$C$6,MATCH($C25,paramètres!$B$4:$B$6,0)),INDEX(paramètres!$D$4:$D$6,MATCH($C25,paramètres!$B$4:$B$6,0)))</f>
        <v>33</v>
      </c>
      <c r="AA25" s="97">
        <f>IF(MOD(COLUMN(),2)=0,INDEX(paramètres!$C$4:$C$6,MATCH($C25,paramètres!$B$4:$B$6,0)),INDEX(paramètres!$D$4:$D$6,MATCH($C25,paramètres!$B$4:$B$6,0)))</f>
        <v>41</v>
      </c>
      <c r="AB25" s="98"/>
      <c r="AC25" s="97">
        <f t="shared" si="15"/>
        <v>0</v>
      </c>
      <c r="AD25" s="97">
        <f t="shared" si="16"/>
        <v>-1.5</v>
      </c>
      <c r="AE25" s="97">
        <f t="shared" si="17"/>
        <v>0</v>
      </c>
      <c r="AF25" s="97">
        <f t="shared" si="18"/>
        <v>0</v>
      </c>
      <c r="AG25" s="97">
        <f t="shared" si="19"/>
        <v>0</v>
      </c>
      <c r="AH25" s="97">
        <f t="shared" si="20"/>
        <v>0</v>
      </c>
      <c r="AI25" s="97">
        <f t="shared" si="21"/>
        <v>0</v>
      </c>
      <c r="AJ25" s="97">
        <f t="shared" si="22"/>
        <v>0</v>
      </c>
      <c r="AK25" s="97">
        <f t="shared" si="23"/>
        <v>0</v>
      </c>
      <c r="AL25" s="97">
        <f t="shared" si="24"/>
        <v>0</v>
      </c>
      <c r="AM25" s="97">
        <f t="shared" si="25"/>
        <v>0</v>
      </c>
      <c r="AN25" s="36"/>
      <c r="AO25" s="97" t="str" cm="1">
        <f t="array" ref="AO25">IFERROR(
_xlfn.IFS(AND(AC25&gt;0,AC25&lt;($AP$3-$D25)),AC25*$AO$3,
AND(AC25&gt;0,AC25&gt;($AP$3-$D25)),($AP$3-$D25)*$AO$3),"")</f>
        <v/>
      </c>
      <c r="AP25" s="97" t="str" cm="1">
        <f t="array" ref="AP25">IFERROR(
_xlfn.IFS(AND(AD25&gt;0,AD25&lt;($AP$3-$D25)),AD25*$AO$3,
AND(AD25&gt;0,AD25&gt;($AP$3-$D25)),($AP$3-$D25)*$AO$3),"")</f>
        <v/>
      </c>
      <c r="AQ25" s="97" t="str" cm="1">
        <f t="array" ref="AQ25">IFERROR(
_xlfn.IFS(AND(AE25&gt;0,AE25&lt;($AP$3-$D25)),AE25*$AO$3,
AND(AE25&gt;0,AE25&gt;($AP$3-$D25)),($AP$3-$D25)*$AO$3),"")</f>
        <v/>
      </c>
      <c r="AR25" s="97" t="str" cm="1">
        <f t="array" ref="AR25">IFERROR(
_xlfn.IFS(AND(AF25&gt;0,AF25&lt;($AP$3-$D25)),AF25*$AO$3,
AND(AF25&gt;0,AF25&gt;($AP$3-$D25)),($AP$3-$D25)*$AO$3),"")</f>
        <v/>
      </c>
      <c r="AS25" s="97" t="str" cm="1">
        <f t="array" ref="AS25">IFERROR(
_xlfn.IFS(AND(AG25&gt;0,AG25&lt;($AP$3-$D25)),AG25*$AO$3,
AND(AG25&gt;0,AG25&gt;($AP$3-$D25)),($AP$3-$D25)*$AO$3),"")</f>
        <v/>
      </c>
      <c r="AT25" s="97" t="str" cm="1">
        <f t="array" ref="AT25">IFERROR(
_xlfn.IFS(AND(AH25&gt;0,AH25&lt;($AP$3-$D25)),AH25*$AO$3,
AND(AH25&gt;0,AH25&gt;($AP$3-$D25)),($AP$3-$D25)*$AO$3),"")</f>
        <v/>
      </c>
      <c r="AU25" s="97" t="str" cm="1">
        <f t="array" ref="AU25">IFERROR(
_xlfn.IFS(AND(AI25&gt;0,AI25&lt;($AP$3-$D25)),AI25*$AO$3,
AND(AI25&gt;0,AI25&gt;($AP$3-$D25)),($AP$3-$D25)*$AO$3),"")</f>
        <v/>
      </c>
      <c r="AV25" s="97" t="str" cm="1">
        <f t="array" ref="AV25">IFERROR(
_xlfn.IFS(AND(AJ25&gt;0,AJ25&lt;($AP$3-$D25)),AJ25*$AO$3,
AND(AJ25&gt;0,AJ25&gt;($AP$3-$D25)),($AP$3-$D25)*$AO$3),"")</f>
        <v/>
      </c>
      <c r="AW25" s="97" t="str" cm="1">
        <f t="array" ref="AW25">IFERROR(
_xlfn.IFS(AND(AK25&gt;0,AK25&lt;($AP$3-$D25)),AK25*$AO$3,
AND(AK25&gt;0,AK25&gt;($AP$3-$D25)),($AP$3-$D25)*$AO$3),"")</f>
        <v/>
      </c>
      <c r="AX25" s="97" t="str" cm="1">
        <f t="array" ref="AX25">IFERROR(
_xlfn.IFS(AND(AL25&gt;0,AL25&lt;($AP$3-$D25)),AL25*$AO$3,
AND(AL25&gt;0,AL25&gt;($AP$3-$D25)),($AP$3-$D25)*$AO$3),"")</f>
        <v/>
      </c>
      <c r="AY25" s="97" t="str" cm="1">
        <f t="array" ref="AY25">IFERROR(
_xlfn.IFS(AND(AM25&gt;0,AM25&lt;($AP$3-$D25)),AM25*$AO$3,
AND(AM25&gt;0,AM25&gt;($AP$3-$D25)),($AP$3-$D25)*$AO$3),"")</f>
        <v/>
      </c>
      <c r="AZ25" s="97">
        <f t="shared" si="26"/>
        <v>0</v>
      </c>
      <c r="BA25" s="93"/>
      <c r="BB25" s="92"/>
      <c r="BC25" s="97" t="str">
        <f t="shared" si="27"/>
        <v/>
      </c>
      <c r="BD25" s="97" t="str">
        <f t="shared" si="28"/>
        <v/>
      </c>
      <c r="BE25" s="97" t="str">
        <f t="shared" si="29"/>
        <v/>
      </c>
      <c r="BF25" s="97" t="str">
        <f t="shared" si="30"/>
        <v/>
      </c>
      <c r="BG25" s="97" t="str">
        <f t="shared" si="31"/>
        <v/>
      </c>
      <c r="BH25" s="97" t="str">
        <f t="shared" si="32"/>
        <v/>
      </c>
      <c r="BI25" s="97" t="str">
        <f t="shared" si="33"/>
        <v/>
      </c>
      <c r="BJ25" s="97" t="str">
        <f t="shared" si="34"/>
        <v/>
      </c>
      <c r="BK25" s="97" t="str">
        <f t="shared" si="35"/>
        <v/>
      </c>
      <c r="BL25" s="97" t="str">
        <f t="shared" si="36"/>
        <v/>
      </c>
      <c r="BM25" s="97" t="str">
        <f t="shared" si="37"/>
        <v/>
      </c>
      <c r="BN25" s="97">
        <f t="shared" si="38"/>
        <v>0</v>
      </c>
      <c r="BP25" s="92">
        <f t="shared" si="40"/>
        <v>0</v>
      </c>
      <c r="BR25" s="92">
        <f t="shared" si="39"/>
        <v>-1.5</v>
      </c>
    </row>
    <row r="26" spans="2:70" x14ac:dyDescent="0.15">
      <c r="B26" s="95" t="str">
        <f>'MODU 2025'!B29</f>
        <v>LION Sylvie</v>
      </c>
      <c r="C26" s="95" t="str">
        <f>'MODU 2025'!C29</f>
        <v>Production</v>
      </c>
      <c r="D26" s="95">
        <f>'MODU 2025'!D29</f>
        <v>37</v>
      </c>
      <c r="E26" s="95">
        <f>'MODU 2025'!G29</f>
        <v>33</v>
      </c>
      <c r="F26" s="95">
        <f>'MODU 2025'!H29</f>
        <v>41</v>
      </c>
      <c r="G26" s="95">
        <f>'MODU 2025'!I29</f>
        <v>33</v>
      </c>
      <c r="H26" s="95">
        <f>'MODU 2025'!J29</f>
        <v>41</v>
      </c>
      <c r="I26" s="95">
        <f>'MODU 2025'!K29</f>
        <v>33</v>
      </c>
      <c r="J26" s="95">
        <f>'MODU 2025'!L29</f>
        <v>41</v>
      </c>
      <c r="K26" s="95">
        <f>'MODU 2025'!M29</f>
        <v>33</v>
      </c>
      <c r="L26" s="95">
        <f>'MODU 2025'!N29</f>
        <v>41</v>
      </c>
      <c r="M26" s="95">
        <f>'MODU 2025'!O29</f>
        <v>33</v>
      </c>
      <c r="N26" s="95">
        <f>'MODU 2025'!P29</f>
        <v>41</v>
      </c>
      <c r="O26" s="95">
        <f>'MODU 2025'!Q29</f>
        <v>33</v>
      </c>
      <c r="P26" s="97"/>
      <c r="Q26" s="97">
        <f>IF(MOD(COLUMN(),2)=0,INDEX(paramètres!$C$4:$C$6,MATCH($C26,paramètres!$B$4:$B$6,0)),INDEX(paramètres!$D$4:$D$6,MATCH($C26,paramètres!$B$4:$B$6,0)))</f>
        <v>41</v>
      </c>
      <c r="R26" s="97">
        <f>IF(MOD(COLUMN(),2)=0,INDEX(paramètres!$C$4:$C$6,MATCH($C26,paramètres!$B$4:$B$6,0)),INDEX(paramètres!$D$4:$D$6,MATCH($C26,paramètres!$B$4:$B$6,0)))</f>
        <v>33</v>
      </c>
      <c r="S26" s="97">
        <f>IF(MOD(COLUMN(),2)=0,INDEX(paramètres!$C$4:$C$6,MATCH($C26,paramètres!$B$4:$B$6,0)),INDEX(paramètres!$D$4:$D$6,MATCH($C26,paramètres!$B$4:$B$6,0)))</f>
        <v>41</v>
      </c>
      <c r="T26" s="97">
        <f>IF(MOD(COLUMN(),2)=0,INDEX(paramètres!$C$4:$C$6,MATCH($C26,paramètres!$B$4:$B$6,0)),INDEX(paramètres!$D$4:$D$6,MATCH($C26,paramètres!$B$4:$B$6,0)))</f>
        <v>33</v>
      </c>
      <c r="U26" s="97">
        <f>IF(MOD(COLUMN(),2)=0,INDEX(paramètres!$C$4:$C$6,MATCH($C26,paramètres!$B$4:$B$6,0)),INDEX(paramètres!$D$4:$D$6,MATCH($C26,paramètres!$B$4:$B$6,0)))</f>
        <v>41</v>
      </c>
      <c r="V26" s="97">
        <f>IF(MOD(COLUMN(),2)=0,INDEX(paramètres!$C$4:$C$6,MATCH($C26,paramètres!$B$4:$B$6,0)),INDEX(paramètres!$D$4:$D$6,MATCH($C26,paramètres!$B$4:$B$6,0)))</f>
        <v>33</v>
      </c>
      <c r="W26" s="97">
        <f>IF(MOD(COLUMN(),2)=0,INDEX(paramètres!$C$4:$C$6,MATCH($C26,paramètres!$B$4:$B$6,0)),INDEX(paramètres!$D$4:$D$6,MATCH($C26,paramètres!$B$4:$B$6,0)))</f>
        <v>41</v>
      </c>
      <c r="X26" s="97">
        <f>IF(MOD(COLUMN(),2)=0,INDEX(paramètres!$C$4:$C$6,MATCH($C26,paramètres!$B$4:$B$6,0)),INDEX(paramètres!$D$4:$D$6,MATCH($C26,paramètres!$B$4:$B$6,0)))</f>
        <v>33</v>
      </c>
      <c r="Y26" s="97">
        <f>IF(MOD(COLUMN(),2)=0,INDEX(paramètres!$C$4:$C$6,MATCH($C26,paramètres!$B$4:$B$6,0)),INDEX(paramètres!$D$4:$D$6,MATCH($C26,paramètres!$B$4:$B$6,0)))</f>
        <v>41</v>
      </c>
      <c r="Z26" s="97">
        <f>IF(MOD(COLUMN(),2)=0,INDEX(paramètres!$C$4:$C$6,MATCH($C26,paramètres!$B$4:$B$6,0)),INDEX(paramètres!$D$4:$D$6,MATCH($C26,paramètres!$B$4:$B$6,0)))</f>
        <v>33</v>
      </c>
      <c r="AA26" s="97">
        <f>IF(MOD(COLUMN(),2)=0,INDEX(paramètres!$C$4:$C$6,MATCH($C26,paramètres!$B$4:$B$6,0)),INDEX(paramètres!$D$4:$D$6,MATCH($C26,paramètres!$B$4:$B$6,0)))</f>
        <v>41</v>
      </c>
      <c r="AB26" s="98"/>
      <c r="AC26" s="97">
        <f t="shared" si="15"/>
        <v>0</v>
      </c>
      <c r="AD26" s="97">
        <f t="shared" si="16"/>
        <v>0</v>
      </c>
      <c r="AE26" s="97">
        <f t="shared" si="17"/>
        <v>0</v>
      </c>
      <c r="AF26" s="97">
        <f t="shared" si="18"/>
        <v>0</v>
      </c>
      <c r="AG26" s="97">
        <f t="shared" si="19"/>
        <v>0</v>
      </c>
      <c r="AH26" s="97">
        <f t="shared" si="20"/>
        <v>0</v>
      </c>
      <c r="AI26" s="97">
        <f t="shared" si="21"/>
        <v>0</v>
      </c>
      <c r="AJ26" s="97">
        <f t="shared" si="22"/>
        <v>0</v>
      </c>
      <c r="AK26" s="97">
        <f t="shared" si="23"/>
        <v>0</v>
      </c>
      <c r="AL26" s="97">
        <f t="shared" si="24"/>
        <v>0</v>
      </c>
      <c r="AM26" s="97">
        <f t="shared" si="25"/>
        <v>0</v>
      </c>
      <c r="AN26" s="36"/>
      <c r="AO26" s="97" t="str" cm="1">
        <f t="array" ref="AO26">IFERROR(
_xlfn.IFS(AND(AC26&gt;0,AC26&lt;($AP$3-$D26)),AC26*$AO$3,
AND(AC26&gt;0,AC26&gt;($AP$3-$D26)),($AP$3-$D26)*$AO$3),"")</f>
        <v/>
      </c>
      <c r="AP26" s="97" t="str" cm="1">
        <f t="array" ref="AP26">IFERROR(
_xlfn.IFS(AND(AD26&gt;0,AD26&lt;($AP$3-$D26)),AD26*$AO$3,
AND(AD26&gt;0,AD26&gt;($AP$3-$D26)),($AP$3-$D26)*$AO$3),"")</f>
        <v/>
      </c>
      <c r="AQ26" s="97" t="str" cm="1">
        <f t="array" ref="AQ26">IFERROR(
_xlfn.IFS(AND(AE26&gt;0,AE26&lt;($AP$3-$D26)),AE26*$AO$3,
AND(AE26&gt;0,AE26&gt;($AP$3-$D26)),($AP$3-$D26)*$AO$3),"")</f>
        <v/>
      </c>
      <c r="AR26" s="97" t="str" cm="1">
        <f t="array" ref="AR26">IFERROR(
_xlfn.IFS(AND(AF26&gt;0,AF26&lt;($AP$3-$D26)),AF26*$AO$3,
AND(AF26&gt;0,AF26&gt;($AP$3-$D26)),($AP$3-$D26)*$AO$3),"")</f>
        <v/>
      </c>
      <c r="AS26" s="97" t="str" cm="1">
        <f t="array" ref="AS26">IFERROR(
_xlfn.IFS(AND(AG26&gt;0,AG26&lt;($AP$3-$D26)),AG26*$AO$3,
AND(AG26&gt;0,AG26&gt;($AP$3-$D26)),($AP$3-$D26)*$AO$3),"")</f>
        <v/>
      </c>
      <c r="AT26" s="97" t="str" cm="1">
        <f t="array" ref="AT26">IFERROR(
_xlfn.IFS(AND(AH26&gt;0,AH26&lt;($AP$3-$D26)),AH26*$AO$3,
AND(AH26&gt;0,AH26&gt;($AP$3-$D26)),($AP$3-$D26)*$AO$3),"")</f>
        <v/>
      </c>
      <c r="AU26" s="97" t="str" cm="1">
        <f t="array" ref="AU26">IFERROR(
_xlfn.IFS(AND(AI26&gt;0,AI26&lt;($AP$3-$D26)),AI26*$AO$3,
AND(AI26&gt;0,AI26&gt;($AP$3-$D26)),($AP$3-$D26)*$AO$3),"")</f>
        <v/>
      </c>
      <c r="AV26" s="97" t="str" cm="1">
        <f t="array" ref="AV26">IFERROR(
_xlfn.IFS(AND(AJ26&gt;0,AJ26&lt;($AP$3-$D26)),AJ26*$AO$3,
AND(AJ26&gt;0,AJ26&gt;($AP$3-$D26)),($AP$3-$D26)*$AO$3),"")</f>
        <v/>
      </c>
      <c r="AW26" s="97" t="str" cm="1">
        <f t="array" ref="AW26">IFERROR(
_xlfn.IFS(AND(AK26&gt;0,AK26&lt;($AP$3-$D26)),AK26*$AO$3,
AND(AK26&gt;0,AK26&gt;($AP$3-$D26)),($AP$3-$D26)*$AO$3),"")</f>
        <v/>
      </c>
      <c r="AX26" s="97" t="str" cm="1">
        <f t="array" ref="AX26">IFERROR(
_xlfn.IFS(AND(AL26&gt;0,AL26&lt;($AP$3-$D26)),AL26*$AO$3,
AND(AL26&gt;0,AL26&gt;($AP$3-$D26)),($AP$3-$D26)*$AO$3),"")</f>
        <v/>
      </c>
      <c r="AY26" s="97" t="str" cm="1">
        <f t="array" ref="AY26">IFERROR(
_xlfn.IFS(AND(AM26&gt;0,AM26&lt;($AP$3-$D26)),AM26*$AO$3,
AND(AM26&gt;0,AM26&gt;($AP$3-$D26)),($AP$3-$D26)*$AO$3),"")</f>
        <v/>
      </c>
      <c r="AZ26" s="97">
        <f t="shared" si="26"/>
        <v>0</v>
      </c>
      <c r="BA26" s="93"/>
      <c r="BB26" s="92"/>
      <c r="BC26" s="97" t="str">
        <f t="shared" si="27"/>
        <v/>
      </c>
      <c r="BD26" s="97" t="str">
        <f t="shared" si="28"/>
        <v/>
      </c>
      <c r="BE26" s="97" t="str">
        <f t="shared" si="29"/>
        <v/>
      </c>
      <c r="BF26" s="97" t="str">
        <f t="shared" si="30"/>
        <v/>
      </c>
      <c r="BG26" s="97" t="str">
        <f t="shared" si="31"/>
        <v/>
      </c>
      <c r="BH26" s="97" t="str">
        <f t="shared" si="32"/>
        <v/>
      </c>
      <c r="BI26" s="97" t="str">
        <f t="shared" si="33"/>
        <v/>
      </c>
      <c r="BJ26" s="97" t="str">
        <f t="shared" si="34"/>
        <v/>
      </c>
      <c r="BK26" s="97" t="str">
        <f t="shared" si="35"/>
        <v/>
      </c>
      <c r="BL26" s="97" t="str">
        <f t="shared" si="36"/>
        <v/>
      </c>
      <c r="BM26" s="97" t="str">
        <f t="shared" si="37"/>
        <v/>
      </c>
      <c r="BN26" s="97">
        <f t="shared" si="38"/>
        <v>0</v>
      </c>
      <c r="BP26" s="92">
        <f t="shared" si="40"/>
        <v>0</v>
      </c>
      <c r="BR26" s="92">
        <f t="shared" si="39"/>
        <v>0</v>
      </c>
    </row>
    <row r="27" spans="2:70" x14ac:dyDescent="0.15">
      <c r="B27" s="95" t="str">
        <f>'MODU 2025'!B30</f>
        <v>MARZOUGUI Sabri</v>
      </c>
      <c r="C27" s="95" t="str">
        <f>'MODU 2025'!C30</f>
        <v>Production</v>
      </c>
      <c r="D27" s="95">
        <f>'MODU 2025'!D30</f>
        <v>37</v>
      </c>
      <c r="E27" s="95">
        <f>'MODU 2025'!G30</f>
        <v>33</v>
      </c>
      <c r="F27" s="95">
        <f>'MODU 2025'!H30</f>
        <v>41</v>
      </c>
      <c r="G27" s="95">
        <f>'MODU 2025'!I30</f>
        <v>41</v>
      </c>
      <c r="H27" s="95">
        <f>'MODU 2025'!J30</f>
        <v>33</v>
      </c>
      <c r="I27" s="95">
        <f>'MODU 2025'!K30</f>
        <v>41</v>
      </c>
      <c r="J27" s="95">
        <f>'MODU 2025'!L30</f>
        <v>33</v>
      </c>
      <c r="K27" s="95">
        <f>'MODU 2025'!M30</f>
        <v>41</v>
      </c>
      <c r="L27" s="95">
        <f>'MODU 2025'!N30</f>
        <v>33</v>
      </c>
      <c r="M27" s="95">
        <f>'MODU 2025'!O30</f>
        <v>41</v>
      </c>
      <c r="N27" s="95">
        <f>'MODU 2025'!P30</f>
        <v>33</v>
      </c>
      <c r="O27" s="95">
        <f>'MODU 2025'!Q30</f>
        <v>41</v>
      </c>
      <c r="P27" s="97"/>
      <c r="Q27" s="97">
        <f>IF(MOD(COLUMN(),2)=0,INDEX(paramètres!$C$4:$C$6,MATCH($C27,paramètres!$B$4:$B$6,0)),INDEX(paramètres!$D$4:$D$6,MATCH($C27,paramètres!$B$4:$B$6,0)))</f>
        <v>41</v>
      </c>
      <c r="R27" s="97">
        <f>IF(MOD(COLUMN(),2)=0,INDEX(paramètres!$C$4:$C$6,MATCH($C27,paramètres!$B$4:$B$6,0)),INDEX(paramètres!$D$4:$D$6,MATCH($C27,paramètres!$B$4:$B$6,0)))</f>
        <v>33</v>
      </c>
      <c r="S27" s="97">
        <f>IF(MOD(COLUMN(),2)=0,INDEX(paramètres!$C$4:$C$6,MATCH($C27,paramètres!$B$4:$B$6,0)),INDEX(paramètres!$D$4:$D$6,MATCH($C27,paramètres!$B$4:$B$6,0)))</f>
        <v>41</v>
      </c>
      <c r="T27" s="97">
        <f>IF(MOD(COLUMN(),2)=0,INDEX(paramètres!$C$4:$C$6,MATCH($C27,paramètres!$B$4:$B$6,0)),INDEX(paramètres!$D$4:$D$6,MATCH($C27,paramètres!$B$4:$B$6,0)))</f>
        <v>33</v>
      </c>
      <c r="U27" s="97">
        <f>IF(MOD(COLUMN(),2)=0,INDEX(paramètres!$C$4:$C$6,MATCH($C27,paramètres!$B$4:$B$6,0)),INDEX(paramètres!$D$4:$D$6,MATCH($C27,paramètres!$B$4:$B$6,0)))</f>
        <v>41</v>
      </c>
      <c r="V27" s="97">
        <f>IF(MOD(COLUMN(),2)=0,INDEX(paramètres!$C$4:$C$6,MATCH($C27,paramètres!$B$4:$B$6,0)),INDEX(paramètres!$D$4:$D$6,MATCH($C27,paramètres!$B$4:$B$6,0)))</f>
        <v>33</v>
      </c>
      <c r="W27" s="97">
        <f>IF(MOD(COLUMN(),2)=0,INDEX(paramètres!$C$4:$C$6,MATCH($C27,paramètres!$B$4:$B$6,0)),INDEX(paramètres!$D$4:$D$6,MATCH($C27,paramètres!$B$4:$B$6,0)))</f>
        <v>41</v>
      </c>
      <c r="X27" s="97">
        <f>IF(MOD(COLUMN(),2)=0,INDEX(paramètres!$C$4:$C$6,MATCH($C27,paramètres!$B$4:$B$6,0)),INDEX(paramètres!$D$4:$D$6,MATCH($C27,paramètres!$B$4:$B$6,0)))</f>
        <v>33</v>
      </c>
      <c r="Y27" s="97">
        <f>IF(MOD(COLUMN(),2)=0,INDEX(paramètres!$C$4:$C$6,MATCH($C27,paramètres!$B$4:$B$6,0)),INDEX(paramètres!$D$4:$D$6,MATCH($C27,paramètres!$B$4:$B$6,0)))</f>
        <v>41</v>
      </c>
      <c r="Z27" s="97">
        <f>IF(MOD(COLUMN(),2)=0,INDEX(paramètres!$C$4:$C$6,MATCH($C27,paramètres!$B$4:$B$6,0)),INDEX(paramètres!$D$4:$D$6,MATCH($C27,paramètres!$B$4:$B$6,0)))</f>
        <v>33</v>
      </c>
      <c r="AA27" s="97">
        <f>IF(MOD(COLUMN(),2)=0,INDEX(paramètres!$C$4:$C$6,MATCH($C27,paramètres!$B$4:$B$6,0)),INDEX(paramètres!$D$4:$D$6,MATCH($C27,paramètres!$B$4:$B$6,0)))</f>
        <v>41</v>
      </c>
      <c r="AB27" s="98"/>
      <c r="AC27" s="97">
        <f t="shared" si="15"/>
        <v>0</v>
      </c>
      <c r="AD27" s="97">
        <f t="shared" si="16"/>
        <v>8</v>
      </c>
      <c r="AE27" s="97">
        <f t="shared" si="17"/>
        <v>0</v>
      </c>
      <c r="AF27" s="97">
        <f t="shared" si="18"/>
        <v>0</v>
      </c>
      <c r="AG27" s="97">
        <f t="shared" si="19"/>
        <v>0</v>
      </c>
      <c r="AH27" s="97">
        <f t="shared" si="20"/>
        <v>0</v>
      </c>
      <c r="AI27" s="97">
        <f t="shared" si="21"/>
        <v>0</v>
      </c>
      <c r="AJ27" s="97">
        <f t="shared" si="22"/>
        <v>0</v>
      </c>
      <c r="AK27" s="97">
        <f t="shared" si="23"/>
        <v>0</v>
      </c>
      <c r="AL27" s="97">
        <f t="shared" si="24"/>
        <v>0</v>
      </c>
      <c r="AM27" s="97">
        <f t="shared" si="25"/>
        <v>0</v>
      </c>
      <c r="AN27" s="36"/>
      <c r="AO27" s="97" t="str" cm="1">
        <f t="array" ref="AO27">IFERROR(
_xlfn.IFS(AND(AC27&gt;0,AC27&lt;($AP$3-$D27)),AC27*$AO$3,
AND(AC27&gt;0,AC27&gt;($AP$3-$D27)),($AP$3-$D27)*$AO$3),"")</f>
        <v/>
      </c>
      <c r="AP27" s="97" cm="1">
        <f t="array" ref="AP27">IFERROR(
_xlfn.IFS(AND(AD27&gt;0,AD27&lt;($AP$3-$D27)),AD27*$AO$3,
AND(AD27&gt;0,AD27&gt;($AP$3-$D27)),($AP$3-$D27)*$AO$3),"")</f>
        <v>6.25</v>
      </c>
      <c r="AQ27" s="97" t="str" cm="1">
        <f t="array" ref="AQ27">IFERROR(
_xlfn.IFS(AND(AE27&gt;0,AE27&lt;($AP$3-$D27)),AE27*$AO$3,
AND(AE27&gt;0,AE27&gt;($AP$3-$D27)),($AP$3-$D27)*$AO$3),"")</f>
        <v/>
      </c>
      <c r="AR27" s="97" t="str" cm="1">
        <f t="array" ref="AR27">IFERROR(
_xlfn.IFS(AND(AF27&gt;0,AF27&lt;($AP$3-$D27)),AF27*$AO$3,
AND(AF27&gt;0,AF27&gt;($AP$3-$D27)),($AP$3-$D27)*$AO$3),"")</f>
        <v/>
      </c>
      <c r="AS27" s="97" t="str" cm="1">
        <f t="array" ref="AS27">IFERROR(
_xlfn.IFS(AND(AG27&gt;0,AG27&lt;($AP$3-$D27)),AG27*$AO$3,
AND(AG27&gt;0,AG27&gt;($AP$3-$D27)),($AP$3-$D27)*$AO$3),"")</f>
        <v/>
      </c>
      <c r="AT27" s="97" t="str" cm="1">
        <f t="array" ref="AT27">IFERROR(
_xlfn.IFS(AND(AH27&gt;0,AH27&lt;($AP$3-$D27)),AH27*$AO$3,
AND(AH27&gt;0,AH27&gt;($AP$3-$D27)),($AP$3-$D27)*$AO$3),"")</f>
        <v/>
      </c>
      <c r="AU27" s="97" t="str" cm="1">
        <f t="array" ref="AU27">IFERROR(
_xlfn.IFS(AND(AI27&gt;0,AI27&lt;($AP$3-$D27)),AI27*$AO$3,
AND(AI27&gt;0,AI27&gt;($AP$3-$D27)),($AP$3-$D27)*$AO$3),"")</f>
        <v/>
      </c>
      <c r="AV27" s="97" t="str" cm="1">
        <f t="array" ref="AV27">IFERROR(
_xlfn.IFS(AND(AJ27&gt;0,AJ27&lt;($AP$3-$D27)),AJ27*$AO$3,
AND(AJ27&gt;0,AJ27&gt;($AP$3-$D27)),($AP$3-$D27)*$AO$3),"")</f>
        <v/>
      </c>
      <c r="AW27" s="97" t="str" cm="1">
        <f t="array" ref="AW27">IFERROR(
_xlfn.IFS(AND(AK27&gt;0,AK27&lt;($AP$3-$D27)),AK27*$AO$3,
AND(AK27&gt;0,AK27&gt;($AP$3-$D27)),($AP$3-$D27)*$AO$3),"")</f>
        <v/>
      </c>
      <c r="AX27" s="97" t="str" cm="1">
        <f t="array" ref="AX27">IFERROR(
_xlfn.IFS(AND(AL27&gt;0,AL27&lt;($AP$3-$D27)),AL27*$AO$3,
AND(AL27&gt;0,AL27&gt;($AP$3-$D27)),($AP$3-$D27)*$AO$3),"")</f>
        <v/>
      </c>
      <c r="AY27" s="97" t="str" cm="1">
        <f t="array" ref="AY27">IFERROR(
_xlfn.IFS(AND(AM27&gt;0,AM27&lt;($AP$3-$D27)),AM27*$AO$3,
AND(AM27&gt;0,AM27&gt;($AP$3-$D27)),($AP$3-$D27)*$AO$3),"")</f>
        <v/>
      </c>
      <c r="AZ27" s="97">
        <f t="shared" si="26"/>
        <v>6.25</v>
      </c>
      <c r="BA27" s="93"/>
      <c r="BB27" s="92"/>
      <c r="BC27" s="97" t="str">
        <f t="shared" si="27"/>
        <v/>
      </c>
      <c r="BD27" s="97">
        <f t="shared" si="28"/>
        <v>4.5</v>
      </c>
      <c r="BE27" s="97" t="str">
        <f t="shared" si="29"/>
        <v/>
      </c>
      <c r="BF27" s="97" t="str">
        <f t="shared" si="30"/>
        <v/>
      </c>
      <c r="BG27" s="97" t="str">
        <f t="shared" si="31"/>
        <v/>
      </c>
      <c r="BH27" s="97" t="str">
        <f t="shared" si="32"/>
        <v/>
      </c>
      <c r="BI27" s="97" t="str">
        <f t="shared" si="33"/>
        <v/>
      </c>
      <c r="BJ27" s="97" t="str">
        <f t="shared" si="34"/>
        <v/>
      </c>
      <c r="BK27" s="97" t="str">
        <f t="shared" si="35"/>
        <v/>
      </c>
      <c r="BL27" s="97" t="str">
        <f t="shared" si="36"/>
        <v/>
      </c>
      <c r="BM27" s="97" t="str">
        <f t="shared" si="37"/>
        <v/>
      </c>
      <c r="BN27" s="97">
        <f t="shared" si="38"/>
        <v>4.5</v>
      </c>
      <c r="BP27" s="92">
        <f t="shared" si="40"/>
        <v>10.75</v>
      </c>
      <c r="BR27" s="92">
        <f t="shared" si="39"/>
        <v>10.75</v>
      </c>
    </row>
    <row r="28" spans="2:70" x14ac:dyDescent="0.15">
      <c r="B28" s="95" t="str">
        <f>'MODU 2025'!B31</f>
        <v>MERLE Benjamin</v>
      </c>
      <c r="C28" s="95" t="str">
        <f>'MODU 2025'!C31</f>
        <v>Production</v>
      </c>
      <c r="D28" s="95">
        <f>'MODU 2025'!D31</f>
        <v>37</v>
      </c>
      <c r="E28" s="95">
        <f>'MODU 2025'!G31</f>
        <v>41</v>
      </c>
      <c r="F28" s="95">
        <f>'MODU 2025'!H31</f>
        <v>33</v>
      </c>
      <c r="G28" s="95">
        <f>'MODU 2025'!I31</f>
        <v>41</v>
      </c>
      <c r="H28" s="95">
        <f>'MODU 2025'!J31</f>
        <v>33</v>
      </c>
      <c r="I28" s="95">
        <f>'MODU 2025'!K31</f>
        <v>41</v>
      </c>
      <c r="J28" s="95">
        <f>'MODU 2025'!L31</f>
        <v>33</v>
      </c>
      <c r="K28" s="95">
        <f>'MODU 2025'!M31</f>
        <v>41</v>
      </c>
      <c r="L28" s="95">
        <f>'MODU 2025'!N31</f>
        <v>33</v>
      </c>
      <c r="M28" s="95">
        <f>'MODU 2025'!O31</f>
        <v>41</v>
      </c>
      <c r="N28" s="95">
        <f>'MODU 2025'!P31</f>
        <v>33</v>
      </c>
      <c r="O28" s="95">
        <f>'MODU 2025'!Q31</f>
        <v>41</v>
      </c>
      <c r="P28" s="97"/>
      <c r="Q28" s="97">
        <f>IF(MOD(COLUMN(),2)=0,INDEX(paramètres!$C$4:$C$6,MATCH($C28,paramètres!$B$4:$B$6,0)),INDEX(paramètres!$D$4:$D$6,MATCH($C28,paramètres!$B$4:$B$6,0)))</f>
        <v>41</v>
      </c>
      <c r="R28" s="97">
        <f>IF(MOD(COLUMN(),2)=0,INDEX(paramètres!$C$4:$C$6,MATCH($C28,paramètres!$B$4:$B$6,0)),INDEX(paramètres!$D$4:$D$6,MATCH($C28,paramètres!$B$4:$B$6,0)))</f>
        <v>33</v>
      </c>
      <c r="S28" s="97">
        <f>IF(MOD(COLUMN(),2)=0,INDEX(paramètres!$C$4:$C$6,MATCH($C28,paramètres!$B$4:$B$6,0)),INDEX(paramètres!$D$4:$D$6,MATCH($C28,paramètres!$B$4:$B$6,0)))</f>
        <v>41</v>
      </c>
      <c r="T28" s="97">
        <f>IF(MOD(COLUMN(),2)=0,INDEX(paramètres!$C$4:$C$6,MATCH($C28,paramètres!$B$4:$B$6,0)),INDEX(paramètres!$D$4:$D$6,MATCH($C28,paramètres!$B$4:$B$6,0)))</f>
        <v>33</v>
      </c>
      <c r="U28" s="97">
        <f>IF(MOD(COLUMN(),2)=0,INDEX(paramètres!$C$4:$C$6,MATCH($C28,paramètres!$B$4:$B$6,0)),INDEX(paramètres!$D$4:$D$6,MATCH($C28,paramètres!$B$4:$B$6,0)))</f>
        <v>41</v>
      </c>
      <c r="V28" s="97">
        <f>IF(MOD(COLUMN(),2)=0,INDEX(paramètres!$C$4:$C$6,MATCH($C28,paramètres!$B$4:$B$6,0)),INDEX(paramètres!$D$4:$D$6,MATCH($C28,paramètres!$B$4:$B$6,0)))</f>
        <v>33</v>
      </c>
      <c r="W28" s="97">
        <f>IF(MOD(COLUMN(),2)=0,INDEX(paramètres!$C$4:$C$6,MATCH($C28,paramètres!$B$4:$B$6,0)),INDEX(paramètres!$D$4:$D$6,MATCH($C28,paramètres!$B$4:$B$6,0)))</f>
        <v>41</v>
      </c>
      <c r="X28" s="97">
        <f>IF(MOD(COLUMN(),2)=0,INDEX(paramètres!$C$4:$C$6,MATCH($C28,paramètres!$B$4:$B$6,0)),INDEX(paramètres!$D$4:$D$6,MATCH($C28,paramètres!$B$4:$B$6,0)))</f>
        <v>33</v>
      </c>
      <c r="Y28" s="97">
        <f>IF(MOD(COLUMN(),2)=0,INDEX(paramètres!$C$4:$C$6,MATCH($C28,paramètres!$B$4:$B$6,0)),INDEX(paramètres!$D$4:$D$6,MATCH($C28,paramètres!$B$4:$B$6,0)))</f>
        <v>41</v>
      </c>
      <c r="Z28" s="97">
        <f>IF(MOD(COLUMN(),2)=0,INDEX(paramètres!$C$4:$C$6,MATCH($C28,paramètres!$B$4:$B$6,0)),INDEX(paramètres!$D$4:$D$6,MATCH($C28,paramètres!$B$4:$B$6,0)))</f>
        <v>33</v>
      </c>
      <c r="AA28" s="97">
        <f>IF(MOD(COLUMN(),2)=0,INDEX(paramètres!$C$4:$C$6,MATCH($C28,paramètres!$B$4:$B$6,0)),INDEX(paramètres!$D$4:$D$6,MATCH($C28,paramètres!$B$4:$B$6,0)))</f>
        <v>41</v>
      </c>
      <c r="AB28" s="98"/>
      <c r="AC28" s="97">
        <f t="shared" si="15"/>
        <v>0</v>
      </c>
      <c r="AD28" s="97">
        <f t="shared" si="16"/>
        <v>0</v>
      </c>
      <c r="AE28" s="97">
        <f t="shared" si="17"/>
        <v>0</v>
      </c>
      <c r="AF28" s="97">
        <f t="shared" si="18"/>
        <v>0</v>
      </c>
      <c r="AG28" s="97">
        <f t="shared" si="19"/>
        <v>0</v>
      </c>
      <c r="AH28" s="97">
        <f t="shared" si="20"/>
        <v>0</v>
      </c>
      <c r="AI28" s="97">
        <f t="shared" si="21"/>
        <v>0</v>
      </c>
      <c r="AJ28" s="97">
        <f t="shared" si="22"/>
        <v>0</v>
      </c>
      <c r="AK28" s="97">
        <f t="shared" si="23"/>
        <v>0</v>
      </c>
      <c r="AL28" s="97">
        <f t="shared" si="24"/>
        <v>0</v>
      </c>
      <c r="AM28" s="97">
        <f t="shared" si="25"/>
        <v>0</v>
      </c>
      <c r="AN28" s="36"/>
      <c r="AO28" s="97" t="str" cm="1">
        <f t="array" ref="AO28">IFERROR(
_xlfn.IFS(AND(AC28&gt;0,AC28&lt;($AP$3-$D28)),AC28*$AO$3,
AND(AC28&gt;0,AC28&gt;($AP$3-$D28)),($AP$3-$D28)*$AO$3),"")</f>
        <v/>
      </c>
      <c r="AP28" s="97" t="str" cm="1">
        <f t="array" ref="AP28">IFERROR(
_xlfn.IFS(AND(AD28&gt;0,AD28&lt;($AP$3-$D28)),AD28*$AO$3,
AND(AD28&gt;0,AD28&gt;($AP$3-$D28)),($AP$3-$D28)*$AO$3),"")</f>
        <v/>
      </c>
      <c r="AQ28" s="97" t="str" cm="1">
        <f t="array" ref="AQ28">IFERROR(
_xlfn.IFS(AND(AE28&gt;0,AE28&lt;($AP$3-$D28)),AE28*$AO$3,
AND(AE28&gt;0,AE28&gt;($AP$3-$D28)),($AP$3-$D28)*$AO$3),"")</f>
        <v/>
      </c>
      <c r="AR28" s="97" t="str" cm="1">
        <f t="array" ref="AR28">IFERROR(
_xlfn.IFS(AND(AF28&gt;0,AF28&lt;($AP$3-$D28)),AF28*$AO$3,
AND(AF28&gt;0,AF28&gt;($AP$3-$D28)),($AP$3-$D28)*$AO$3),"")</f>
        <v/>
      </c>
      <c r="AS28" s="97" t="str" cm="1">
        <f t="array" ref="AS28">IFERROR(
_xlfn.IFS(AND(AG28&gt;0,AG28&lt;($AP$3-$D28)),AG28*$AO$3,
AND(AG28&gt;0,AG28&gt;($AP$3-$D28)),($AP$3-$D28)*$AO$3),"")</f>
        <v/>
      </c>
      <c r="AT28" s="97" t="str" cm="1">
        <f t="array" ref="AT28">IFERROR(
_xlfn.IFS(AND(AH28&gt;0,AH28&lt;($AP$3-$D28)),AH28*$AO$3,
AND(AH28&gt;0,AH28&gt;($AP$3-$D28)),($AP$3-$D28)*$AO$3),"")</f>
        <v/>
      </c>
      <c r="AU28" s="97" t="str" cm="1">
        <f t="array" ref="AU28">IFERROR(
_xlfn.IFS(AND(AI28&gt;0,AI28&lt;($AP$3-$D28)),AI28*$AO$3,
AND(AI28&gt;0,AI28&gt;($AP$3-$D28)),($AP$3-$D28)*$AO$3),"")</f>
        <v/>
      </c>
      <c r="AV28" s="97" t="str" cm="1">
        <f t="array" ref="AV28">IFERROR(
_xlfn.IFS(AND(AJ28&gt;0,AJ28&lt;($AP$3-$D28)),AJ28*$AO$3,
AND(AJ28&gt;0,AJ28&gt;($AP$3-$D28)),($AP$3-$D28)*$AO$3),"")</f>
        <v/>
      </c>
      <c r="AW28" s="97" t="str" cm="1">
        <f t="array" ref="AW28">IFERROR(
_xlfn.IFS(AND(AK28&gt;0,AK28&lt;($AP$3-$D28)),AK28*$AO$3,
AND(AK28&gt;0,AK28&gt;($AP$3-$D28)),($AP$3-$D28)*$AO$3),"")</f>
        <v/>
      </c>
      <c r="AX28" s="97" t="str" cm="1">
        <f t="array" ref="AX28">IFERROR(
_xlfn.IFS(AND(AL28&gt;0,AL28&lt;($AP$3-$D28)),AL28*$AO$3,
AND(AL28&gt;0,AL28&gt;($AP$3-$D28)),($AP$3-$D28)*$AO$3),"")</f>
        <v/>
      </c>
      <c r="AY28" s="97" t="str" cm="1">
        <f t="array" ref="AY28">IFERROR(
_xlfn.IFS(AND(AM28&gt;0,AM28&lt;($AP$3-$D28)),AM28*$AO$3,
AND(AM28&gt;0,AM28&gt;($AP$3-$D28)),($AP$3-$D28)*$AO$3),"")</f>
        <v/>
      </c>
      <c r="AZ28" s="97">
        <f t="shared" si="26"/>
        <v>0</v>
      </c>
      <c r="BA28" s="93"/>
      <c r="BB28" s="92"/>
      <c r="BC28" s="97" t="str">
        <f t="shared" si="27"/>
        <v/>
      </c>
      <c r="BD28" s="97" t="str">
        <f t="shared" si="28"/>
        <v/>
      </c>
      <c r="BE28" s="97" t="str">
        <f t="shared" si="29"/>
        <v/>
      </c>
      <c r="BF28" s="97" t="str">
        <f t="shared" si="30"/>
        <v/>
      </c>
      <c r="BG28" s="97" t="str">
        <f t="shared" si="31"/>
        <v/>
      </c>
      <c r="BH28" s="97" t="str">
        <f t="shared" si="32"/>
        <v/>
      </c>
      <c r="BI28" s="97" t="str">
        <f t="shared" si="33"/>
        <v/>
      </c>
      <c r="BJ28" s="97" t="str">
        <f t="shared" si="34"/>
        <v/>
      </c>
      <c r="BK28" s="97" t="str">
        <f t="shared" si="35"/>
        <v/>
      </c>
      <c r="BL28" s="97" t="str">
        <f t="shared" si="36"/>
        <v/>
      </c>
      <c r="BM28" s="97" t="str">
        <f t="shared" si="37"/>
        <v/>
      </c>
      <c r="BN28" s="97">
        <f t="shared" si="38"/>
        <v>0</v>
      </c>
      <c r="BP28" s="92">
        <f t="shared" si="40"/>
        <v>0</v>
      </c>
      <c r="BR28" s="92">
        <f t="shared" si="39"/>
        <v>0</v>
      </c>
    </row>
    <row r="29" spans="2:70" x14ac:dyDescent="0.15">
      <c r="B29" s="95" t="str">
        <f>'MODU 2025'!B32</f>
        <v>MONIN Margaux</v>
      </c>
      <c r="C29" s="95" t="str">
        <f>'MODU 2025'!C32</f>
        <v>Production</v>
      </c>
      <c r="D29" s="95">
        <f>'MODU 2025'!D32</f>
        <v>37</v>
      </c>
      <c r="E29" s="95">
        <f>'MODU 2025'!G32</f>
        <v>41</v>
      </c>
      <c r="F29" s="95">
        <f>'MODU 2025'!H32</f>
        <v>33</v>
      </c>
      <c r="G29" s="95">
        <f>'MODU 2025'!I32</f>
        <v>41</v>
      </c>
      <c r="H29" s="95">
        <f>'MODU 2025'!J32</f>
        <v>33</v>
      </c>
      <c r="I29" s="95">
        <f>'MODU 2025'!K32</f>
        <v>41</v>
      </c>
      <c r="J29" s="95">
        <f>'MODU 2025'!L32</f>
        <v>33</v>
      </c>
      <c r="K29" s="95">
        <f>'MODU 2025'!M32</f>
        <v>41</v>
      </c>
      <c r="L29" s="95">
        <f>'MODU 2025'!N32</f>
        <v>33</v>
      </c>
      <c r="M29" s="95">
        <f>'MODU 2025'!O32</f>
        <v>41</v>
      </c>
      <c r="N29" s="95">
        <f>'MODU 2025'!P32</f>
        <v>33</v>
      </c>
      <c r="O29" s="95">
        <f>'MODU 2025'!Q32</f>
        <v>41</v>
      </c>
      <c r="P29" s="97"/>
      <c r="Q29" s="97">
        <f>IF(MOD(COLUMN(),2)=0,INDEX(paramètres!$C$4:$C$6,MATCH($C29,paramètres!$B$4:$B$6,0)),INDEX(paramètres!$D$4:$D$6,MATCH($C29,paramètres!$B$4:$B$6,0)))</f>
        <v>41</v>
      </c>
      <c r="R29" s="97">
        <f>IF(MOD(COLUMN(),2)=0,INDEX(paramètres!$C$4:$C$6,MATCH($C29,paramètres!$B$4:$B$6,0)),INDEX(paramètres!$D$4:$D$6,MATCH($C29,paramètres!$B$4:$B$6,0)))</f>
        <v>33</v>
      </c>
      <c r="S29" s="97">
        <f>IF(MOD(COLUMN(),2)=0,INDEX(paramètres!$C$4:$C$6,MATCH($C29,paramètres!$B$4:$B$6,0)),INDEX(paramètres!$D$4:$D$6,MATCH($C29,paramètres!$B$4:$B$6,0)))</f>
        <v>41</v>
      </c>
      <c r="T29" s="97">
        <f>IF(MOD(COLUMN(),2)=0,INDEX(paramètres!$C$4:$C$6,MATCH($C29,paramètres!$B$4:$B$6,0)),INDEX(paramètres!$D$4:$D$6,MATCH($C29,paramètres!$B$4:$B$6,0)))</f>
        <v>33</v>
      </c>
      <c r="U29" s="97">
        <f>IF(MOD(COLUMN(),2)=0,INDEX(paramètres!$C$4:$C$6,MATCH($C29,paramètres!$B$4:$B$6,0)),INDEX(paramètres!$D$4:$D$6,MATCH($C29,paramètres!$B$4:$B$6,0)))</f>
        <v>41</v>
      </c>
      <c r="V29" s="97">
        <f>IF(MOD(COLUMN(),2)=0,INDEX(paramètres!$C$4:$C$6,MATCH($C29,paramètres!$B$4:$B$6,0)),INDEX(paramètres!$D$4:$D$6,MATCH($C29,paramètres!$B$4:$B$6,0)))</f>
        <v>33</v>
      </c>
      <c r="W29" s="97">
        <f>IF(MOD(COLUMN(),2)=0,INDEX(paramètres!$C$4:$C$6,MATCH($C29,paramètres!$B$4:$B$6,0)),INDEX(paramètres!$D$4:$D$6,MATCH($C29,paramètres!$B$4:$B$6,0)))</f>
        <v>41</v>
      </c>
      <c r="X29" s="97">
        <f>IF(MOD(COLUMN(),2)=0,INDEX(paramètres!$C$4:$C$6,MATCH($C29,paramètres!$B$4:$B$6,0)),INDEX(paramètres!$D$4:$D$6,MATCH($C29,paramètres!$B$4:$B$6,0)))</f>
        <v>33</v>
      </c>
      <c r="Y29" s="97">
        <f>IF(MOD(COLUMN(),2)=0,INDEX(paramètres!$C$4:$C$6,MATCH($C29,paramètres!$B$4:$B$6,0)),INDEX(paramètres!$D$4:$D$6,MATCH($C29,paramètres!$B$4:$B$6,0)))</f>
        <v>41</v>
      </c>
      <c r="Z29" s="97">
        <f>IF(MOD(COLUMN(),2)=0,INDEX(paramètres!$C$4:$C$6,MATCH($C29,paramètres!$B$4:$B$6,0)),INDEX(paramètres!$D$4:$D$6,MATCH($C29,paramètres!$B$4:$B$6,0)))</f>
        <v>33</v>
      </c>
      <c r="AA29" s="97">
        <f>IF(MOD(COLUMN(),2)=0,INDEX(paramètres!$C$4:$C$6,MATCH($C29,paramètres!$B$4:$B$6,0)),INDEX(paramètres!$D$4:$D$6,MATCH($C29,paramètres!$B$4:$B$6,0)))</f>
        <v>41</v>
      </c>
      <c r="AB29" s="98"/>
      <c r="AC29" s="97">
        <f t="shared" si="15"/>
        <v>0</v>
      </c>
      <c r="AD29" s="97">
        <f t="shared" si="16"/>
        <v>0</v>
      </c>
      <c r="AE29" s="97">
        <f t="shared" si="17"/>
        <v>0</v>
      </c>
      <c r="AF29" s="97">
        <f t="shared" si="18"/>
        <v>0</v>
      </c>
      <c r="AG29" s="97">
        <f t="shared" si="19"/>
        <v>0</v>
      </c>
      <c r="AH29" s="97">
        <f t="shared" si="20"/>
        <v>0</v>
      </c>
      <c r="AI29" s="97">
        <f t="shared" si="21"/>
        <v>0</v>
      </c>
      <c r="AJ29" s="97">
        <f t="shared" si="22"/>
        <v>0</v>
      </c>
      <c r="AK29" s="97">
        <f t="shared" si="23"/>
        <v>0</v>
      </c>
      <c r="AL29" s="97">
        <f t="shared" si="24"/>
        <v>0</v>
      </c>
      <c r="AM29" s="97">
        <f t="shared" si="25"/>
        <v>0</v>
      </c>
      <c r="AN29" s="36"/>
      <c r="AO29" s="97" t="str" cm="1">
        <f t="array" ref="AO29">IFERROR(
_xlfn.IFS(AND(AC29&gt;0,AC29&lt;($AP$3-$D29)),AC29*$AO$3,
AND(AC29&gt;0,AC29&gt;($AP$3-$D29)),($AP$3-$D29)*$AO$3),"")</f>
        <v/>
      </c>
      <c r="AP29" s="97" t="str" cm="1">
        <f t="array" ref="AP29">IFERROR(
_xlfn.IFS(AND(AD29&gt;0,AD29&lt;($AP$3-$D29)),AD29*$AO$3,
AND(AD29&gt;0,AD29&gt;($AP$3-$D29)),($AP$3-$D29)*$AO$3),"")</f>
        <v/>
      </c>
      <c r="AQ29" s="97" t="str" cm="1">
        <f t="array" ref="AQ29">IFERROR(
_xlfn.IFS(AND(AE29&gt;0,AE29&lt;($AP$3-$D29)),AE29*$AO$3,
AND(AE29&gt;0,AE29&gt;($AP$3-$D29)),($AP$3-$D29)*$AO$3),"")</f>
        <v/>
      </c>
      <c r="AR29" s="97" t="str" cm="1">
        <f t="array" ref="AR29">IFERROR(
_xlfn.IFS(AND(AF29&gt;0,AF29&lt;($AP$3-$D29)),AF29*$AO$3,
AND(AF29&gt;0,AF29&gt;($AP$3-$D29)),($AP$3-$D29)*$AO$3),"")</f>
        <v/>
      </c>
      <c r="AS29" s="97" t="str" cm="1">
        <f t="array" ref="AS29">IFERROR(
_xlfn.IFS(AND(AG29&gt;0,AG29&lt;($AP$3-$D29)),AG29*$AO$3,
AND(AG29&gt;0,AG29&gt;($AP$3-$D29)),($AP$3-$D29)*$AO$3),"")</f>
        <v/>
      </c>
      <c r="AT29" s="97" t="str" cm="1">
        <f t="array" ref="AT29">IFERROR(
_xlfn.IFS(AND(AH29&gt;0,AH29&lt;($AP$3-$D29)),AH29*$AO$3,
AND(AH29&gt;0,AH29&gt;($AP$3-$D29)),($AP$3-$D29)*$AO$3),"")</f>
        <v/>
      </c>
      <c r="AU29" s="97" t="str" cm="1">
        <f t="array" ref="AU29">IFERROR(
_xlfn.IFS(AND(AI29&gt;0,AI29&lt;($AP$3-$D29)),AI29*$AO$3,
AND(AI29&gt;0,AI29&gt;($AP$3-$D29)),($AP$3-$D29)*$AO$3),"")</f>
        <v/>
      </c>
      <c r="AV29" s="97" t="str" cm="1">
        <f t="array" ref="AV29">IFERROR(
_xlfn.IFS(AND(AJ29&gt;0,AJ29&lt;($AP$3-$D29)),AJ29*$AO$3,
AND(AJ29&gt;0,AJ29&gt;($AP$3-$D29)),($AP$3-$D29)*$AO$3),"")</f>
        <v/>
      </c>
      <c r="AW29" s="97" t="str" cm="1">
        <f t="array" ref="AW29">IFERROR(
_xlfn.IFS(AND(AK29&gt;0,AK29&lt;($AP$3-$D29)),AK29*$AO$3,
AND(AK29&gt;0,AK29&gt;($AP$3-$D29)),($AP$3-$D29)*$AO$3),"")</f>
        <v/>
      </c>
      <c r="AX29" s="97" t="str" cm="1">
        <f t="array" ref="AX29">IFERROR(
_xlfn.IFS(AND(AL29&gt;0,AL29&lt;($AP$3-$D29)),AL29*$AO$3,
AND(AL29&gt;0,AL29&gt;($AP$3-$D29)),($AP$3-$D29)*$AO$3),"")</f>
        <v/>
      </c>
      <c r="AY29" s="97" t="str" cm="1">
        <f t="array" ref="AY29">IFERROR(
_xlfn.IFS(AND(AM29&gt;0,AM29&lt;($AP$3-$D29)),AM29*$AO$3,
AND(AM29&gt;0,AM29&gt;($AP$3-$D29)),($AP$3-$D29)*$AO$3),"")</f>
        <v/>
      </c>
      <c r="AZ29" s="97">
        <f t="shared" si="26"/>
        <v>0</v>
      </c>
      <c r="BA29" s="93"/>
      <c r="BB29" s="92"/>
      <c r="BC29" s="97" t="str">
        <f t="shared" si="27"/>
        <v/>
      </c>
      <c r="BD29" s="97" t="str">
        <f t="shared" si="28"/>
        <v/>
      </c>
      <c r="BE29" s="97" t="str">
        <f t="shared" si="29"/>
        <v/>
      </c>
      <c r="BF29" s="97" t="str">
        <f t="shared" si="30"/>
        <v/>
      </c>
      <c r="BG29" s="97" t="str">
        <f t="shared" si="31"/>
        <v/>
      </c>
      <c r="BH29" s="97" t="str">
        <f t="shared" si="32"/>
        <v/>
      </c>
      <c r="BI29" s="97" t="str">
        <f t="shared" si="33"/>
        <v/>
      </c>
      <c r="BJ29" s="97" t="str">
        <f t="shared" si="34"/>
        <v/>
      </c>
      <c r="BK29" s="97" t="str">
        <f t="shared" si="35"/>
        <v/>
      </c>
      <c r="BL29" s="97" t="str">
        <f t="shared" si="36"/>
        <v/>
      </c>
      <c r="BM29" s="97" t="str">
        <f t="shared" si="37"/>
        <v/>
      </c>
      <c r="BN29" s="97">
        <f t="shared" si="38"/>
        <v>0</v>
      </c>
      <c r="BP29" s="92">
        <f t="shared" si="40"/>
        <v>0</v>
      </c>
      <c r="BR29" s="92">
        <f t="shared" si="39"/>
        <v>0</v>
      </c>
    </row>
    <row r="30" spans="2:70" x14ac:dyDescent="0.15">
      <c r="B30" s="95" t="str">
        <f>'MODU 2025'!B33</f>
        <v>OUDAN Manon</v>
      </c>
      <c r="C30" s="95" t="str">
        <f>'MODU 2025'!C33</f>
        <v>Production</v>
      </c>
      <c r="D30" s="95">
        <f>'MODU 2025'!D33</f>
        <v>37</v>
      </c>
      <c r="E30" s="95">
        <f>'MODU 2025'!G33</f>
        <v>41</v>
      </c>
      <c r="F30" s="95">
        <f>'MODU 2025'!H33</f>
        <v>33</v>
      </c>
      <c r="G30" s="95">
        <f>'MODU 2025'!I33</f>
        <v>41</v>
      </c>
      <c r="H30" s="95">
        <f>'MODU 2025'!J33</f>
        <v>33</v>
      </c>
      <c r="I30" s="95">
        <f>'MODU 2025'!K33</f>
        <v>41</v>
      </c>
      <c r="J30" s="95">
        <f>'MODU 2025'!L33</f>
        <v>33</v>
      </c>
      <c r="K30" s="95">
        <f>'MODU 2025'!M33</f>
        <v>41</v>
      </c>
      <c r="L30" s="95">
        <f>'MODU 2025'!N33</f>
        <v>33</v>
      </c>
      <c r="M30" s="95">
        <f>'MODU 2025'!O33</f>
        <v>41</v>
      </c>
      <c r="N30" s="95">
        <f>'MODU 2025'!P33</f>
        <v>33</v>
      </c>
      <c r="O30" s="95">
        <f>'MODU 2025'!Q33</f>
        <v>41</v>
      </c>
      <c r="P30" s="97"/>
      <c r="Q30" s="97">
        <f>IF(MOD(COLUMN(),2)=0,INDEX(paramètres!$C$4:$C$6,MATCH($C30,paramètres!$B$4:$B$6,0)),INDEX(paramètres!$D$4:$D$6,MATCH($C30,paramètres!$B$4:$B$6,0)))</f>
        <v>41</v>
      </c>
      <c r="R30" s="97">
        <f>IF(MOD(COLUMN(),2)=0,INDEX(paramètres!$C$4:$C$6,MATCH($C30,paramètres!$B$4:$B$6,0)),INDEX(paramètres!$D$4:$D$6,MATCH($C30,paramètres!$B$4:$B$6,0)))</f>
        <v>33</v>
      </c>
      <c r="S30" s="97">
        <f>IF(MOD(COLUMN(),2)=0,INDEX(paramètres!$C$4:$C$6,MATCH($C30,paramètres!$B$4:$B$6,0)),INDEX(paramètres!$D$4:$D$6,MATCH($C30,paramètres!$B$4:$B$6,0)))</f>
        <v>41</v>
      </c>
      <c r="T30" s="97">
        <f>IF(MOD(COLUMN(),2)=0,INDEX(paramètres!$C$4:$C$6,MATCH($C30,paramètres!$B$4:$B$6,0)),INDEX(paramètres!$D$4:$D$6,MATCH($C30,paramètres!$B$4:$B$6,0)))</f>
        <v>33</v>
      </c>
      <c r="U30" s="97">
        <f>IF(MOD(COLUMN(),2)=0,INDEX(paramètres!$C$4:$C$6,MATCH($C30,paramètres!$B$4:$B$6,0)),INDEX(paramètres!$D$4:$D$6,MATCH($C30,paramètres!$B$4:$B$6,0)))</f>
        <v>41</v>
      </c>
      <c r="V30" s="97">
        <f>IF(MOD(COLUMN(),2)=0,INDEX(paramètres!$C$4:$C$6,MATCH($C30,paramètres!$B$4:$B$6,0)),INDEX(paramètres!$D$4:$D$6,MATCH($C30,paramètres!$B$4:$B$6,0)))</f>
        <v>33</v>
      </c>
      <c r="W30" s="97">
        <f>IF(MOD(COLUMN(),2)=0,INDEX(paramètres!$C$4:$C$6,MATCH($C30,paramètres!$B$4:$B$6,0)),INDEX(paramètres!$D$4:$D$6,MATCH($C30,paramètres!$B$4:$B$6,0)))</f>
        <v>41</v>
      </c>
      <c r="X30" s="97">
        <f>IF(MOD(COLUMN(),2)=0,INDEX(paramètres!$C$4:$C$6,MATCH($C30,paramètres!$B$4:$B$6,0)),INDEX(paramètres!$D$4:$D$6,MATCH($C30,paramètres!$B$4:$B$6,0)))</f>
        <v>33</v>
      </c>
      <c r="Y30" s="97">
        <f>IF(MOD(COLUMN(),2)=0,INDEX(paramètres!$C$4:$C$6,MATCH($C30,paramètres!$B$4:$B$6,0)),INDEX(paramètres!$D$4:$D$6,MATCH($C30,paramètres!$B$4:$B$6,0)))</f>
        <v>41</v>
      </c>
      <c r="Z30" s="97">
        <f>IF(MOD(COLUMN(),2)=0,INDEX(paramètres!$C$4:$C$6,MATCH($C30,paramètres!$B$4:$B$6,0)),INDEX(paramètres!$D$4:$D$6,MATCH($C30,paramètres!$B$4:$B$6,0)))</f>
        <v>33</v>
      </c>
      <c r="AA30" s="97">
        <f>IF(MOD(COLUMN(),2)=0,INDEX(paramètres!$C$4:$C$6,MATCH($C30,paramètres!$B$4:$B$6,0)),INDEX(paramètres!$D$4:$D$6,MATCH($C30,paramètres!$B$4:$B$6,0)))</f>
        <v>41</v>
      </c>
      <c r="AB30" s="98"/>
      <c r="AC30" s="97">
        <f t="shared" si="15"/>
        <v>0</v>
      </c>
      <c r="AD30" s="97">
        <f t="shared" si="16"/>
        <v>0</v>
      </c>
      <c r="AE30" s="97">
        <f t="shared" si="17"/>
        <v>0</v>
      </c>
      <c r="AF30" s="97">
        <f t="shared" si="18"/>
        <v>0</v>
      </c>
      <c r="AG30" s="97">
        <f t="shared" si="19"/>
        <v>0</v>
      </c>
      <c r="AH30" s="97">
        <f t="shared" si="20"/>
        <v>0</v>
      </c>
      <c r="AI30" s="97">
        <f t="shared" si="21"/>
        <v>0</v>
      </c>
      <c r="AJ30" s="97">
        <f t="shared" si="22"/>
        <v>0</v>
      </c>
      <c r="AK30" s="97">
        <f t="shared" si="23"/>
        <v>0</v>
      </c>
      <c r="AL30" s="97">
        <f t="shared" si="24"/>
        <v>0</v>
      </c>
      <c r="AM30" s="97">
        <f t="shared" si="25"/>
        <v>0</v>
      </c>
      <c r="AN30" s="36"/>
      <c r="AO30" s="97" t="str" cm="1">
        <f t="array" ref="AO30">IFERROR(
_xlfn.IFS(AND(AC30&gt;0,AC30&lt;($AP$3-$D30)),AC30*$AO$3,
AND(AC30&gt;0,AC30&gt;($AP$3-$D30)),($AP$3-$D30)*$AO$3),"")</f>
        <v/>
      </c>
      <c r="AP30" s="97" t="str" cm="1">
        <f t="array" ref="AP30">IFERROR(
_xlfn.IFS(AND(AD30&gt;0,AD30&lt;($AP$3-$D30)),AD30*$AO$3,
AND(AD30&gt;0,AD30&gt;($AP$3-$D30)),($AP$3-$D30)*$AO$3),"")</f>
        <v/>
      </c>
      <c r="AQ30" s="97" t="str" cm="1">
        <f t="array" ref="AQ30">IFERROR(
_xlfn.IFS(AND(AE30&gt;0,AE30&lt;($AP$3-$D30)),AE30*$AO$3,
AND(AE30&gt;0,AE30&gt;($AP$3-$D30)),($AP$3-$D30)*$AO$3),"")</f>
        <v/>
      </c>
      <c r="AR30" s="97" t="str" cm="1">
        <f t="array" ref="AR30">IFERROR(
_xlfn.IFS(AND(AF30&gt;0,AF30&lt;($AP$3-$D30)),AF30*$AO$3,
AND(AF30&gt;0,AF30&gt;($AP$3-$D30)),($AP$3-$D30)*$AO$3),"")</f>
        <v/>
      </c>
      <c r="AS30" s="97" t="str" cm="1">
        <f t="array" ref="AS30">IFERROR(
_xlfn.IFS(AND(AG30&gt;0,AG30&lt;($AP$3-$D30)),AG30*$AO$3,
AND(AG30&gt;0,AG30&gt;($AP$3-$D30)),($AP$3-$D30)*$AO$3),"")</f>
        <v/>
      </c>
      <c r="AT30" s="97" t="str" cm="1">
        <f t="array" ref="AT30">IFERROR(
_xlfn.IFS(AND(AH30&gt;0,AH30&lt;($AP$3-$D30)),AH30*$AO$3,
AND(AH30&gt;0,AH30&gt;($AP$3-$D30)),($AP$3-$D30)*$AO$3),"")</f>
        <v/>
      </c>
      <c r="AU30" s="97" t="str" cm="1">
        <f t="array" ref="AU30">IFERROR(
_xlfn.IFS(AND(AI30&gt;0,AI30&lt;($AP$3-$D30)),AI30*$AO$3,
AND(AI30&gt;0,AI30&gt;($AP$3-$D30)),($AP$3-$D30)*$AO$3),"")</f>
        <v/>
      </c>
      <c r="AV30" s="97" t="str" cm="1">
        <f t="array" ref="AV30">IFERROR(
_xlfn.IFS(AND(AJ30&gt;0,AJ30&lt;($AP$3-$D30)),AJ30*$AO$3,
AND(AJ30&gt;0,AJ30&gt;($AP$3-$D30)),($AP$3-$D30)*$AO$3),"")</f>
        <v/>
      </c>
      <c r="AW30" s="97" t="str" cm="1">
        <f t="array" ref="AW30">IFERROR(
_xlfn.IFS(AND(AK30&gt;0,AK30&lt;($AP$3-$D30)),AK30*$AO$3,
AND(AK30&gt;0,AK30&gt;($AP$3-$D30)),($AP$3-$D30)*$AO$3),"")</f>
        <v/>
      </c>
      <c r="AX30" s="97" t="str" cm="1">
        <f t="array" ref="AX30">IFERROR(
_xlfn.IFS(AND(AL30&gt;0,AL30&lt;($AP$3-$D30)),AL30*$AO$3,
AND(AL30&gt;0,AL30&gt;($AP$3-$D30)),($AP$3-$D30)*$AO$3),"")</f>
        <v/>
      </c>
      <c r="AY30" s="97" t="str" cm="1">
        <f t="array" ref="AY30">IFERROR(
_xlfn.IFS(AND(AM30&gt;0,AM30&lt;($AP$3-$D30)),AM30*$AO$3,
AND(AM30&gt;0,AM30&gt;($AP$3-$D30)),($AP$3-$D30)*$AO$3),"")</f>
        <v/>
      </c>
      <c r="AZ30" s="97">
        <f t="shared" si="26"/>
        <v>0</v>
      </c>
      <c r="BA30" s="93"/>
      <c r="BB30" s="92"/>
      <c r="BC30" s="97" t="str">
        <f t="shared" si="27"/>
        <v/>
      </c>
      <c r="BD30" s="97" t="str">
        <f t="shared" si="28"/>
        <v/>
      </c>
      <c r="BE30" s="97" t="str">
        <f t="shared" si="29"/>
        <v/>
      </c>
      <c r="BF30" s="97" t="str">
        <f t="shared" si="30"/>
        <v/>
      </c>
      <c r="BG30" s="97" t="str">
        <f t="shared" si="31"/>
        <v/>
      </c>
      <c r="BH30" s="97" t="str">
        <f t="shared" si="32"/>
        <v/>
      </c>
      <c r="BI30" s="97" t="str">
        <f t="shared" si="33"/>
        <v/>
      </c>
      <c r="BJ30" s="97" t="str">
        <f t="shared" si="34"/>
        <v/>
      </c>
      <c r="BK30" s="97" t="str">
        <f t="shared" si="35"/>
        <v/>
      </c>
      <c r="BL30" s="97" t="str">
        <f t="shared" si="36"/>
        <v/>
      </c>
      <c r="BM30" s="97" t="str">
        <f t="shared" si="37"/>
        <v/>
      </c>
      <c r="BN30" s="97">
        <f t="shared" si="38"/>
        <v>0</v>
      </c>
      <c r="BP30" s="92">
        <f t="shared" si="40"/>
        <v>0</v>
      </c>
      <c r="BR30" s="92">
        <f t="shared" si="39"/>
        <v>0</v>
      </c>
    </row>
    <row r="31" spans="2:70" x14ac:dyDescent="0.15">
      <c r="B31" s="95" t="str">
        <f>'MODU 2025'!B34</f>
        <v>PACHECO Guillaume</v>
      </c>
      <c r="C31" s="95" t="str">
        <f>'MODU 2025'!C34</f>
        <v>Production</v>
      </c>
      <c r="D31" s="95">
        <f>'MODU 2025'!D34</f>
        <v>37</v>
      </c>
      <c r="E31" s="95">
        <f>'MODU 2025'!G34</f>
        <v>40</v>
      </c>
      <c r="F31" s="95">
        <f>'MODU 2025'!H34</f>
        <v>33</v>
      </c>
      <c r="G31" s="95">
        <f>'MODU 2025'!I34</f>
        <v>41</v>
      </c>
      <c r="H31" s="95">
        <f>'MODU 2025'!J34</f>
        <v>33</v>
      </c>
      <c r="I31" s="95">
        <f>'MODU 2025'!K34</f>
        <v>41</v>
      </c>
      <c r="J31" s="95">
        <f>'MODU 2025'!L34</f>
        <v>33</v>
      </c>
      <c r="K31" s="95">
        <f>'MODU 2025'!M34</f>
        <v>41</v>
      </c>
      <c r="L31" s="95">
        <f>'MODU 2025'!N34</f>
        <v>33</v>
      </c>
      <c r="M31" s="95">
        <f>'MODU 2025'!O34</f>
        <v>41</v>
      </c>
      <c r="N31" s="95">
        <f>'MODU 2025'!P34</f>
        <v>33</v>
      </c>
      <c r="O31" s="95">
        <f>'MODU 2025'!Q34</f>
        <v>41</v>
      </c>
      <c r="P31" s="97"/>
      <c r="Q31" s="97">
        <f>IF(MOD(COLUMN(),2)=0,INDEX(paramètres!$C$4:$C$6,MATCH($C31,paramètres!$B$4:$B$6,0)),INDEX(paramètres!$D$4:$D$6,MATCH($C31,paramètres!$B$4:$B$6,0)))</f>
        <v>41</v>
      </c>
      <c r="R31" s="97">
        <f>IF(MOD(COLUMN(),2)=0,INDEX(paramètres!$C$4:$C$6,MATCH($C31,paramètres!$B$4:$B$6,0)),INDEX(paramètres!$D$4:$D$6,MATCH($C31,paramètres!$B$4:$B$6,0)))</f>
        <v>33</v>
      </c>
      <c r="S31" s="97">
        <f>IF(MOD(COLUMN(),2)=0,INDEX(paramètres!$C$4:$C$6,MATCH($C31,paramètres!$B$4:$B$6,0)),INDEX(paramètres!$D$4:$D$6,MATCH($C31,paramètres!$B$4:$B$6,0)))</f>
        <v>41</v>
      </c>
      <c r="T31" s="97">
        <f>IF(MOD(COLUMN(),2)=0,INDEX(paramètres!$C$4:$C$6,MATCH($C31,paramètres!$B$4:$B$6,0)),INDEX(paramètres!$D$4:$D$6,MATCH($C31,paramètres!$B$4:$B$6,0)))</f>
        <v>33</v>
      </c>
      <c r="U31" s="97">
        <f>IF(MOD(COLUMN(),2)=0,INDEX(paramètres!$C$4:$C$6,MATCH($C31,paramètres!$B$4:$B$6,0)),INDEX(paramètres!$D$4:$D$6,MATCH($C31,paramètres!$B$4:$B$6,0)))</f>
        <v>41</v>
      </c>
      <c r="V31" s="97">
        <f>IF(MOD(COLUMN(),2)=0,INDEX(paramètres!$C$4:$C$6,MATCH($C31,paramètres!$B$4:$B$6,0)),INDEX(paramètres!$D$4:$D$6,MATCH($C31,paramètres!$B$4:$B$6,0)))</f>
        <v>33</v>
      </c>
      <c r="W31" s="97">
        <f>IF(MOD(COLUMN(),2)=0,INDEX(paramètres!$C$4:$C$6,MATCH($C31,paramètres!$B$4:$B$6,0)),INDEX(paramètres!$D$4:$D$6,MATCH($C31,paramètres!$B$4:$B$6,0)))</f>
        <v>41</v>
      </c>
      <c r="X31" s="97">
        <f>IF(MOD(COLUMN(),2)=0,INDEX(paramètres!$C$4:$C$6,MATCH($C31,paramètres!$B$4:$B$6,0)),INDEX(paramètres!$D$4:$D$6,MATCH($C31,paramètres!$B$4:$B$6,0)))</f>
        <v>33</v>
      </c>
      <c r="Y31" s="97">
        <f>IF(MOD(COLUMN(),2)=0,INDEX(paramètres!$C$4:$C$6,MATCH($C31,paramètres!$B$4:$B$6,0)),INDEX(paramètres!$D$4:$D$6,MATCH($C31,paramètres!$B$4:$B$6,0)))</f>
        <v>41</v>
      </c>
      <c r="Z31" s="97">
        <f>IF(MOD(COLUMN(),2)=0,INDEX(paramètres!$C$4:$C$6,MATCH($C31,paramètres!$B$4:$B$6,0)),INDEX(paramètres!$D$4:$D$6,MATCH($C31,paramètres!$B$4:$B$6,0)))</f>
        <v>33</v>
      </c>
      <c r="AA31" s="97">
        <f>IF(MOD(COLUMN(),2)=0,INDEX(paramètres!$C$4:$C$6,MATCH($C31,paramètres!$B$4:$B$6,0)),INDEX(paramètres!$D$4:$D$6,MATCH($C31,paramètres!$B$4:$B$6,0)))</f>
        <v>41</v>
      </c>
      <c r="AB31" s="98"/>
      <c r="AC31" s="97">
        <f t="shared" si="15"/>
        <v>0</v>
      </c>
      <c r="AD31" s="97">
        <f t="shared" si="16"/>
        <v>0</v>
      </c>
      <c r="AE31" s="97">
        <f t="shared" si="17"/>
        <v>0</v>
      </c>
      <c r="AF31" s="97">
        <f t="shared" si="18"/>
        <v>0</v>
      </c>
      <c r="AG31" s="97">
        <f t="shared" si="19"/>
        <v>0</v>
      </c>
      <c r="AH31" s="97">
        <f t="shared" si="20"/>
        <v>0</v>
      </c>
      <c r="AI31" s="97">
        <f t="shared" si="21"/>
        <v>0</v>
      </c>
      <c r="AJ31" s="97">
        <f t="shared" si="22"/>
        <v>0</v>
      </c>
      <c r="AK31" s="97">
        <f t="shared" si="23"/>
        <v>0</v>
      </c>
      <c r="AL31" s="97">
        <f t="shared" si="24"/>
        <v>0</v>
      </c>
      <c r="AM31" s="97">
        <f t="shared" si="25"/>
        <v>0</v>
      </c>
      <c r="AN31" s="36"/>
      <c r="AO31" s="97" t="str" cm="1">
        <f t="array" ref="AO31">IFERROR(
_xlfn.IFS(AND(AC31&gt;0,AC31&lt;($AP$3-$D31)),AC31*$AO$3,
AND(AC31&gt;0,AC31&gt;($AP$3-$D31)),($AP$3-$D31)*$AO$3),"")</f>
        <v/>
      </c>
      <c r="AP31" s="97" t="str" cm="1">
        <f t="array" ref="AP31">IFERROR(
_xlfn.IFS(AND(AD31&gt;0,AD31&lt;($AP$3-$D31)),AD31*$AO$3,
AND(AD31&gt;0,AD31&gt;($AP$3-$D31)),($AP$3-$D31)*$AO$3),"")</f>
        <v/>
      </c>
      <c r="AQ31" s="97" t="str" cm="1">
        <f t="array" ref="AQ31">IFERROR(
_xlfn.IFS(AND(AE31&gt;0,AE31&lt;($AP$3-$D31)),AE31*$AO$3,
AND(AE31&gt;0,AE31&gt;($AP$3-$D31)),($AP$3-$D31)*$AO$3),"")</f>
        <v/>
      </c>
      <c r="AR31" s="97" t="str" cm="1">
        <f t="array" ref="AR31">IFERROR(
_xlfn.IFS(AND(AF31&gt;0,AF31&lt;($AP$3-$D31)),AF31*$AO$3,
AND(AF31&gt;0,AF31&gt;($AP$3-$D31)),($AP$3-$D31)*$AO$3),"")</f>
        <v/>
      </c>
      <c r="AS31" s="97" t="str" cm="1">
        <f t="array" ref="AS31">IFERROR(
_xlfn.IFS(AND(AG31&gt;0,AG31&lt;($AP$3-$D31)),AG31*$AO$3,
AND(AG31&gt;0,AG31&gt;($AP$3-$D31)),($AP$3-$D31)*$AO$3),"")</f>
        <v/>
      </c>
      <c r="AT31" s="97" t="str" cm="1">
        <f t="array" ref="AT31">IFERROR(
_xlfn.IFS(AND(AH31&gt;0,AH31&lt;($AP$3-$D31)),AH31*$AO$3,
AND(AH31&gt;0,AH31&gt;($AP$3-$D31)),($AP$3-$D31)*$AO$3),"")</f>
        <v/>
      </c>
      <c r="AU31" s="97" t="str" cm="1">
        <f t="array" ref="AU31">IFERROR(
_xlfn.IFS(AND(AI31&gt;0,AI31&lt;($AP$3-$D31)),AI31*$AO$3,
AND(AI31&gt;0,AI31&gt;($AP$3-$D31)),($AP$3-$D31)*$AO$3),"")</f>
        <v/>
      </c>
      <c r="AV31" s="97" t="str" cm="1">
        <f t="array" ref="AV31">IFERROR(
_xlfn.IFS(AND(AJ31&gt;0,AJ31&lt;($AP$3-$D31)),AJ31*$AO$3,
AND(AJ31&gt;0,AJ31&gt;($AP$3-$D31)),($AP$3-$D31)*$AO$3),"")</f>
        <v/>
      </c>
      <c r="AW31" s="97" t="str" cm="1">
        <f t="array" ref="AW31">IFERROR(
_xlfn.IFS(AND(AK31&gt;0,AK31&lt;($AP$3-$D31)),AK31*$AO$3,
AND(AK31&gt;0,AK31&gt;($AP$3-$D31)),($AP$3-$D31)*$AO$3),"")</f>
        <v/>
      </c>
      <c r="AX31" s="97" t="str" cm="1">
        <f t="array" ref="AX31">IFERROR(
_xlfn.IFS(AND(AL31&gt;0,AL31&lt;($AP$3-$D31)),AL31*$AO$3,
AND(AL31&gt;0,AL31&gt;($AP$3-$D31)),($AP$3-$D31)*$AO$3),"")</f>
        <v/>
      </c>
      <c r="AY31" s="97" t="str" cm="1">
        <f t="array" ref="AY31">IFERROR(
_xlfn.IFS(AND(AM31&gt;0,AM31&lt;($AP$3-$D31)),AM31*$AO$3,
AND(AM31&gt;0,AM31&gt;($AP$3-$D31)),($AP$3-$D31)*$AO$3),"")</f>
        <v/>
      </c>
      <c r="AZ31" s="97">
        <f t="shared" si="26"/>
        <v>0</v>
      </c>
      <c r="BA31" s="93"/>
      <c r="BB31" s="92"/>
      <c r="BC31" s="97" t="str">
        <f t="shared" si="27"/>
        <v/>
      </c>
      <c r="BD31" s="97" t="str">
        <f t="shared" si="28"/>
        <v/>
      </c>
      <c r="BE31" s="97" t="str">
        <f t="shared" si="29"/>
        <v/>
      </c>
      <c r="BF31" s="97" t="str">
        <f t="shared" si="30"/>
        <v/>
      </c>
      <c r="BG31" s="97" t="str">
        <f t="shared" si="31"/>
        <v/>
      </c>
      <c r="BH31" s="97" t="str">
        <f t="shared" si="32"/>
        <v/>
      </c>
      <c r="BI31" s="97" t="str">
        <f t="shared" si="33"/>
        <v/>
      </c>
      <c r="BJ31" s="97" t="str">
        <f t="shared" si="34"/>
        <v/>
      </c>
      <c r="BK31" s="97" t="str">
        <f t="shared" si="35"/>
        <v/>
      </c>
      <c r="BL31" s="97" t="str">
        <f t="shared" si="36"/>
        <v/>
      </c>
      <c r="BM31" s="97" t="str">
        <f t="shared" si="37"/>
        <v/>
      </c>
      <c r="BN31" s="97">
        <f t="shared" si="38"/>
        <v>0</v>
      </c>
      <c r="BP31" s="92">
        <f t="shared" si="40"/>
        <v>0</v>
      </c>
      <c r="BR31" s="92">
        <f t="shared" si="39"/>
        <v>0</v>
      </c>
    </row>
    <row r="32" spans="2:70" x14ac:dyDescent="0.15">
      <c r="B32" s="95" t="str">
        <f>'MODU 2025'!B35</f>
        <v>PAIN Mélanie</v>
      </c>
      <c r="C32" s="95" t="str">
        <f>'MODU 2025'!C35</f>
        <v>Production</v>
      </c>
      <c r="D32" s="95">
        <f>'MODU 2025'!D35</f>
        <v>37</v>
      </c>
      <c r="E32" s="95">
        <f>'MODU 2025'!G35</f>
        <v>41</v>
      </c>
      <c r="F32" s="95">
        <f>'MODU 2025'!H35</f>
        <v>33</v>
      </c>
      <c r="G32" s="95">
        <f>'MODU 2025'!I35</f>
        <v>41</v>
      </c>
      <c r="H32" s="95">
        <f>'MODU 2025'!J35</f>
        <v>33</v>
      </c>
      <c r="I32" s="95">
        <f>'MODU 2025'!K35</f>
        <v>41</v>
      </c>
      <c r="J32" s="95">
        <f>'MODU 2025'!L35</f>
        <v>33</v>
      </c>
      <c r="K32" s="95">
        <f>'MODU 2025'!M35</f>
        <v>41</v>
      </c>
      <c r="L32" s="95">
        <f>'MODU 2025'!N35</f>
        <v>33</v>
      </c>
      <c r="M32" s="95">
        <f>'MODU 2025'!O35</f>
        <v>41</v>
      </c>
      <c r="N32" s="95">
        <f>'MODU 2025'!P35</f>
        <v>33</v>
      </c>
      <c r="O32" s="95">
        <f>'MODU 2025'!Q35</f>
        <v>41</v>
      </c>
      <c r="P32" s="97"/>
      <c r="Q32" s="97">
        <f>IF(MOD(COLUMN(),2)=0,INDEX(paramètres!$C$4:$C$6,MATCH($C32,paramètres!$B$4:$B$6,0)),INDEX(paramètres!$D$4:$D$6,MATCH($C32,paramètres!$B$4:$B$6,0)))</f>
        <v>41</v>
      </c>
      <c r="R32" s="97">
        <f>IF(MOD(COLUMN(),2)=0,INDEX(paramètres!$C$4:$C$6,MATCH($C32,paramètres!$B$4:$B$6,0)),INDEX(paramètres!$D$4:$D$6,MATCH($C32,paramètres!$B$4:$B$6,0)))</f>
        <v>33</v>
      </c>
      <c r="S32" s="97">
        <f>IF(MOD(COLUMN(),2)=0,INDEX(paramètres!$C$4:$C$6,MATCH($C32,paramètres!$B$4:$B$6,0)),INDEX(paramètres!$D$4:$D$6,MATCH($C32,paramètres!$B$4:$B$6,0)))</f>
        <v>41</v>
      </c>
      <c r="T32" s="97">
        <f>IF(MOD(COLUMN(),2)=0,INDEX(paramètres!$C$4:$C$6,MATCH($C32,paramètres!$B$4:$B$6,0)),INDEX(paramètres!$D$4:$D$6,MATCH($C32,paramètres!$B$4:$B$6,0)))</f>
        <v>33</v>
      </c>
      <c r="U32" s="97">
        <f>IF(MOD(COLUMN(),2)=0,INDEX(paramètres!$C$4:$C$6,MATCH($C32,paramètres!$B$4:$B$6,0)),INDEX(paramètres!$D$4:$D$6,MATCH($C32,paramètres!$B$4:$B$6,0)))</f>
        <v>41</v>
      </c>
      <c r="V32" s="97">
        <f>IF(MOD(COLUMN(),2)=0,INDEX(paramètres!$C$4:$C$6,MATCH($C32,paramètres!$B$4:$B$6,0)),INDEX(paramètres!$D$4:$D$6,MATCH($C32,paramètres!$B$4:$B$6,0)))</f>
        <v>33</v>
      </c>
      <c r="W32" s="97">
        <f>IF(MOD(COLUMN(),2)=0,INDEX(paramètres!$C$4:$C$6,MATCH($C32,paramètres!$B$4:$B$6,0)),INDEX(paramètres!$D$4:$D$6,MATCH($C32,paramètres!$B$4:$B$6,0)))</f>
        <v>41</v>
      </c>
      <c r="X32" s="97">
        <f>IF(MOD(COLUMN(),2)=0,INDEX(paramètres!$C$4:$C$6,MATCH($C32,paramètres!$B$4:$B$6,0)),INDEX(paramètres!$D$4:$D$6,MATCH($C32,paramètres!$B$4:$B$6,0)))</f>
        <v>33</v>
      </c>
      <c r="Y32" s="97">
        <f>IF(MOD(COLUMN(),2)=0,INDEX(paramètres!$C$4:$C$6,MATCH($C32,paramètres!$B$4:$B$6,0)),INDEX(paramètres!$D$4:$D$6,MATCH($C32,paramètres!$B$4:$B$6,0)))</f>
        <v>41</v>
      </c>
      <c r="Z32" s="97">
        <f>IF(MOD(COLUMN(),2)=0,INDEX(paramètres!$C$4:$C$6,MATCH($C32,paramètres!$B$4:$B$6,0)),INDEX(paramètres!$D$4:$D$6,MATCH($C32,paramètres!$B$4:$B$6,0)))</f>
        <v>33</v>
      </c>
      <c r="AA32" s="97">
        <f>IF(MOD(COLUMN(),2)=0,INDEX(paramètres!$C$4:$C$6,MATCH($C32,paramètres!$B$4:$B$6,0)),INDEX(paramètres!$D$4:$D$6,MATCH($C32,paramètres!$B$4:$B$6,0)))</f>
        <v>41</v>
      </c>
      <c r="AB32" s="98"/>
      <c r="AC32" s="97">
        <f t="shared" si="15"/>
        <v>0</v>
      </c>
      <c r="AD32" s="97">
        <f t="shared" si="16"/>
        <v>0</v>
      </c>
      <c r="AE32" s="97">
        <f t="shared" si="17"/>
        <v>0</v>
      </c>
      <c r="AF32" s="97">
        <f t="shared" si="18"/>
        <v>0</v>
      </c>
      <c r="AG32" s="97">
        <f t="shared" si="19"/>
        <v>0</v>
      </c>
      <c r="AH32" s="97">
        <f t="shared" si="20"/>
        <v>0</v>
      </c>
      <c r="AI32" s="97">
        <f t="shared" si="21"/>
        <v>0</v>
      </c>
      <c r="AJ32" s="97">
        <f t="shared" si="22"/>
        <v>0</v>
      </c>
      <c r="AK32" s="97">
        <f t="shared" si="23"/>
        <v>0</v>
      </c>
      <c r="AL32" s="97">
        <f t="shared" si="24"/>
        <v>0</v>
      </c>
      <c r="AM32" s="97">
        <f t="shared" si="25"/>
        <v>0</v>
      </c>
      <c r="AN32" s="36"/>
      <c r="AO32" s="97" t="str" cm="1">
        <f t="array" ref="AO32">IFERROR(
_xlfn.IFS(AND(AC32&gt;0,AC32&lt;($AP$3-$D32)),AC32*$AO$3,
AND(AC32&gt;0,AC32&gt;($AP$3-$D32)),($AP$3-$D32)*$AO$3),"")</f>
        <v/>
      </c>
      <c r="AP32" s="97" t="str" cm="1">
        <f t="array" ref="AP32">IFERROR(
_xlfn.IFS(AND(AD32&gt;0,AD32&lt;($AP$3-$D32)),AD32*$AO$3,
AND(AD32&gt;0,AD32&gt;($AP$3-$D32)),($AP$3-$D32)*$AO$3),"")</f>
        <v/>
      </c>
      <c r="AQ32" s="97" t="str" cm="1">
        <f t="array" ref="AQ32">IFERROR(
_xlfn.IFS(AND(AE32&gt;0,AE32&lt;($AP$3-$D32)),AE32*$AO$3,
AND(AE32&gt;0,AE32&gt;($AP$3-$D32)),($AP$3-$D32)*$AO$3),"")</f>
        <v/>
      </c>
      <c r="AR32" s="97" t="str" cm="1">
        <f t="array" ref="AR32">IFERROR(
_xlfn.IFS(AND(AF32&gt;0,AF32&lt;($AP$3-$D32)),AF32*$AO$3,
AND(AF32&gt;0,AF32&gt;($AP$3-$D32)),($AP$3-$D32)*$AO$3),"")</f>
        <v/>
      </c>
      <c r="AS32" s="97" t="str" cm="1">
        <f t="array" ref="AS32">IFERROR(
_xlfn.IFS(AND(AG32&gt;0,AG32&lt;($AP$3-$D32)),AG32*$AO$3,
AND(AG32&gt;0,AG32&gt;($AP$3-$D32)),($AP$3-$D32)*$AO$3),"")</f>
        <v/>
      </c>
      <c r="AT32" s="97" t="str" cm="1">
        <f t="array" ref="AT32">IFERROR(
_xlfn.IFS(AND(AH32&gt;0,AH32&lt;($AP$3-$D32)),AH32*$AO$3,
AND(AH32&gt;0,AH32&gt;($AP$3-$D32)),($AP$3-$D32)*$AO$3),"")</f>
        <v/>
      </c>
      <c r="AU32" s="97" t="str" cm="1">
        <f t="array" ref="AU32">IFERROR(
_xlfn.IFS(AND(AI32&gt;0,AI32&lt;($AP$3-$D32)),AI32*$AO$3,
AND(AI32&gt;0,AI32&gt;($AP$3-$D32)),($AP$3-$D32)*$AO$3),"")</f>
        <v/>
      </c>
      <c r="AV32" s="97" t="str" cm="1">
        <f t="array" ref="AV32">IFERROR(
_xlfn.IFS(AND(AJ32&gt;0,AJ32&lt;($AP$3-$D32)),AJ32*$AO$3,
AND(AJ32&gt;0,AJ32&gt;($AP$3-$D32)),($AP$3-$D32)*$AO$3),"")</f>
        <v/>
      </c>
      <c r="AW32" s="97" t="str" cm="1">
        <f t="array" ref="AW32">IFERROR(
_xlfn.IFS(AND(AK32&gt;0,AK32&lt;($AP$3-$D32)),AK32*$AO$3,
AND(AK32&gt;0,AK32&gt;($AP$3-$D32)),($AP$3-$D32)*$AO$3),"")</f>
        <v/>
      </c>
      <c r="AX32" s="97" t="str" cm="1">
        <f t="array" ref="AX32">IFERROR(
_xlfn.IFS(AND(AL32&gt;0,AL32&lt;($AP$3-$D32)),AL32*$AO$3,
AND(AL32&gt;0,AL32&gt;($AP$3-$D32)),($AP$3-$D32)*$AO$3),"")</f>
        <v/>
      </c>
      <c r="AY32" s="97" t="str" cm="1">
        <f t="array" ref="AY32">IFERROR(
_xlfn.IFS(AND(AM32&gt;0,AM32&lt;($AP$3-$D32)),AM32*$AO$3,
AND(AM32&gt;0,AM32&gt;($AP$3-$D32)),($AP$3-$D32)*$AO$3),"")</f>
        <v/>
      </c>
      <c r="AZ32" s="97">
        <f t="shared" si="26"/>
        <v>0</v>
      </c>
      <c r="BA32" s="93"/>
      <c r="BB32" s="92"/>
      <c r="BC32" s="97" t="str">
        <f t="shared" si="27"/>
        <v/>
      </c>
      <c r="BD32" s="97" t="str">
        <f t="shared" si="28"/>
        <v/>
      </c>
      <c r="BE32" s="97" t="str">
        <f t="shared" si="29"/>
        <v/>
      </c>
      <c r="BF32" s="97" t="str">
        <f t="shared" si="30"/>
        <v/>
      </c>
      <c r="BG32" s="97" t="str">
        <f t="shared" si="31"/>
        <v/>
      </c>
      <c r="BH32" s="97" t="str">
        <f t="shared" si="32"/>
        <v/>
      </c>
      <c r="BI32" s="97" t="str">
        <f t="shared" si="33"/>
        <v/>
      </c>
      <c r="BJ32" s="97" t="str">
        <f t="shared" si="34"/>
        <v/>
      </c>
      <c r="BK32" s="97" t="str">
        <f t="shared" si="35"/>
        <v/>
      </c>
      <c r="BL32" s="97" t="str">
        <f t="shared" si="36"/>
        <v/>
      </c>
      <c r="BM32" s="97" t="str">
        <f t="shared" si="37"/>
        <v/>
      </c>
      <c r="BN32" s="97">
        <f t="shared" si="38"/>
        <v>0</v>
      </c>
      <c r="BP32" s="92">
        <f t="shared" si="40"/>
        <v>0</v>
      </c>
      <c r="BR32" s="92">
        <f t="shared" si="39"/>
        <v>0</v>
      </c>
    </row>
    <row r="33" spans="2:70" x14ac:dyDescent="0.15">
      <c r="B33" s="95" t="str">
        <f>'MODU 2025'!B36</f>
        <v>PENINGUY Grégory</v>
      </c>
      <c r="C33" s="95" t="str">
        <f>'MODU 2025'!C36</f>
        <v>Production</v>
      </c>
      <c r="D33" s="95">
        <f>'MODU 2025'!D36</f>
        <v>37</v>
      </c>
      <c r="E33" s="95">
        <f>'MODU 2025'!G36</f>
        <v>39</v>
      </c>
      <c r="F33" s="95">
        <f>'MODU 2025'!H36</f>
        <v>38</v>
      </c>
      <c r="G33" s="95">
        <f>'MODU 2025'!I36</f>
        <v>40.75</v>
      </c>
      <c r="H33" s="95">
        <f>'MODU 2025'!J36</f>
        <v>33</v>
      </c>
      <c r="I33" s="95">
        <f>'MODU 2025'!K36</f>
        <v>41</v>
      </c>
      <c r="J33" s="95">
        <f>'MODU 2025'!L36</f>
        <v>33</v>
      </c>
      <c r="K33" s="95">
        <f>'MODU 2025'!M36</f>
        <v>41</v>
      </c>
      <c r="L33" s="95">
        <f>'MODU 2025'!N36</f>
        <v>33</v>
      </c>
      <c r="M33" s="95">
        <f>'MODU 2025'!O36</f>
        <v>41</v>
      </c>
      <c r="N33" s="95">
        <f>'MODU 2025'!P36</f>
        <v>33</v>
      </c>
      <c r="O33" s="95">
        <f>'MODU 2025'!Q36</f>
        <v>41</v>
      </c>
      <c r="P33" s="97"/>
      <c r="Q33" s="97">
        <f>IF(MOD(COLUMN(),2)=0,INDEX(paramètres!$C$4:$C$6,MATCH($C33,paramètres!$B$4:$B$6,0)),INDEX(paramètres!$D$4:$D$6,MATCH($C33,paramètres!$B$4:$B$6,0)))</f>
        <v>41</v>
      </c>
      <c r="R33" s="97">
        <f>IF(MOD(COLUMN(),2)=0,INDEX(paramètres!$C$4:$C$6,MATCH($C33,paramètres!$B$4:$B$6,0)),INDEX(paramètres!$D$4:$D$6,MATCH($C33,paramètres!$B$4:$B$6,0)))</f>
        <v>33</v>
      </c>
      <c r="S33" s="97">
        <f>IF(MOD(COLUMN(),2)=0,INDEX(paramètres!$C$4:$C$6,MATCH($C33,paramètres!$B$4:$B$6,0)),INDEX(paramètres!$D$4:$D$6,MATCH($C33,paramètres!$B$4:$B$6,0)))</f>
        <v>41</v>
      </c>
      <c r="T33" s="97">
        <f>IF(MOD(COLUMN(),2)=0,INDEX(paramètres!$C$4:$C$6,MATCH($C33,paramètres!$B$4:$B$6,0)),INDEX(paramètres!$D$4:$D$6,MATCH($C33,paramètres!$B$4:$B$6,0)))</f>
        <v>33</v>
      </c>
      <c r="U33" s="97">
        <f>IF(MOD(COLUMN(),2)=0,INDEX(paramètres!$C$4:$C$6,MATCH($C33,paramètres!$B$4:$B$6,0)),INDEX(paramètres!$D$4:$D$6,MATCH($C33,paramètres!$B$4:$B$6,0)))</f>
        <v>41</v>
      </c>
      <c r="V33" s="97">
        <f>IF(MOD(COLUMN(),2)=0,INDEX(paramètres!$C$4:$C$6,MATCH($C33,paramètres!$B$4:$B$6,0)),INDEX(paramètres!$D$4:$D$6,MATCH($C33,paramètres!$B$4:$B$6,0)))</f>
        <v>33</v>
      </c>
      <c r="W33" s="97">
        <f>IF(MOD(COLUMN(),2)=0,INDEX(paramètres!$C$4:$C$6,MATCH($C33,paramètres!$B$4:$B$6,0)),INDEX(paramètres!$D$4:$D$6,MATCH($C33,paramètres!$B$4:$B$6,0)))</f>
        <v>41</v>
      </c>
      <c r="X33" s="97">
        <f>IF(MOD(COLUMN(),2)=0,INDEX(paramètres!$C$4:$C$6,MATCH($C33,paramètres!$B$4:$B$6,0)),INDEX(paramètres!$D$4:$D$6,MATCH($C33,paramètres!$B$4:$B$6,0)))</f>
        <v>33</v>
      </c>
      <c r="Y33" s="97">
        <f>IF(MOD(COLUMN(),2)=0,INDEX(paramètres!$C$4:$C$6,MATCH($C33,paramètres!$B$4:$B$6,0)),INDEX(paramètres!$D$4:$D$6,MATCH($C33,paramètres!$B$4:$B$6,0)))</f>
        <v>41</v>
      </c>
      <c r="Z33" s="97">
        <f>IF(MOD(COLUMN(),2)=0,INDEX(paramètres!$C$4:$C$6,MATCH($C33,paramètres!$B$4:$B$6,0)),INDEX(paramètres!$D$4:$D$6,MATCH($C33,paramètres!$B$4:$B$6,0)))</f>
        <v>33</v>
      </c>
      <c r="AA33" s="97">
        <f>IF(MOD(COLUMN(),2)=0,INDEX(paramètres!$C$4:$C$6,MATCH($C33,paramètres!$B$4:$B$6,0)),INDEX(paramètres!$D$4:$D$6,MATCH($C33,paramètres!$B$4:$B$6,0)))</f>
        <v>41</v>
      </c>
      <c r="AB33" s="98"/>
      <c r="AC33" s="97">
        <f t="shared" si="15"/>
        <v>0</v>
      </c>
      <c r="AD33" s="97">
        <f t="shared" si="16"/>
        <v>4.75</v>
      </c>
      <c r="AE33" s="97">
        <f t="shared" si="17"/>
        <v>0</v>
      </c>
      <c r="AF33" s="97">
        <f t="shared" si="18"/>
        <v>0</v>
      </c>
      <c r="AG33" s="97">
        <f t="shared" si="19"/>
        <v>0</v>
      </c>
      <c r="AH33" s="97">
        <f t="shared" si="20"/>
        <v>0</v>
      </c>
      <c r="AI33" s="97">
        <f t="shared" si="21"/>
        <v>0</v>
      </c>
      <c r="AJ33" s="97">
        <f t="shared" si="22"/>
        <v>0</v>
      </c>
      <c r="AK33" s="97">
        <f t="shared" si="23"/>
        <v>0</v>
      </c>
      <c r="AL33" s="97">
        <f t="shared" si="24"/>
        <v>0</v>
      </c>
      <c r="AM33" s="97">
        <f t="shared" si="25"/>
        <v>0</v>
      </c>
      <c r="AN33" s="36"/>
      <c r="AO33" s="97" t="str" cm="1">
        <f t="array" ref="AO33">IFERROR(
_xlfn.IFS(AND(AC33&gt;0,AC33&lt;($AP$3-$D33)),AC33*$AO$3,
AND(AC33&gt;0,AC33&gt;($AP$3-$D33)),($AP$3-$D33)*$AO$3),"")</f>
        <v/>
      </c>
      <c r="AP33" s="97" cm="1">
        <f t="array" ref="AP33">IFERROR(
_xlfn.IFS(AND(AD33&gt;0,AD33&lt;($AP$3-$D33)),AD33*$AO$3,
AND(AD33&gt;0,AD33&gt;($AP$3-$D33)),($AP$3-$D33)*$AO$3),"")</f>
        <v>5.9375</v>
      </c>
      <c r="AQ33" s="97" t="str" cm="1">
        <f t="array" ref="AQ33">IFERROR(
_xlfn.IFS(AND(AE33&gt;0,AE33&lt;($AP$3-$D33)),AE33*$AO$3,
AND(AE33&gt;0,AE33&gt;($AP$3-$D33)),($AP$3-$D33)*$AO$3),"")</f>
        <v/>
      </c>
      <c r="AR33" s="97" t="str" cm="1">
        <f t="array" ref="AR33">IFERROR(
_xlfn.IFS(AND(AF33&gt;0,AF33&lt;($AP$3-$D33)),AF33*$AO$3,
AND(AF33&gt;0,AF33&gt;($AP$3-$D33)),($AP$3-$D33)*$AO$3),"")</f>
        <v/>
      </c>
      <c r="AS33" s="97" t="str" cm="1">
        <f t="array" ref="AS33">IFERROR(
_xlfn.IFS(AND(AG33&gt;0,AG33&lt;($AP$3-$D33)),AG33*$AO$3,
AND(AG33&gt;0,AG33&gt;($AP$3-$D33)),($AP$3-$D33)*$AO$3),"")</f>
        <v/>
      </c>
      <c r="AT33" s="97" t="str" cm="1">
        <f t="array" ref="AT33">IFERROR(
_xlfn.IFS(AND(AH33&gt;0,AH33&lt;($AP$3-$D33)),AH33*$AO$3,
AND(AH33&gt;0,AH33&gt;($AP$3-$D33)),($AP$3-$D33)*$AO$3),"")</f>
        <v/>
      </c>
      <c r="AU33" s="97" t="str" cm="1">
        <f t="array" ref="AU33">IFERROR(
_xlfn.IFS(AND(AI33&gt;0,AI33&lt;($AP$3-$D33)),AI33*$AO$3,
AND(AI33&gt;0,AI33&gt;($AP$3-$D33)),($AP$3-$D33)*$AO$3),"")</f>
        <v/>
      </c>
      <c r="AV33" s="97" t="str" cm="1">
        <f t="array" ref="AV33">IFERROR(
_xlfn.IFS(AND(AJ33&gt;0,AJ33&lt;($AP$3-$D33)),AJ33*$AO$3,
AND(AJ33&gt;0,AJ33&gt;($AP$3-$D33)),($AP$3-$D33)*$AO$3),"")</f>
        <v/>
      </c>
      <c r="AW33" s="97" t="str" cm="1">
        <f t="array" ref="AW33">IFERROR(
_xlfn.IFS(AND(AK33&gt;0,AK33&lt;($AP$3-$D33)),AK33*$AO$3,
AND(AK33&gt;0,AK33&gt;($AP$3-$D33)),($AP$3-$D33)*$AO$3),"")</f>
        <v/>
      </c>
      <c r="AX33" s="97" t="str" cm="1">
        <f t="array" ref="AX33">IFERROR(
_xlfn.IFS(AND(AL33&gt;0,AL33&lt;($AP$3-$D33)),AL33*$AO$3,
AND(AL33&gt;0,AL33&gt;($AP$3-$D33)),($AP$3-$D33)*$AO$3),"")</f>
        <v/>
      </c>
      <c r="AY33" s="97" t="str" cm="1">
        <f t="array" ref="AY33">IFERROR(
_xlfn.IFS(AND(AM33&gt;0,AM33&lt;($AP$3-$D33)),AM33*$AO$3,
AND(AM33&gt;0,AM33&gt;($AP$3-$D33)),($AP$3-$D33)*$AO$3),"")</f>
        <v/>
      </c>
      <c r="AZ33" s="97">
        <f t="shared" si="26"/>
        <v>5.9375</v>
      </c>
      <c r="BA33" s="93"/>
      <c r="BB33" s="92"/>
      <c r="BC33" s="97" t="str">
        <f t="shared" si="27"/>
        <v/>
      </c>
      <c r="BD33" s="97" t="str">
        <f t="shared" si="28"/>
        <v/>
      </c>
      <c r="BE33" s="97" t="str">
        <f t="shared" si="29"/>
        <v/>
      </c>
      <c r="BF33" s="97" t="str">
        <f t="shared" si="30"/>
        <v/>
      </c>
      <c r="BG33" s="97" t="str">
        <f t="shared" si="31"/>
        <v/>
      </c>
      <c r="BH33" s="97" t="str">
        <f t="shared" si="32"/>
        <v/>
      </c>
      <c r="BI33" s="97" t="str">
        <f t="shared" si="33"/>
        <v/>
      </c>
      <c r="BJ33" s="97" t="str">
        <f t="shared" si="34"/>
        <v/>
      </c>
      <c r="BK33" s="97" t="str">
        <f t="shared" si="35"/>
        <v/>
      </c>
      <c r="BL33" s="97" t="str">
        <f t="shared" si="36"/>
        <v/>
      </c>
      <c r="BM33" s="97" t="str">
        <f t="shared" si="37"/>
        <v/>
      </c>
      <c r="BN33" s="97">
        <f t="shared" si="38"/>
        <v>0</v>
      </c>
      <c r="BP33" s="92">
        <f t="shared" si="40"/>
        <v>5.9375</v>
      </c>
      <c r="BR33" s="92">
        <f t="shared" si="39"/>
        <v>5.9375</v>
      </c>
    </row>
    <row r="34" spans="2:70" x14ac:dyDescent="0.15">
      <c r="B34" s="95" t="str">
        <f>'MODU 2025'!B37</f>
        <v>RECCHIA Laetitia</v>
      </c>
      <c r="C34" s="95" t="str">
        <f>'MODU 2025'!C37</f>
        <v>Production CE</v>
      </c>
      <c r="D34" s="95">
        <f>'MODU 2025'!D37</f>
        <v>39</v>
      </c>
      <c r="E34" s="95">
        <f>'MODU 2025'!G37</f>
        <v>39</v>
      </c>
      <c r="F34" s="95">
        <f>'MODU 2025'!H37</f>
        <v>39</v>
      </c>
      <c r="G34" s="95">
        <f>'MODU 2025'!I37</f>
        <v>39</v>
      </c>
      <c r="H34" s="95">
        <f>'MODU 2025'!J37</f>
        <v>39</v>
      </c>
      <c r="I34" s="95">
        <f>'MODU 2025'!K37</f>
        <v>39</v>
      </c>
      <c r="J34" s="95">
        <f>'MODU 2025'!L37</f>
        <v>39</v>
      </c>
      <c r="K34" s="95">
        <f>'MODU 2025'!M37</f>
        <v>39</v>
      </c>
      <c r="L34" s="95">
        <f>'MODU 2025'!N37</f>
        <v>39</v>
      </c>
      <c r="M34" s="95">
        <f>'MODU 2025'!O37</f>
        <v>39</v>
      </c>
      <c r="N34" s="95">
        <f>'MODU 2025'!P37</f>
        <v>39</v>
      </c>
      <c r="O34" s="95">
        <f>'MODU 2025'!Q37</f>
        <v>39</v>
      </c>
      <c r="P34" s="97"/>
      <c r="Q34" s="97">
        <f>IF(MOD(COLUMN(),2)=0,INDEX(paramètres!$C$4:$C$6,MATCH($C34,paramètres!$B$4:$B$6,0)),INDEX(paramètres!$D$4:$D$6,MATCH($C34,paramètres!$B$4:$B$6,0)))</f>
        <v>39</v>
      </c>
      <c r="R34" s="97">
        <f>IF(MOD(COLUMN(),2)=0,INDEX(paramètres!$C$4:$C$6,MATCH($C34,paramètres!$B$4:$B$6,0)),INDEX(paramètres!$D$4:$D$6,MATCH($C34,paramètres!$B$4:$B$6,0)))</f>
        <v>39</v>
      </c>
      <c r="S34" s="97">
        <f>IF(MOD(COLUMN(),2)=0,INDEX(paramètres!$C$4:$C$6,MATCH($C34,paramètres!$B$4:$B$6,0)),INDEX(paramètres!$D$4:$D$6,MATCH($C34,paramètres!$B$4:$B$6,0)))</f>
        <v>39</v>
      </c>
      <c r="T34" s="97">
        <f>IF(MOD(COLUMN(),2)=0,INDEX(paramètres!$C$4:$C$6,MATCH($C34,paramètres!$B$4:$B$6,0)),INDEX(paramètres!$D$4:$D$6,MATCH($C34,paramètres!$B$4:$B$6,0)))</f>
        <v>39</v>
      </c>
      <c r="U34" s="97">
        <f>IF(MOD(COLUMN(),2)=0,INDEX(paramètres!$C$4:$C$6,MATCH($C34,paramètres!$B$4:$B$6,0)),INDEX(paramètres!$D$4:$D$6,MATCH($C34,paramètres!$B$4:$B$6,0)))</f>
        <v>39</v>
      </c>
      <c r="V34" s="97">
        <f>IF(MOD(COLUMN(),2)=0,INDEX(paramètres!$C$4:$C$6,MATCH($C34,paramètres!$B$4:$B$6,0)),INDEX(paramètres!$D$4:$D$6,MATCH($C34,paramètres!$B$4:$B$6,0)))</f>
        <v>39</v>
      </c>
      <c r="W34" s="97">
        <f>IF(MOD(COLUMN(),2)=0,INDEX(paramètres!$C$4:$C$6,MATCH($C34,paramètres!$B$4:$B$6,0)),INDEX(paramètres!$D$4:$D$6,MATCH($C34,paramètres!$B$4:$B$6,0)))</f>
        <v>39</v>
      </c>
      <c r="X34" s="97">
        <f>IF(MOD(COLUMN(),2)=0,INDEX(paramètres!$C$4:$C$6,MATCH($C34,paramètres!$B$4:$B$6,0)),INDEX(paramètres!$D$4:$D$6,MATCH($C34,paramètres!$B$4:$B$6,0)))</f>
        <v>39</v>
      </c>
      <c r="Y34" s="97">
        <f>IF(MOD(COLUMN(),2)=0,INDEX(paramètres!$C$4:$C$6,MATCH($C34,paramètres!$B$4:$B$6,0)),INDEX(paramètres!$D$4:$D$6,MATCH($C34,paramètres!$B$4:$B$6,0)))</f>
        <v>39</v>
      </c>
      <c r="Z34" s="97">
        <f>IF(MOD(COLUMN(),2)=0,INDEX(paramètres!$C$4:$C$6,MATCH($C34,paramètres!$B$4:$B$6,0)),INDEX(paramètres!$D$4:$D$6,MATCH($C34,paramètres!$B$4:$B$6,0)))</f>
        <v>39</v>
      </c>
      <c r="AA34" s="97">
        <f>IF(MOD(COLUMN(),2)=0,INDEX(paramètres!$C$4:$C$6,MATCH($C34,paramètres!$B$4:$B$6,0)),INDEX(paramètres!$D$4:$D$6,MATCH($C34,paramètres!$B$4:$B$6,0)))</f>
        <v>39</v>
      </c>
      <c r="AB34" s="98"/>
      <c r="AC34" s="97">
        <f t="shared" si="15"/>
        <v>0</v>
      </c>
      <c r="AD34" s="97">
        <f t="shared" si="16"/>
        <v>0</v>
      </c>
      <c r="AE34" s="97">
        <f t="shared" si="17"/>
        <v>0</v>
      </c>
      <c r="AF34" s="97">
        <f t="shared" si="18"/>
        <v>0</v>
      </c>
      <c r="AG34" s="97">
        <f t="shared" si="19"/>
        <v>0</v>
      </c>
      <c r="AH34" s="97">
        <f t="shared" si="20"/>
        <v>0</v>
      </c>
      <c r="AI34" s="97">
        <f t="shared" si="21"/>
        <v>0</v>
      </c>
      <c r="AJ34" s="97">
        <f t="shared" si="22"/>
        <v>0</v>
      </c>
      <c r="AK34" s="97">
        <f t="shared" si="23"/>
        <v>0</v>
      </c>
      <c r="AL34" s="97">
        <f t="shared" si="24"/>
        <v>0</v>
      </c>
      <c r="AM34" s="97">
        <f t="shared" si="25"/>
        <v>0</v>
      </c>
      <c r="AN34" s="36"/>
      <c r="AO34" s="97" t="str" cm="1">
        <f t="array" ref="AO34">IFERROR(
_xlfn.IFS(AND(AC34&gt;0,AC34&lt;($AP$3-$D34)),AC34*$AO$3,
AND(AC34&gt;0,AC34&gt;($AP$3-$D34)),($AP$3-$D34)*$AO$3),"")</f>
        <v/>
      </c>
      <c r="AP34" s="97" t="str" cm="1">
        <f t="array" ref="AP34">IFERROR(
_xlfn.IFS(AND(AD34&gt;0,AD34&lt;($AP$3-$D34)),AD34*$AO$3,
AND(AD34&gt;0,AD34&gt;($AP$3-$D34)),($AP$3-$D34)*$AO$3),"")</f>
        <v/>
      </c>
      <c r="AQ34" s="97" t="str" cm="1">
        <f t="array" ref="AQ34">IFERROR(
_xlfn.IFS(AND(AE34&gt;0,AE34&lt;($AP$3-$D34)),AE34*$AO$3,
AND(AE34&gt;0,AE34&gt;($AP$3-$D34)),($AP$3-$D34)*$AO$3),"")</f>
        <v/>
      </c>
      <c r="AR34" s="97" t="str" cm="1">
        <f t="array" ref="AR34">IFERROR(
_xlfn.IFS(AND(AF34&gt;0,AF34&lt;($AP$3-$D34)),AF34*$AO$3,
AND(AF34&gt;0,AF34&gt;($AP$3-$D34)),($AP$3-$D34)*$AO$3),"")</f>
        <v/>
      </c>
      <c r="AS34" s="97" t="str" cm="1">
        <f t="array" ref="AS34">IFERROR(
_xlfn.IFS(AND(AG34&gt;0,AG34&lt;($AP$3-$D34)),AG34*$AO$3,
AND(AG34&gt;0,AG34&gt;($AP$3-$D34)),($AP$3-$D34)*$AO$3),"")</f>
        <v/>
      </c>
      <c r="AT34" s="97" t="str" cm="1">
        <f t="array" ref="AT34">IFERROR(
_xlfn.IFS(AND(AH34&gt;0,AH34&lt;($AP$3-$D34)),AH34*$AO$3,
AND(AH34&gt;0,AH34&gt;($AP$3-$D34)),($AP$3-$D34)*$AO$3),"")</f>
        <v/>
      </c>
      <c r="AU34" s="97" t="str" cm="1">
        <f t="array" ref="AU34">IFERROR(
_xlfn.IFS(AND(AI34&gt;0,AI34&lt;($AP$3-$D34)),AI34*$AO$3,
AND(AI34&gt;0,AI34&gt;($AP$3-$D34)),($AP$3-$D34)*$AO$3),"")</f>
        <v/>
      </c>
      <c r="AV34" s="97" t="str" cm="1">
        <f t="array" ref="AV34">IFERROR(
_xlfn.IFS(AND(AJ34&gt;0,AJ34&lt;($AP$3-$D34)),AJ34*$AO$3,
AND(AJ34&gt;0,AJ34&gt;($AP$3-$D34)),($AP$3-$D34)*$AO$3),"")</f>
        <v/>
      </c>
      <c r="AW34" s="97" t="str" cm="1">
        <f t="array" ref="AW34">IFERROR(
_xlfn.IFS(AND(AK34&gt;0,AK34&lt;($AP$3-$D34)),AK34*$AO$3,
AND(AK34&gt;0,AK34&gt;($AP$3-$D34)),($AP$3-$D34)*$AO$3),"")</f>
        <v/>
      </c>
      <c r="AX34" s="97" t="str" cm="1">
        <f t="array" ref="AX34">IFERROR(
_xlfn.IFS(AND(AL34&gt;0,AL34&lt;($AP$3-$D34)),AL34*$AO$3,
AND(AL34&gt;0,AL34&gt;($AP$3-$D34)),($AP$3-$D34)*$AO$3),"")</f>
        <v/>
      </c>
      <c r="AY34" s="97" t="str" cm="1">
        <f t="array" ref="AY34">IFERROR(
_xlfn.IFS(AND(AM34&gt;0,AM34&lt;($AP$3-$D34)),AM34*$AO$3,
AND(AM34&gt;0,AM34&gt;($AP$3-$D34)),($AP$3-$D34)*$AO$3),"")</f>
        <v/>
      </c>
      <c r="AZ34" s="97">
        <f t="shared" si="26"/>
        <v>0</v>
      </c>
      <c r="BA34" s="93"/>
      <c r="BB34" s="92"/>
      <c r="BC34" s="97" t="str">
        <f t="shared" si="27"/>
        <v/>
      </c>
      <c r="BD34" s="97" t="str">
        <f t="shared" si="28"/>
        <v/>
      </c>
      <c r="BE34" s="97" t="str">
        <f t="shared" si="29"/>
        <v/>
      </c>
      <c r="BF34" s="97" t="str">
        <f t="shared" si="30"/>
        <v/>
      </c>
      <c r="BG34" s="97" t="str">
        <f t="shared" si="31"/>
        <v/>
      </c>
      <c r="BH34" s="97" t="str">
        <f t="shared" si="32"/>
        <v/>
      </c>
      <c r="BI34" s="97" t="str">
        <f t="shared" si="33"/>
        <v/>
      </c>
      <c r="BJ34" s="97" t="str">
        <f t="shared" si="34"/>
        <v/>
      </c>
      <c r="BK34" s="97" t="str">
        <f t="shared" si="35"/>
        <v/>
      </c>
      <c r="BL34" s="97" t="str">
        <f t="shared" si="36"/>
        <v/>
      </c>
      <c r="BM34" s="97" t="str">
        <f t="shared" si="37"/>
        <v/>
      </c>
      <c r="BN34" s="97">
        <f t="shared" si="38"/>
        <v>0</v>
      </c>
      <c r="BP34" s="92">
        <f t="shared" si="40"/>
        <v>0</v>
      </c>
      <c r="BR34" s="92">
        <f t="shared" si="39"/>
        <v>0</v>
      </c>
    </row>
    <row r="35" spans="2:70" x14ac:dyDescent="0.15">
      <c r="B35" s="95" t="str">
        <f>'MODU 2025'!B38</f>
        <v>REMY Ancélia</v>
      </c>
      <c r="C35" s="95" t="str">
        <f>'MODU 2025'!C38</f>
        <v>Production</v>
      </c>
      <c r="D35" s="95">
        <f>'MODU 2025'!D38</f>
        <v>37</v>
      </c>
      <c r="E35" s="95">
        <f>'MODU 2025'!G38</f>
        <v>33</v>
      </c>
      <c r="F35" s="95">
        <f>'MODU 2025'!H38</f>
        <v>41</v>
      </c>
      <c r="G35" s="95">
        <f>'MODU 2025'!I38</f>
        <v>33</v>
      </c>
      <c r="H35" s="95">
        <f>'MODU 2025'!J38</f>
        <v>41</v>
      </c>
      <c r="I35" s="95">
        <f>'MODU 2025'!K38</f>
        <v>33</v>
      </c>
      <c r="J35" s="95">
        <f>'MODU 2025'!L38</f>
        <v>41</v>
      </c>
      <c r="K35" s="95">
        <f>'MODU 2025'!M38</f>
        <v>33</v>
      </c>
      <c r="L35" s="95">
        <f>'MODU 2025'!N38</f>
        <v>41</v>
      </c>
      <c r="M35" s="95">
        <f>'MODU 2025'!O38</f>
        <v>33</v>
      </c>
      <c r="N35" s="95">
        <f>'MODU 2025'!P38</f>
        <v>41</v>
      </c>
      <c r="O35" s="95">
        <f>'MODU 2025'!Q38</f>
        <v>33</v>
      </c>
      <c r="P35" s="97"/>
      <c r="Q35" s="97">
        <f>IF(MOD(COLUMN(),2)=0,INDEX(paramètres!$C$4:$C$6,MATCH($C35,paramètres!$B$4:$B$6,0)),INDEX(paramètres!$D$4:$D$6,MATCH($C35,paramètres!$B$4:$B$6,0)))</f>
        <v>41</v>
      </c>
      <c r="R35" s="97">
        <f>IF(MOD(COLUMN(),2)=0,INDEX(paramètres!$C$4:$C$6,MATCH($C35,paramètres!$B$4:$B$6,0)),INDEX(paramètres!$D$4:$D$6,MATCH($C35,paramètres!$B$4:$B$6,0)))</f>
        <v>33</v>
      </c>
      <c r="S35" s="97">
        <f>IF(MOD(COLUMN(),2)=0,INDEX(paramètres!$C$4:$C$6,MATCH($C35,paramètres!$B$4:$B$6,0)),INDEX(paramètres!$D$4:$D$6,MATCH($C35,paramètres!$B$4:$B$6,0)))</f>
        <v>41</v>
      </c>
      <c r="T35" s="97">
        <f>IF(MOD(COLUMN(),2)=0,INDEX(paramètres!$C$4:$C$6,MATCH($C35,paramètres!$B$4:$B$6,0)),INDEX(paramètres!$D$4:$D$6,MATCH($C35,paramètres!$B$4:$B$6,0)))</f>
        <v>33</v>
      </c>
      <c r="U35" s="97">
        <f>IF(MOD(COLUMN(),2)=0,INDEX(paramètres!$C$4:$C$6,MATCH($C35,paramètres!$B$4:$B$6,0)),INDEX(paramètres!$D$4:$D$6,MATCH($C35,paramètres!$B$4:$B$6,0)))</f>
        <v>41</v>
      </c>
      <c r="V35" s="97">
        <f>IF(MOD(COLUMN(),2)=0,INDEX(paramètres!$C$4:$C$6,MATCH($C35,paramètres!$B$4:$B$6,0)),INDEX(paramètres!$D$4:$D$6,MATCH($C35,paramètres!$B$4:$B$6,0)))</f>
        <v>33</v>
      </c>
      <c r="W35" s="97">
        <f>IF(MOD(COLUMN(),2)=0,INDEX(paramètres!$C$4:$C$6,MATCH($C35,paramètres!$B$4:$B$6,0)),INDEX(paramètres!$D$4:$D$6,MATCH($C35,paramètres!$B$4:$B$6,0)))</f>
        <v>41</v>
      </c>
      <c r="X35" s="97">
        <f>IF(MOD(COLUMN(),2)=0,INDEX(paramètres!$C$4:$C$6,MATCH($C35,paramètres!$B$4:$B$6,0)),INDEX(paramètres!$D$4:$D$6,MATCH($C35,paramètres!$B$4:$B$6,0)))</f>
        <v>33</v>
      </c>
      <c r="Y35" s="97">
        <f>IF(MOD(COLUMN(),2)=0,INDEX(paramètres!$C$4:$C$6,MATCH($C35,paramètres!$B$4:$B$6,0)),INDEX(paramètres!$D$4:$D$6,MATCH($C35,paramètres!$B$4:$B$6,0)))</f>
        <v>41</v>
      </c>
      <c r="Z35" s="97">
        <f>IF(MOD(COLUMN(),2)=0,INDEX(paramètres!$C$4:$C$6,MATCH($C35,paramètres!$B$4:$B$6,0)),INDEX(paramètres!$D$4:$D$6,MATCH($C35,paramètres!$B$4:$B$6,0)))</f>
        <v>33</v>
      </c>
      <c r="AA35" s="97">
        <f>IF(MOD(COLUMN(),2)=0,INDEX(paramètres!$C$4:$C$6,MATCH($C35,paramètres!$B$4:$B$6,0)),INDEX(paramètres!$D$4:$D$6,MATCH($C35,paramètres!$B$4:$B$6,0)))</f>
        <v>41</v>
      </c>
      <c r="AB35" s="98"/>
      <c r="AC35" s="97">
        <f t="shared" si="15"/>
        <v>0</v>
      </c>
      <c r="AD35" s="97">
        <f t="shared" si="16"/>
        <v>0</v>
      </c>
      <c r="AE35" s="97">
        <f t="shared" si="17"/>
        <v>0</v>
      </c>
      <c r="AF35" s="97">
        <f t="shared" si="18"/>
        <v>0</v>
      </c>
      <c r="AG35" s="97">
        <f t="shared" si="19"/>
        <v>0</v>
      </c>
      <c r="AH35" s="97">
        <f t="shared" si="20"/>
        <v>0</v>
      </c>
      <c r="AI35" s="97">
        <f t="shared" si="21"/>
        <v>0</v>
      </c>
      <c r="AJ35" s="97">
        <f t="shared" si="22"/>
        <v>0</v>
      </c>
      <c r="AK35" s="97">
        <f t="shared" si="23"/>
        <v>0</v>
      </c>
      <c r="AL35" s="97">
        <f t="shared" si="24"/>
        <v>0</v>
      </c>
      <c r="AM35" s="97">
        <f t="shared" si="25"/>
        <v>0</v>
      </c>
      <c r="AN35" s="36"/>
      <c r="AO35" s="97" t="str" cm="1">
        <f t="array" ref="AO35">IFERROR(
_xlfn.IFS(AND(AC35&gt;0,AC35&lt;($AP$3-$D35)),AC35*$AO$3,
AND(AC35&gt;0,AC35&gt;($AP$3-$D35)),($AP$3-$D35)*$AO$3),"")</f>
        <v/>
      </c>
      <c r="AP35" s="97" t="str" cm="1">
        <f t="array" ref="AP35">IFERROR(
_xlfn.IFS(AND(AD35&gt;0,AD35&lt;($AP$3-$D35)),AD35*$AO$3,
AND(AD35&gt;0,AD35&gt;($AP$3-$D35)),($AP$3-$D35)*$AO$3),"")</f>
        <v/>
      </c>
      <c r="AQ35" s="97" t="str" cm="1">
        <f t="array" ref="AQ35">IFERROR(
_xlfn.IFS(AND(AE35&gt;0,AE35&lt;($AP$3-$D35)),AE35*$AO$3,
AND(AE35&gt;0,AE35&gt;($AP$3-$D35)),($AP$3-$D35)*$AO$3),"")</f>
        <v/>
      </c>
      <c r="AR35" s="97" t="str" cm="1">
        <f t="array" ref="AR35">IFERROR(
_xlfn.IFS(AND(AF35&gt;0,AF35&lt;($AP$3-$D35)),AF35*$AO$3,
AND(AF35&gt;0,AF35&gt;($AP$3-$D35)),($AP$3-$D35)*$AO$3),"")</f>
        <v/>
      </c>
      <c r="AS35" s="97" t="str" cm="1">
        <f t="array" ref="AS35">IFERROR(
_xlfn.IFS(AND(AG35&gt;0,AG35&lt;($AP$3-$D35)),AG35*$AO$3,
AND(AG35&gt;0,AG35&gt;($AP$3-$D35)),($AP$3-$D35)*$AO$3),"")</f>
        <v/>
      </c>
      <c r="AT35" s="97" t="str" cm="1">
        <f t="array" ref="AT35">IFERROR(
_xlfn.IFS(AND(AH35&gt;0,AH35&lt;($AP$3-$D35)),AH35*$AO$3,
AND(AH35&gt;0,AH35&gt;($AP$3-$D35)),($AP$3-$D35)*$AO$3),"")</f>
        <v/>
      </c>
      <c r="AU35" s="97" t="str" cm="1">
        <f t="array" ref="AU35">IFERROR(
_xlfn.IFS(AND(AI35&gt;0,AI35&lt;($AP$3-$D35)),AI35*$AO$3,
AND(AI35&gt;0,AI35&gt;($AP$3-$D35)),($AP$3-$D35)*$AO$3),"")</f>
        <v/>
      </c>
      <c r="AV35" s="97" t="str" cm="1">
        <f t="array" ref="AV35">IFERROR(
_xlfn.IFS(AND(AJ35&gt;0,AJ35&lt;($AP$3-$D35)),AJ35*$AO$3,
AND(AJ35&gt;0,AJ35&gt;($AP$3-$D35)),($AP$3-$D35)*$AO$3),"")</f>
        <v/>
      </c>
      <c r="AW35" s="97" t="str" cm="1">
        <f t="array" ref="AW35">IFERROR(
_xlfn.IFS(AND(AK35&gt;0,AK35&lt;($AP$3-$D35)),AK35*$AO$3,
AND(AK35&gt;0,AK35&gt;($AP$3-$D35)),($AP$3-$D35)*$AO$3),"")</f>
        <v/>
      </c>
      <c r="AX35" s="97" t="str" cm="1">
        <f t="array" ref="AX35">IFERROR(
_xlfn.IFS(AND(AL35&gt;0,AL35&lt;($AP$3-$D35)),AL35*$AO$3,
AND(AL35&gt;0,AL35&gt;($AP$3-$D35)),($AP$3-$D35)*$AO$3),"")</f>
        <v/>
      </c>
      <c r="AY35" s="97" t="str" cm="1">
        <f t="array" ref="AY35">IFERROR(
_xlfn.IFS(AND(AM35&gt;0,AM35&lt;($AP$3-$D35)),AM35*$AO$3,
AND(AM35&gt;0,AM35&gt;($AP$3-$D35)),($AP$3-$D35)*$AO$3),"")</f>
        <v/>
      </c>
      <c r="AZ35" s="97">
        <f t="shared" si="26"/>
        <v>0</v>
      </c>
      <c r="BA35" s="93"/>
      <c r="BB35" s="92"/>
      <c r="BC35" s="97" t="str">
        <f t="shared" si="27"/>
        <v/>
      </c>
      <c r="BD35" s="97" t="str">
        <f t="shared" si="28"/>
        <v/>
      </c>
      <c r="BE35" s="97" t="str">
        <f t="shared" si="29"/>
        <v/>
      </c>
      <c r="BF35" s="97" t="str">
        <f t="shared" si="30"/>
        <v/>
      </c>
      <c r="BG35" s="97" t="str">
        <f t="shared" si="31"/>
        <v/>
      </c>
      <c r="BH35" s="97" t="str">
        <f t="shared" si="32"/>
        <v/>
      </c>
      <c r="BI35" s="97" t="str">
        <f t="shared" si="33"/>
        <v/>
      </c>
      <c r="BJ35" s="97" t="str">
        <f t="shared" si="34"/>
        <v/>
      </c>
      <c r="BK35" s="97" t="str">
        <f t="shared" si="35"/>
        <v/>
      </c>
      <c r="BL35" s="97" t="str">
        <f t="shared" si="36"/>
        <v/>
      </c>
      <c r="BM35" s="97" t="str">
        <f t="shared" si="37"/>
        <v/>
      </c>
      <c r="BN35" s="97">
        <f t="shared" si="38"/>
        <v>0</v>
      </c>
      <c r="BP35" s="92">
        <f t="shared" si="40"/>
        <v>0</v>
      </c>
      <c r="BR35" s="92">
        <f t="shared" si="39"/>
        <v>0</v>
      </c>
    </row>
    <row r="36" spans="2:70" x14ac:dyDescent="0.15">
      <c r="B36" s="95" t="str">
        <f>'MODU 2025'!B39</f>
        <v>REVERCHON Margarida</v>
      </c>
      <c r="C36" s="95" t="str">
        <f>'MODU 2025'!C39</f>
        <v>Logistique</v>
      </c>
      <c r="D36" s="95">
        <f>'MODU 2025'!D39</f>
        <v>39</v>
      </c>
      <c r="E36" s="95">
        <f>'MODU 2025'!G39</f>
        <v>39.75</v>
      </c>
      <c r="F36" s="95">
        <f>'MODU 2025'!H39</f>
        <v>39.25</v>
      </c>
      <c r="G36" s="95">
        <f>'MODU 2025'!I39</f>
        <v>39.75</v>
      </c>
      <c r="H36" s="95">
        <f>'MODU 2025'!J39</f>
        <v>39</v>
      </c>
      <c r="I36" s="95">
        <f>'MODU 2025'!K39</f>
        <v>39</v>
      </c>
      <c r="J36" s="95">
        <f>'MODU 2025'!L39</f>
        <v>39</v>
      </c>
      <c r="K36" s="95">
        <f>'MODU 2025'!M39</f>
        <v>39</v>
      </c>
      <c r="L36" s="95">
        <f>'MODU 2025'!N39</f>
        <v>39</v>
      </c>
      <c r="M36" s="95">
        <f>'MODU 2025'!O39</f>
        <v>39</v>
      </c>
      <c r="N36" s="95">
        <f>'MODU 2025'!P39</f>
        <v>39</v>
      </c>
      <c r="O36" s="95">
        <f>'MODU 2025'!Q39</f>
        <v>39</v>
      </c>
      <c r="P36" s="97"/>
      <c r="Q36" s="97">
        <f>IF(MOD(COLUMN(),2)=0,INDEX(paramètres!$C$4:$C$6,MATCH($C36,paramètres!$B$4:$B$6,0)),INDEX(paramètres!$D$4:$D$6,MATCH($C36,paramètres!$B$4:$B$6,0)))</f>
        <v>39</v>
      </c>
      <c r="R36" s="97">
        <f>IF(MOD(COLUMN(),2)=0,INDEX(paramètres!$C$4:$C$6,MATCH($C36,paramètres!$B$4:$B$6,0)),INDEX(paramètres!$D$4:$D$6,MATCH($C36,paramètres!$B$4:$B$6,0)))</f>
        <v>39</v>
      </c>
      <c r="S36" s="97">
        <f>IF(MOD(COLUMN(),2)=0,INDEX(paramètres!$C$4:$C$6,MATCH($C36,paramètres!$B$4:$B$6,0)),INDEX(paramètres!$D$4:$D$6,MATCH($C36,paramètres!$B$4:$B$6,0)))</f>
        <v>39</v>
      </c>
      <c r="T36" s="97">
        <f>IF(MOD(COLUMN(),2)=0,INDEX(paramètres!$C$4:$C$6,MATCH($C36,paramètres!$B$4:$B$6,0)),INDEX(paramètres!$D$4:$D$6,MATCH($C36,paramètres!$B$4:$B$6,0)))</f>
        <v>39</v>
      </c>
      <c r="U36" s="97">
        <f>IF(MOD(COLUMN(),2)=0,INDEX(paramètres!$C$4:$C$6,MATCH($C36,paramètres!$B$4:$B$6,0)),INDEX(paramètres!$D$4:$D$6,MATCH($C36,paramètres!$B$4:$B$6,0)))</f>
        <v>39</v>
      </c>
      <c r="V36" s="97">
        <f>IF(MOD(COLUMN(),2)=0,INDEX(paramètres!$C$4:$C$6,MATCH($C36,paramètres!$B$4:$B$6,0)),INDEX(paramètres!$D$4:$D$6,MATCH($C36,paramètres!$B$4:$B$6,0)))</f>
        <v>39</v>
      </c>
      <c r="W36" s="97">
        <f>IF(MOD(COLUMN(),2)=0,INDEX(paramètres!$C$4:$C$6,MATCH($C36,paramètres!$B$4:$B$6,0)),INDEX(paramètres!$D$4:$D$6,MATCH($C36,paramètres!$B$4:$B$6,0)))</f>
        <v>39</v>
      </c>
      <c r="X36" s="97">
        <f>IF(MOD(COLUMN(),2)=0,INDEX(paramètres!$C$4:$C$6,MATCH($C36,paramètres!$B$4:$B$6,0)),INDEX(paramètres!$D$4:$D$6,MATCH($C36,paramètres!$B$4:$B$6,0)))</f>
        <v>39</v>
      </c>
      <c r="Y36" s="97">
        <f>IF(MOD(COLUMN(),2)=0,INDEX(paramètres!$C$4:$C$6,MATCH($C36,paramètres!$B$4:$B$6,0)),INDEX(paramètres!$D$4:$D$6,MATCH($C36,paramètres!$B$4:$B$6,0)))</f>
        <v>39</v>
      </c>
      <c r="Z36" s="97">
        <f>IF(MOD(COLUMN(),2)=0,INDEX(paramètres!$C$4:$C$6,MATCH($C36,paramètres!$B$4:$B$6,0)),INDEX(paramètres!$D$4:$D$6,MATCH($C36,paramètres!$B$4:$B$6,0)))</f>
        <v>39</v>
      </c>
      <c r="AA36" s="97">
        <f>IF(MOD(COLUMN(),2)=0,INDEX(paramètres!$C$4:$C$6,MATCH($C36,paramètres!$B$4:$B$6,0)),INDEX(paramètres!$D$4:$D$6,MATCH($C36,paramètres!$B$4:$B$6,0)))</f>
        <v>39</v>
      </c>
      <c r="AB36" s="98"/>
      <c r="AC36" s="97">
        <f t="shared" si="15"/>
        <v>0</v>
      </c>
      <c r="AD36" s="97">
        <f t="shared" si="16"/>
        <v>1</v>
      </c>
      <c r="AE36" s="97">
        <f t="shared" si="17"/>
        <v>0</v>
      </c>
      <c r="AF36" s="97">
        <f t="shared" si="18"/>
        <v>0</v>
      </c>
      <c r="AG36" s="97">
        <f t="shared" si="19"/>
        <v>0</v>
      </c>
      <c r="AH36" s="97">
        <f t="shared" si="20"/>
        <v>0</v>
      </c>
      <c r="AI36" s="97">
        <f t="shared" si="21"/>
        <v>0</v>
      </c>
      <c r="AJ36" s="97">
        <f t="shared" si="22"/>
        <v>0</v>
      </c>
      <c r="AK36" s="97">
        <f t="shared" si="23"/>
        <v>0</v>
      </c>
      <c r="AL36" s="97">
        <f t="shared" si="24"/>
        <v>0</v>
      </c>
      <c r="AM36" s="97">
        <f t="shared" si="25"/>
        <v>0</v>
      </c>
      <c r="AN36" s="36"/>
      <c r="AO36" s="97" t="str" cm="1">
        <f t="array" ref="AO36">IFERROR(
_xlfn.IFS(AND(AC36&gt;0,AC36&lt;($AP$3-$D36)),AC36*$AO$3,
AND(AC36&gt;0,AC36&gt;($AP$3-$D36)),($AP$3-$D36)*$AO$3),"")</f>
        <v/>
      </c>
      <c r="AP36" s="97" cm="1">
        <f t="array" ref="AP36">IFERROR(
_xlfn.IFS(AND(AD36&gt;0,AD36&lt;($AP$3-$D36)),AD36*$AO$3,
AND(AD36&gt;0,AD36&gt;($AP$3-$D36)),($AP$3-$D36)*$AO$3),"")</f>
        <v>1.25</v>
      </c>
      <c r="AQ36" s="97" t="str" cm="1">
        <f t="array" ref="AQ36">IFERROR(
_xlfn.IFS(AND(AE36&gt;0,AE36&lt;($AP$3-$D36)),AE36*$AO$3,
AND(AE36&gt;0,AE36&gt;($AP$3-$D36)),($AP$3-$D36)*$AO$3),"")</f>
        <v/>
      </c>
      <c r="AR36" s="97" t="str" cm="1">
        <f t="array" ref="AR36">IFERROR(
_xlfn.IFS(AND(AF36&gt;0,AF36&lt;($AP$3-$D36)),AF36*$AO$3,
AND(AF36&gt;0,AF36&gt;($AP$3-$D36)),($AP$3-$D36)*$AO$3),"")</f>
        <v/>
      </c>
      <c r="AS36" s="97" t="str" cm="1">
        <f t="array" ref="AS36">IFERROR(
_xlfn.IFS(AND(AG36&gt;0,AG36&lt;($AP$3-$D36)),AG36*$AO$3,
AND(AG36&gt;0,AG36&gt;($AP$3-$D36)),($AP$3-$D36)*$AO$3),"")</f>
        <v/>
      </c>
      <c r="AT36" s="97" t="str" cm="1">
        <f t="array" ref="AT36">IFERROR(
_xlfn.IFS(AND(AH36&gt;0,AH36&lt;($AP$3-$D36)),AH36*$AO$3,
AND(AH36&gt;0,AH36&gt;($AP$3-$D36)),($AP$3-$D36)*$AO$3),"")</f>
        <v/>
      </c>
      <c r="AU36" s="97" t="str" cm="1">
        <f t="array" ref="AU36">IFERROR(
_xlfn.IFS(AND(AI36&gt;0,AI36&lt;($AP$3-$D36)),AI36*$AO$3,
AND(AI36&gt;0,AI36&gt;($AP$3-$D36)),($AP$3-$D36)*$AO$3),"")</f>
        <v/>
      </c>
      <c r="AV36" s="97" t="str" cm="1">
        <f t="array" ref="AV36">IFERROR(
_xlfn.IFS(AND(AJ36&gt;0,AJ36&lt;($AP$3-$D36)),AJ36*$AO$3,
AND(AJ36&gt;0,AJ36&gt;($AP$3-$D36)),($AP$3-$D36)*$AO$3),"")</f>
        <v/>
      </c>
      <c r="AW36" s="97" t="str" cm="1">
        <f t="array" ref="AW36">IFERROR(
_xlfn.IFS(AND(AK36&gt;0,AK36&lt;($AP$3-$D36)),AK36*$AO$3,
AND(AK36&gt;0,AK36&gt;($AP$3-$D36)),($AP$3-$D36)*$AO$3),"")</f>
        <v/>
      </c>
      <c r="AX36" s="97" t="str" cm="1">
        <f t="array" ref="AX36">IFERROR(
_xlfn.IFS(AND(AL36&gt;0,AL36&lt;($AP$3-$D36)),AL36*$AO$3,
AND(AL36&gt;0,AL36&gt;($AP$3-$D36)),($AP$3-$D36)*$AO$3),"")</f>
        <v/>
      </c>
      <c r="AY36" s="97" t="str" cm="1">
        <f t="array" ref="AY36">IFERROR(
_xlfn.IFS(AND(AM36&gt;0,AM36&lt;($AP$3-$D36)),AM36*$AO$3,
AND(AM36&gt;0,AM36&gt;($AP$3-$D36)),($AP$3-$D36)*$AO$3),"")</f>
        <v/>
      </c>
      <c r="AZ36" s="97">
        <f t="shared" si="26"/>
        <v>1.25</v>
      </c>
      <c r="BA36" s="93"/>
      <c r="BB36" s="92"/>
      <c r="BC36" s="97" t="str">
        <f t="shared" si="27"/>
        <v/>
      </c>
      <c r="BD36" s="97" t="str">
        <f t="shared" si="28"/>
        <v/>
      </c>
      <c r="BE36" s="97" t="str">
        <f t="shared" si="29"/>
        <v/>
      </c>
      <c r="BF36" s="97" t="str">
        <f t="shared" si="30"/>
        <v/>
      </c>
      <c r="BG36" s="97" t="str">
        <f t="shared" si="31"/>
        <v/>
      </c>
      <c r="BH36" s="97" t="str">
        <f t="shared" si="32"/>
        <v/>
      </c>
      <c r="BI36" s="97" t="str">
        <f t="shared" si="33"/>
        <v/>
      </c>
      <c r="BJ36" s="97" t="str">
        <f t="shared" si="34"/>
        <v/>
      </c>
      <c r="BK36" s="97" t="str">
        <f t="shared" si="35"/>
        <v/>
      </c>
      <c r="BL36" s="97" t="str">
        <f t="shared" si="36"/>
        <v/>
      </c>
      <c r="BM36" s="97" t="str">
        <f t="shared" si="37"/>
        <v/>
      </c>
      <c r="BN36" s="97">
        <f t="shared" si="38"/>
        <v>0</v>
      </c>
      <c r="BP36" s="92">
        <f t="shared" si="40"/>
        <v>1.25</v>
      </c>
      <c r="BR36" s="92">
        <f t="shared" si="39"/>
        <v>1.25</v>
      </c>
    </row>
    <row r="37" spans="2:70" x14ac:dyDescent="0.15">
      <c r="B37" s="95" t="str">
        <f>'MODU 2025'!B40</f>
        <v>REVERDY Mattéo</v>
      </c>
      <c r="C37" s="95" t="str">
        <f>'MODU 2025'!C40</f>
        <v>Production</v>
      </c>
      <c r="D37" s="95">
        <f>'MODU 2025'!D40</f>
        <v>37</v>
      </c>
      <c r="E37" s="95">
        <f>'MODU 2025'!G40</f>
        <v>39</v>
      </c>
      <c r="F37" s="95">
        <f>'MODU 2025'!H40</f>
        <v>39</v>
      </c>
      <c r="G37" s="95">
        <f>'MODU 2025'!I40</f>
        <v>39</v>
      </c>
      <c r="H37" s="95">
        <f>'MODU 2025'!J40</f>
        <v>33</v>
      </c>
      <c r="I37" s="95">
        <f>'MODU 2025'!K40</f>
        <v>41</v>
      </c>
      <c r="J37" s="95">
        <f>'MODU 2025'!L40</f>
        <v>33</v>
      </c>
      <c r="K37" s="95">
        <f>'MODU 2025'!M40</f>
        <v>41</v>
      </c>
      <c r="L37" s="95">
        <f>'MODU 2025'!N40</f>
        <v>33</v>
      </c>
      <c r="M37" s="95">
        <f>'MODU 2025'!O40</f>
        <v>41</v>
      </c>
      <c r="N37" s="95">
        <f>'MODU 2025'!P40</f>
        <v>33</v>
      </c>
      <c r="O37" s="95">
        <f>'MODU 2025'!Q40</f>
        <v>41</v>
      </c>
      <c r="P37" s="97"/>
      <c r="Q37" s="97">
        <f>IF(MOD(COLUMN(),2)=0,INDEX(paramètres!$C$4:$C$6,MATCH($C37,paramètres!$B$4:$B$6,0)),INDEX(paramètres!$D$4:$D$6,MATCH($C37,paramètres!$B$4:$B$6,0)))</f>
        <v>41</v>
      </c>
      <c r="R37" s="97">
        <f>IF(MOD(COLUMN(),2)=0,INDEX(paramètres!$C$4:$C$6,MATCH($C37,paramètres!$B$4:$B$6,0)),INDEX(paramètres!$D$4:$D$6,MATCH($C37,paramètres!$B$4:$B$6,0)))</f>
        <v>33</v>
      </c>
      <c r="S37" s="97">
        <f>IF(MOD(COLUMN(),2)=0,INDEX(paramètres!$C$4:$C$6,MATCH($C37,paramètres!$B$4:$B$6,0)),INDEX(paramètres!$D$4:$D$6,MATCH($C37,paramètres!$B$4:$B$6,0)))</f>
        <v>41</v>
      </c>
      <c r="T37" s="97">
        <f>IF(MOD(COLUMN(),2)=0,INDEX(paramètres!$C$4:$C$6,MATCH($C37,paramètres!$B$4:$B$6,0)),INDEX(paramètres!$D$4:$D$6,MATCH($C37,paramètres!$B$4:$B$6,0)))</f>
        <v>33</v>
      </c>
      <c r="U37" s="97">
        <f>IF(MOD(COLUMN(),2)=0,INDEX(paramètres!$C$4:$C$6,MATCH($C37,paramètres!$B$4:$B$6,0)),INDEX(paramètres!$D$4:$D$6,MATCH($C37,paramètres!$B$4:$B$6,0)))</f>
        <v>41</v>
      </c>
      <c r="V37" s="97">
        <f>IF(MOD(COLUMN(),2)=0,INDEX(paramètres!$C$4:$C$6,MATCH($C37,paramètres!$B$4:$B$6,0)),INDEX(paramètres!$D$4:$D$6,MATCH($C37,paramètres!$B$4:$B$6,0)))</f>
        <v>33</v>
      </c>
      <c r="W37" s="97">
        <f>IF(MOD(COLUMN(),2)=0,INDEX(paramètres!$C$4:$C$6,MATCH($C37,paramètres!$B$4:$B$6,0)),INDEX(paramètres!$D$4:$D$6,MATCH($C37,paramètres!$B$4:$B$6,0)))</f>
        <v>41</v>
      </c>
      <c r="X37" s="97">
        <f>IF(MOD(COLUMN(),2)=0,INDEX(paramètres!$C$4:$C$6,MATCH($C37,paramètres!$B$4:$B$6,0)),INDEX(paramètres!$D$4:$D$6,MATCH($C37,paramètres!$B$4:$B$6,0)))</f>
        <v>33</v>
      </c>
      <c r="Y37" s="97">
        <f>IF(MOD(COLUMN(),2)=0,INDEX(paramètres!$C$4:$C$6,MATCH($C37,paramètres!$B$4:$B$6,0)),INDEX(paramètres!$D$4:$D$6,MATCH($C37,paramètres!$B$4:$B$6,0)))</f>
        <v>41</v>
      </c>
      <c r="Z37" s="97">
        <f>IF(MOD(COLUMN(),2)=0,INDEX(paramètres!$C$4:$C$6,MATCH($C37,paramètres!$B$4:$B$6,0)),INDEX(paramètres!$D$4:$D$6,MATCH($C37,paramètres!$B$4:$B$6,0)))</f>
        <v>33</v>
      </c>
      <c r="AA37" s="97">
        <f>IF(MOD(COLUMN(),2)=0,INDEX(paramètres!$C$4:$C$6,MATCH($C37,paramètres!$B$4:$B$6,0)),INDEX(paramètres!$D$4:$D$6,MATCH($C37,paramètres!$B$4:$B$6,0)))</f>
        <v>41</v>
      </c>
      <c r="AB37" s="98"/>
      <c r="AC37" s="97">
        <f t="shared" si="15"/>
        <v>0</v>
      </c>
      <c r="AD37" s="97">
        <f t="shared" si="16"/>
        <v>4</v>
      </c>
      <c r="AE37" s="97">
        <f t="shared" si="17"/>
        <v>0</v>
      </c>
      <c r="AF37" s="97">
        <f t="shared" si="18"/>
        <v>0</v>
      </c>
      <c r="AG37" s="97">
        <f t="shared" si="19"/>
        <v>0</v>
      </c>
      <c r="AH37" s="97">
        <f t="shared" si="20"/>
        <v>0</v>
      </c>
      <c r="AI37" s="97">
        <f t="shared" si="21"/>
        <v>0</v>
      </c>
      <c r="AJ37" s="97">
        <f t="shared" si="22"/>
        <v>0</v>
      </c>
      <c r="AK37" s="97">
        <f t="shared" si="23"/>
        <v>0</v>
      </c>
      <c r="AL37" s="97">
        <f t="shared" si="24"/>
        <v>0</v>
      </c>
      <c r="AM37" s="97">
        <f t="shared" si="25"/>
        <v>0</v>
      </c>
      <c r="AN37" s="36"/>
      <c r="AO37" s="97" t="str" cm="1">
        <f t="array" ref="AO37">IFERROR(
_xlfn.IFS(AND(AC37&gt;0,AC37&lt;($AP$3-$D37)),AC37*$AO$3,
AND(AC37&gt;0,AC37&gt;($AP$3-$D37)),($AP$3-$D37)*$AO$3),"")</f>
        <v/>
      </c>
      <c r="AP37" s="97" cm="1">
        <f t="array" ref="AP37">IFERROR(
_xlfn.IFS(AND(AD37&gt;0,AD37&lt;($AP$3-$D37)),AD37*$AO$3,
AND(AD37&gt;0,AD37&gt;($AP$3-$D37)),($AP$3-$D37)*$AO$3),"")</f>
        <v>5</v>
      </c>
      <c r="AQ37" s="97" t="str" cm="1">
        <f t="array" ref="AQ37">IFERROR(
_xlfn.IFS(AND(AE37&gt;0,AE37&lt;($AP$3-$D37)),AE37*$AO$3,
AND(AE37&gt;0,AE37&gt;($AP$3-$D37)),($AP$3-$D37)*$AO$3),"")</f>
        <v/>
      </c>
      <c r="AR37" s="97" t="str" cm="1">
        <f t="array" ref="AR37">IFERROR(
_xlfn.IFS(AND(AF37&gt;0,AF37&lt;($AP$3-$D37)),AF37*$AO$3,
AND(AF37&gt;0,AF37&gt;($AP$3-$D37)),($AP$3-$D37)*$AO$3),"")</f>
        <v/>
      </c>
      <c r="AS37" s="97" t="str" cm="1">
        <f t="array" ref="AS37">IFERROR(
_xlfn.IFS(AND(AG37&gt;0,AG37&lt;($AP$3-$D37)),AG37*$AO$3,
AND(AG37&gt;0,AG37&gt;($AP$3-$D37)),($AP$3-$D37)*$AO$3),"")</f>
        <v/>
      </c>
      <c r="AT37" s="97" t="str" cm="1">
        <f t="array" ref="AT37">IFERROR(
_xlfn.IFS(AND(AH37&gt;0,AH37&lt;($AP$3-$D37)),AH37*$AO$3,
AND(AH37&gt;0,AH37&gt;($AP$3-$D37)),($AP$3-$D37)*$AO$3),"")</f>
        <v/>
      </c>
      <c r="AU37" s="97" t="str" cm="1">
        <f t="array" ref="AU37">IFERROR(
_xlfn.IFS(AND(AI37&gt;0,AI37&lt;($AP$3-$D37)),AI37*$AO$3,
AND(AI37&gt;0,AI37&gt;($AP$3-$D37)),($AP$3-$D37)*$AO$3),"")</f>
        <v/>
      </c>
      <c r="AV37" s="97" t="str" cm="1">
        <f t="array" ref="AV37">IFERROR(
_xlfn.IFS(AND(AJ37&gt;0,AJ37&lt;($AP$3-$D37)),AJ37*$AO$3,
AND(AJ37&gt;0,AJ37&gt;($AP$3-$D37)),($AP$3-$D37)*$AO$3),"")</f>
        <v/>
      </c>
      <c r="AW37" s="97" t="str" cm="1">
        <f t="array" ref="AW37">IFERROR(
_xlfn.IFS(AND(AK37&gt;0,AK37&lt;($AP$3-$D37)),AK37*$AO$3,
AND(AK37&gt;0,AK37&gt;($AP$3-$D37)),($AP$3-$D37)*$AO$3),"")</f>
        <v/>
      </c>
      <c r="AX37" s="97" t="str" cm="1">
        <f t="array" ref="AX37">IFERROR(
_xlfn.IFS(AND(AL37&gt;0,AL37&lt;($AP$3-$D37)),AL37*$AO$3,
AND(AL37&gt;0,AL37&gt;($AP$3-$D37)),($AP$3-$D37)*$AO$3),"")</f>
        <v/>
      </c>
      <c r="AY37" s="97" t="str" cm="1">
        <f t="array" ref="AY37">IFERROR(
_xlfn.IFS(AND(AM37&gt;0,AM37&lt;($AP$3-$D37)),AM37*$AO$3,
AND(AM37&gt;0,AM37&gt;($AP$3-$D37)),($AP$3-$D37)*$AO$3),"")</f>
        <v/>
      </c>
      <c r="AZ37" s="97">
        <f t="shared" si="26"/>
        <v>5</v>
      </c>
      <c r="BA37" s="93"/>
      <c r="BB37" s="92"/>
      <c r="BC37" s="97" t="str">
        <f t="shared" si="27"/>
        <v/>
      </c>
      <c r="BD37" s="97" t="str">
        <f t="shared" si="28"/>
        <v/>
      </c>
      <c r="BE37" s="97" t="str">
        <f t="shared" si="29"/>
        <v/>
      </c>
      <c r="BF37" s="97" t="str">
        <f t="shared" si="30"/>
        <v/>
      </c>
      <c r="BG37" s="97" t="str">
        <f t="shared" si="31"/>
        <v/>
      </c>
      <c r="BH37" s="97" t="str">
        <f t="shared" si="32"/>
        <v/>
      </c>
      <c r="BI37" s="97" t="str">
        <f t="shared" si="33"/>
        <v/>
      </c>
      <c r="BJ37" s="97" t="str">
        <f t="shared" si="34"/>
        <v/>
      </c>
      <c r="BK37" s="97" t="str">
        <f t="shared" si="35"/>
        <v/>
      </c>
      <c r="BL37" s="97" t="str">
        <f t="shared" si="36"/>
        <v/>
      </c>
      <c r="BM37" s="97" t="str">
        <f t="shared" si="37"/>
        <v/>
      </c>
      <c r="BN37" s="97">
        <f t="shared" si="38"/>
        <v>0</v>
      </c>
      <c r="BP37" s="92">
        <f t="shared" si="40"/>
        <v>5</v>
      </c>
      <c r="BR37" s="92">
        <f t="shared" si="39"/>
        <v>5</v>
      </c>
    </row>
    <row r="38" spans="2:70" x14ac:dyDescent="0.15">
      <c r="B38" s="95" t="str">
        <f>'MODU 2025'!B41</f>
        <v>ROBERT Cécile</v>
      </c>
      <c r="C38" s="95" t="str">
        <f>'MODU 2025'!C41</f>
        <v>Production</v>
      </c>
      <c r="D38" s="95">
        <f>'MODU 2025'!D41</f>
        <v>37</v>
      </c>
      <c r="E38" s="95">
        <f>'MODU 2025'!G41</f>
        <v>33</v>
      </c>
      <c r="F38" s="95">
        <f>'MODU 2025'!H41</f>
        <v>41</v>
      </c>
      <c r="G38" s="95">
        <f>'MODU 2025'!I41</f>
        <v>33</v>
      </c>
      <c r="H38" s="95">
        <f>'MODU 2025'!J41</f>
        <v>41</v>
      </c>
      <c r="I38" s="95">
        <f>'MODU 2025'!K41</f>
        <v>33</v>
      </c>
      <c r="J38" s="95">
        <f>'MODU 2025'!L41</f>
        <v>41</v>
      </c>
      <c r="K38" s="95">
        <f>'MODU 2025'!M41</f>
        <v>33</v>
      </c>
      <c r="L38" s="95">
        <f>'MODU 2025'!N41</f>
        <v>41</v>
      </c>
      <c r="M38" s="95">
        <f>'MODU 2025'!O41</f>
        <v>33</v>
      </c>
      <c r="N38" s="95">
        <f>'MODU 2025'!P41</f>
        <v>41</v>
      </c>
      <c r="O38" s="95">
        <f>'MODU 2025'!Q41</f>
        <v>33</v>
      </c>
      <c r="P38" s="97"/>
      <c r="Q38" s="97">
        <f>IF(MOD(COLUMN(),2)=0,INDEX(paramètres!$C$4:$C$6,MATCH($C38,paramètres!$B$4:$B$6,0)),INDEX(paramètres!$D$4:$D$6,MATCH($C38,paramètres!$B$4:$B$6,0)))</f>
        <v>41</v>
      </c>
      <c r="R38" s="97">
        <f>IF(MOD(COLUMN(),2)=0,INDEX(paramètres!$C$4:$C$6,MATCH($C38,paramètres!$B$4:$B$6,0)),INDEX(paramètres!$D$4:$D$6,MATCH($C38,paramètres!$B$4:$B$6,0)))</f>
        <v>33</v>
      </c>
      <c r="S38" s="97">
        <f>IF(MOD(COLUMN(),2)=0,INDEX(paramètres!$C$4:$C$6,MATCH($C38,paramètres!$B$4:$B$6,0)),INDEX(paramètres!$D$4:$D$6,MATCH($C38,paramètres!$B$4:$B$6,0)))</f>
        <v>41</v>
      </c>
      <c r="T38" s="97">
        <f>IF(MOD(COLUMN(),2)=0,INDEX(paramètres!$C$4:$C$6,MATCH($C38,paramètres!$B$4:$B$6,0)),INDEX(paramètres!$D$4:$D$6,MATCH($C38,paramètres!$B$4:$B$6,0)))</f>
        <v>33</v>
      </c>
      <c r="U38" s="97">
        <f>IF(MOD(COLUMN(),2)=0,INDEX(paramètres!$C$4:$C$6,MATCH($C38,paramètres!$B$4:$B$6,0)),INDEX(paramètres!$D$4:$D$6,MATCH($C38,paramètres!$B$4:$B$6,0)))</f>
        <v>41</v>
      </c>
      <c r="V38" s="97">
        <f>IF(MOD(COLUMN(),2)=0,INDEX(paramètres!$C$4:$C$6,MATCH($C38,paramètres!$B$4:$B$6,0)),INDEX(paramètres!$D$4:$D$6,MATCH($C38,paramètres!$B$4:$B$6,0)))</f>
        <v>33</v>
      </c>
      <c r="W38" s="97">
        <f>IF(MOD(COLUMN(),2)=0,INDEX(paramètres!$C$4:$C$6,MATCH($C38,paramètres!$B$4:$B$6,0)),INDEX(paramètres!$D$4:$D$6,MATCH($C38,paramètres!$B$4:$B$6,0)))</f>
        <v>41</v>
      </c>
      <c r="X38" s="97">
        <f>IF(MOD(COLUMN(),2)=0,INDEX(paramètres!$C$4:$C$6,MATCH($C38,paramètres!$B$4:$B$6,0)),INDEX(paramètres!$D$4:$D$6,MATCH($C38,paramètres!$B$4:$B$6,0)))</f>
        <v>33</v>
      </c>
      <c r="Y38" s="97">
        <f>IF(MOD(COLUMN(),2)=0,INDEX(paramètres!$C$4:$C$6,MATCH($C38,paramètres!$B$4:$B$6,0)),INDEX(paramètres!$D$4:$D$6,MATCH($C38,paramètres!$B$4:$B$6,0)))</f>
        <v>41</v>
      </c>
      <c r="Z38" s="97">
        <f>IF(MOD(COLUMN(),2)=0,INDEX(paramètres!$C$4:$C$6,MATCH($C38,paramètres!$B$4:$B$6,0)),INDEX(paramètres!$D$4:$D$6,MATCH($C38,paramètres!$B$4:$B$6,0)))</f>
        <v>33</v>
      </c>
      <c r="AA38" s="97">
        <f>IF(MOD(COLUMN(),2)=0,INDEX(paramètres!$C$4:$C$6,MATCH($C38,paramètres!$B$4:$B$6,0)),INDEX(paramètres!$D$4:$D$6,MATCH($C38,paramètres!$B$4:$B$6,0)))</f>
        <v>41</v>
      </c>
      <c r="AB38" s="98"/>
      <c r="AC38" s="97">
        <f t="shared" si="15"/>
        <v>0</v>
      </c>
      <c r="AD38" s="97">
        <f t="shared" si="16"/>
        <v>0</v>
      </c>
      <c r="AE38" s="97">
        <f t="shared" si="17"/>
        <v>0</v>
      </c>
      <c r="AF38" s="97">
        <f t="shared" si="18"/>
        <v>0</v>
      </c>
      <c r="AG38" s="97">
        <f t="shared" si="19"/>
        <v>0</v>
      </c>
      <c r="AH38" s="97">
        <f t="shared" si="20"/>
        <v>0</v>
      </c>
      <c r="AI38" s="97">
        <f t="shared" si="21"/>
        <v>0</v>
      </c>
      <c r="AJ38" s="97">
        <f t="shared" si="22"/>
        <v>0</v>
      </c>
      <c r="AK38" s="97">
        <f t="shared" si="23"/>
        <v>0</v>
      </c>
      <c r="AL38" s="97">
        <f t="shared" si="24"/>
        <v>0</v>
      </c>
      <c r="AM38" s="97">
        <f t="shared" si="25"/>
        <v>0</v>
      </c>
      <c r="AN38" s="36"/>
      <c r="AO38" s="97" t="str" cm="1">
        <f t="array" ref="AO38">IFERROR(
_xlfn.IFS(AND(AC38&gt;0,AC38&lt;($AP$3-$D38)),AC38*$AO$3,
AND(AC38&gt;0,AC38&gt;($AP$3-$D38)),($AP$3-$D38)*$AO$3),"")</f>
        <v/>
      </c>
      <c r="AP38" s="97" t="str" cm="1">
        <f t="array" ref="AP38">IFERROR(
_xlfn.IFS(AND(AD38&gt;0,AD38&lt;($AP$3-$D38)),AD38*$AO$3,
AND(AD38&gt;0,AD38&gt;($AP$3-$D38)),($AP$3-$D38)*$AO$3),"")</f>
        <v/>
      </c>
      <c r="AQ38" s="97" t="str" cm="1">
        <f t="array" ref="AQ38">IFERROR(
_xlfn.IFS(AND(AE38&gt;0,AE38&lt;($AP$3-$D38)),AE38*$AO$3,
AND(AE38&gt;0,AE38&gt;($AP$3-$D38)),($AP$3-$D38)*$AO$3),"")</f>
        <v/>
      </c>
      <c r="AR38" s="97" t="str" cm="1">
        <f t="array" ref="AR38">IFERROR(
_xlfn.IFS(AND(AF38&gt;0,AF38&lt;($AP$3-$D38)),AF38*$AO$3,
AND(AF38&gt;0,AF38&gt;($AP$3-$D38)),($AP$3-$D38)*$AO$3),"")</f>
        <v/>
      </c>
      <c r="AS38" s="97" t="str" cm="1">
        <f t="array" ref="AS38">IFERROR(
_xlfn.IFS(AND(AG38&gt;0,AG38&lt;($AP$3-$D38)),AG38*$AO$3,
AND(AG38&gt;0,AG38&gt;($AP$3-$D38)),($AP$3-$D38)*$AO$3),"")</f>
        <v/>
      </c>
      <c r="AT38" s="97" t="str" cm="1">
        <f t="array" ref="AT38">IFERROR(
_xlfn.IFS(AND(AH38&gt;0,AH38&lt;($AP$3-$D38)),AH38*$AO$3,
AND(AH38&gt;0,AH38&gt;($AP$3-$D38)),($AP$3-$D38)*$AO$3),"")</f>
        <v/>
      </c>
      <c r="AU38" s="97" t="str" cm="1">
        <f t="array" ref="AU38">IFERROR(
_xlfn.IFS(AND(AI38&gt;0,AI38&lt;($AP$3-$D38)),AI38*$AO$3,
AND(AI38&gt;0,AI38&gt;($AP$3-$D38)),($AP$3-$D38)*$AO$3),"")</f>
        <v/>
      </c>
      <c r="AV38" s="97" t="str" cm="1">
        <f t="array" ref="AV38">IFERROR(
_xlfn.IFS(AND(AJ38&gt;0,AJ38&lt;($AP$3-$D38)),AJ38*$AO$3,
AND(AJ38&gt;0,AJ38&gt;($AP$3-$D38)),($AP$3-$D38)*$AO$3),"")</f>
        <v/>
      </c>
      <c r="AW38" s="97" t="str" cm="1">
        <f t="array" ref="AW38">IFERROR(
_xlfn.IFS(AND(AK38&gt;0,AK38&lt;($AP$3-$D38)),AK38*$AO$3,
AND(AK38&gt;0,AK38&gt;($AP$3-$D38)),($AP$3-$D38)*$AO$3),"")</f>
        <v/>
      </c>
      <c r="AX38" s="97" t="str" cm="1">
        <f t="array" ref="AX38">IFERROR(
_xlfn.IFS(AND(AL38&gt;0,AL38&lt;($AP$3-$D38)),AL38*$AO$3,
AND(AL38&gt;0,AL38&gt;($AP$3-$D38)),($AP$3-$D38)*$AO$3),"")</f>
        <v/>
      </c>
      <c r="AY38" s="97" t="str" cm="1">
        <f t="array" ref="AY38">IFERROR(
_xlfn.IFS(AND(AM38&gt;0,AM38&lt;($AP$3-$D38)),AM38*$AO$3,
AND(AM38&gt;0,AM38&gt;($AP$3-$D38)),($AP$3-$D38)*$AO$3),"")</f>
        <v/>
      </c>
      <c r="AZ38" s="97">
        <f t="shared" si="26"/>
        <v>0</v>
      </c>
      <c r="BA38" s="93"/>
      <c r="BB38" s="92"/>
      <c r="BC38" s="97" t="str">
        <f t="shared" si="27"/>
        <v/>
      </c>
      <c r="BD38" s="97" t="str">
        <f t="shared" si="28"/>
        <v/>
      </c>
      <c r="BE38" s="97" t="str">
        <f t="shared" si="29"/>
        <v/>
      </c>
      <c r="BF38" s="97" t="str">
        <f t="shared" si="30"/>
        <v/>
      </c>
      <c r="BG38" s="97" t="str">
        <f t="shared" si="31"/>
        <v/>
      </c>
      <c r="BH38" s="97" t="str">
        <f t="shared" si="32"/>
        <v/>
      </c>
      <c r="BI38" s="97" t="str">
        <f t="shared" si="33"/>
        <v/>
      </c>
      <c r="BJ38" s="97" t="str">
        <f t="shared" si="34"/>
        <v/>
      </c>
      <c r="BK38" s="97" t="str">
        <f t="shared" si="35"/>
        <v/>
      </c>
      <c r="BL38" s="97" t="str">
        <f t="shared" si="36"/>
        <v/>
      </c>
      <c r="BM38" s="97" t="str">
        <f t="shared" si="37"/>
        <v/>
      </c>
      <c r="BN38" s="97">
        <f t="shared" si="38"/>
        <v>0</v>
      </c>
      <c r="BP38" s="92">
        <f t="shared" si="40"/>
        <v>0</v>
      </c>
      <c r="BR38" s="92">
        <f t="shared" si="39"/>
        <v>0</v>
      </c>
    </row>
    <row r="39" spans="2:70" x14ac:dyDescent="0.15">
      <c r="B39" s="95" t="str">
        <f>'MODU 2025'!B42</f>
        <v>ROSSELLO Yasmina</v>
      </c>
      <c r="C39" s="95" t="str">
        <f>'MODU 2025'!C42</f>
        <v>Production</v>
      </c>
      <c r="D39" s="95">
        <f>'MODU 2025'!D42</f>
        <v>37</v>
      </c>
      <c r="E39" s="95">
        <f>'MODU 2025'!G42</f>
        <v>41.25</v>
      </c>
      <c r="F39" s="95">
        <f>'MODU 2025'!H42</f>
        <v>33</v>
      </c>
      <c r="G39" s="95">
        <f>'MODU 2025'!I42</f>
        <v>41</v>
      </c>
      <c r="H39" s="95">
        <f>'MODU 2025'!J42</f>
        <v>33</v>
      </c>
      <c r="I39" s="95">
        <f>'MODU 2025'!K42</f>
        <v>41</v>
      </c>
      <c r="J39" s="95">
        <f>'MODU 2025'!L42</f>
        <v>33</v>
      </c>
      <c r="K39" s="95">
        <f>'MODU 2025'!M42</f>
        <v>41</v>
      </c>
      <c r="L39" s="95">
        <f>'MODU 2025'!N42</f>
        <v>33</v>
      </c>
      <c r="M39" s="95">
        <f>'MODU 2025'!O42</f>
        <v>41</v>
      </c>
      <c r="N39" s="95">
        <f>'MODU 2025'!P42</f>
        <v>33</v>
      </c>
      <c r="O39" s="95">
        <f>'MODU 2025'!Q42</f>
        <v>41</v>
      </c>
      <c r="P39" s="97"/>
      <c r="Q39" s="97">
        <f>IF(MOD(COLUMN(),2)=0,INDEX(paramètres!$C$4:$C$6,MATCH($C39,paramètres!$B$4:$B$6,0)),INDEX(paramètres!$D$4:$D$6,MATCH($C39,paramètres!$B$4:$B$6,0)))</f>
        <v>41</v>
      </c>
      <c r="R39" s="97">
        <f>IF(MOD(COLUMN(),2)=0,INDEX(paramètres!$C$4:$C$6,MATCH($C39,paramètres!$B$4:$B$6,0)),INDEX(paramètres!$D$4:$D$6,MATCH($C39,paramètres!$B$4:$B$6,0)))</f>
        <v>33</v>
      </c>
      <c r="S39" s="97">
        <f>IF(MOD(COLUMN(),2)=0,INDEX(paramètres!$C$4:$C$6,MATCH($C39,paramètres!$B$4:$B$6,0)),INDEX(paramètres!$D$4:$D$6,MATCH($C39,paramètres!$B$4:$B$6,0)))</f>
        <v>41</v>
      </c>
      <c r="T39" s="97">
        <f>IF(MOD(COLUMN(),2)=0,INDEX(paramètres!$C$4:$C$6,MATCH($C39,paramètres!$B$4:$B$6,0)),INDEX(paramètres!$D$4:$D$6,MATCH($C39,paramètres!$B$4:$B$6,0)))</f>
        <v>33</v>
      </c>
      <c r="U39" s="97">
        <f>IF(MOD(COLUMN(),2)=0,INDEX(paramètres!$C$4:$C$6,MATCH($C39,paramètres!$B$4:$B$6,0)),INDEX(paramètres!$D$4:$D$6,MATCH($C39,paramètres!$B$4:$B$6,0)))</f>
        <v>41</v>
      </c>
      <c r="V39" s="97">
        <f>IF(MOD(COLUMN(),2)=0,INDEX(paramètres!$C$4:$C$6,MATCH($C39,paramètres!$B$4:$B$6,0)),INDEX(paramètres!$D$4:$D$6,MATCH($C39,paramètres!$B$4:$B$6,0)))</f>
        <v>33</v>
      </c>
      <c r="W39" s="97">
        <f>IF(MOD(COLUMN(),2)=0,INDEX(paramètres!$C$4:$C$6,MATCH($C39,paramètres!$B$4:$B$6,0)),INDEX(paramètres!$D$4:$D$6,MATCH($C39,paramètres!$B$4:$B$6,0)))</f>
        <v>41</v>
      </c>
      <c r="X39" s="97">
        <f>IF(MOD(COLUMN(),2)=0,INDEX(paramètres!$C$4:$C$6,MATCH($C39,paramètres!$B$4:$B$6,0)),INDEX(paramètres!$D$4:$D$6,MATCH($C39,paramètres!$B$4:$B$6,0)))</f>
        <v>33</v>
      </c>
      <c r="Y39" s="97">
        <f>IF(MOD(COLUMN(),2)=0,INDEX(paramètres!$C$4:$C$6,MATCH($C39,paramètres!$B$4:$B$6,0)),INDEX(paramètres!$D$4:$D$6,MATCH($C39,paramètres!$B$4:$B$6,0)))</f>
        <v>41</v>
      </c>
      <c r="Z39" s="97">
        <f>IF(MOD(COLUMN(),2)=0,INDEX(paramètres!$C$4:$C$6,MATCH($C39,paramètres!$B$4:$B$6,0)),INDEX(paramètres!$D$4:$D$6,MATCH($C39,paramètres!$B$4:$B$6,0)))</f>
        <v>33</v>
      </c>
      <c r="AA39" s="97">
        <f>IF(MOD(COLUMN(),2)=0,INDEX(paramètres!$C$4:$C$6,MATCH($C39,paramètres!$B$4:$B$6,0)),INDEX(paramètres!$D$4:$D$6,MATCH($C39,paramètres!$B$4:$B$6,0)))</f>
        <v>41</v>
      </c>
      <c r="AB39" s="98"/>
      <c r="AC39" s="97">
        <f t="shared" si="15"/>
        <v>0</v>
      </c>
      <c r="AD39" s="97">
        <f t="shared" si="16"/>
        <v>0</v>
      </c>
      <c r="AE39" s="97">
        <f t="shared" si="17"/>
        <v>0</v>
      </c>
      <c r="AF39" s="97">
        <f t="shared" si="18"/>
        <v>0</v>
      </c>
      <c r="AG39" s="97">
        <f t="shared" si="19"/>
        <v>0</v>
      </c>
      <c r="AH39" s="97">
        <f t="shared" si="20"/>
        <v>0</v>
      </c>
      <c r="AI39" s="97">
        <f t="shared" si="21"/>
        <v>0</v>
      </c>
      <c r="AJ39" s="97">
        <f t="shared" si="22"/>
        <v>0</v>
      </c>
      <c r="AK39" s="97">
        <f t="shared" si="23"/>
        <v>0</v>
      </c>
      <c r="AL39" s="97">
        <f t="shared" si="24"/>
        <v>0</v>
      </c>
      <c r="AM39" s="97">
        <f t="shared" si="25"/>
        <v>0</v>
      </c>
      <c r="AN39" s="36"/>
      <c r="AO39" s="97" t="str" cm="1">
        <f t="array" ref="AO39">IFERROR(
_xlfn.IFS(AND(AC39&gt;0,AC39&lt;($AP$3-$D39)),AC39*$AO$3,
AND(AC39&gt;0,AC39&gt;($AP$3-$D39)),($AP$3-$D39)*$AO$3),"")</f>
        <v/>
      </c>
      <c r="AP39" s="97" t="str" cm="1">
        <f t="array" ref="AP39">IFERROR(
_xlfn.IFS(AND(AD39&gt;0,AD39&lt;($AP$3-$D39)),AD39*$AO$3,
AND(AD39&gt;0,AD39&gt;($AP$3-$D39)),($AP$3-$D39)*$AO$3),"")</f>
        <v/>
      </c>
      <c r="AQ39" s="97" t="str" cm="1">
        <f t="array" ref="AQ39">IFERROR(
_xlfn.IFS(AND(AE39&gt;0,AE39&lt;($AP$3-$D39)),AE39*$AO$3,
AND(AE39&gt;0,AE39&gt;($AP$3-$D39)),($AP$3-$D39)*$AO$3),"")</f>
        <v/>
      </c>
      <c r="AR39" s="97" t="str" cm="1">
        <f t="array" ref="AR39">IFERROR(
_xlfn.IFS(AND(AF39&gt;0,AF39&lt;($AP$3-$D39)),AF39*$AO$3,
AND(AF39&gt;0,AF39&gt;($AP$3-$D39)),($AP$3-$D39)*$AO$3),"")</f>
        <v/>
      </c>
      <c r="AS39" s="97" t="str" cm="1">
        <f t="array" ref="AS39">IFERROR(
_xlfn.IFS(AND(AG39&gt;0,AG39&lt;($AP$3-$D39)),AG39*$AO$3,
AND(AG39&gt;0,AG39&gt;($AP$3-$D39)),($AP$3-$D39)*$AO$3),"")</f>
        <v/>
      </c>
      <c r="AT39" s="97" t="str" cm="1">
        <f t="array" ref="AT39">IFERROR(
_xlfn.IFS(AND(AH39&gt;0,AH39&lt;($AP$3-$D39)),AH39*$AO$3,
AND(AH39&gt;0,AH39&gt;($AP$3-$D39)),($AP$3-$D39)*$AO$3),"")</f>
        <v/>
      </c>
      <c r="AU39" s="97" t="str" cm="1">
        <f t="array" ref="AU39">IFERROR(
_xlfn.IFS(AND(AI39&gt;0,AI39&lt;($AP$3-$D39)),AI39*$AO$3,
AND(AI39&gt;0,AI39&gt;($AP$3-$D39)),($AP$3-$D39)*$AO$3),"")</f>
        <v/>
      </c>
      <c r="AV39" s="97" t="str" cm="1">
        <f t="array" ref="AV39">IFERROR(
_xlfn.IFS(AND(AJ39&gt;0,AJ39&lt;($AP$3-$D39)),AJ39*$AO$3,
AND(AJ39&gt;0,AJ39&gt;($AP$3-$D39)),($AP$3-$D39)*$AO$3),"")</f>
        <v/>
      </c>
      <c r="AW39" s="97" t="str" cm="1">
        <f t="array" ref="AW39">IFERROR(
_xlfn.IFS(AND(AK39&gt;0,AK39&lt;($AP$3-$D39)),AK39*$AO$3,
AND(AK39&gt;0,AK39&gt;($AP$3-$D39)),($AP$3-$D39)*$AO$3),"")</f>
        <v/>
      </c>
      <c r="AX39" s="97" t="str" cm="1">
        <f t="array" ref="AX39">IFERROR(
_xlfn.IFS(AND(AL39&gt;0,AL39&lt;($AP$3-$D39)),AL39*$AO$3,
AND(AL39&gt;0,AL39&gt;($AP$3-$D39)),($AP$3-$D39)*$AO$3),"")</f>
        <v/>
      </c>
      <c r="AY39" s="97" t="str" cm="1">
        <f t="array" ref="AY39">IFERROR(
_xlfn.IFS(AND(AM39&gt;0,AM39&lt;($AP$3-$D39)),AM39*$AO$3,
AND(AM39&gt;0,AM39&gt;($AP$3-$D39)),($AP$3-$D39)*$AO$3),"")</f>
        <v/>
      </c>
      <c r="AZ39" s="97">
        <f t="shared" si="26"/>
        <v>0</v>
      </c>
      <c r="BA39" s="93"/>
      <c r="BB39" s="92"/>
      <c r="BC39" s="97" t="str">
        <f t="shared" si="27"/>
        <v/>
      </c>
      <c r="BD39" s="97" t="str">
        <f t="shared" si="28"/>
        <v/>
      </c>
      <c r="BE39" s="97" t="str">
        <f t="shared" si="29"/>
        <v/>
      </c>
      <c r="BF39" s="97" t="str">
        <f t="shared" si="30"/>
        <v/>
      </c>
      <c r="BG39" s="97" t="str">
        <f t="shared" si="31"/>
        <v/>
      </c>
      <c r="BH39" s="97" t="str">
        <f t="shared" si="32"/>
        <v/>
      </c>
      <c r="BI39" s="97" t="str">
        <f t="shared" si="33"/>
        <v/>
      </c>
      <c r="BJ39" s="97" t="str">
        <f t="shared" si="34"/>
        <v/>
      </c>
      <c r="BK39" s="97" t="str">
        <f t="shared" si="35"/>
        <v/>
      </c>
      <c r="BL39" s="97" t="str">
        <f t="shared" si="36"/>
        <v/>
      </c>
      <c r="BM39" s="97" t="str">
        <f t="shared" si="37"/>
        <v/>
      </c>
      <c r="BN39" s="97">
        <f t="shared" si="38"/>
        <v>0</v>
      </c>
      <c r="BP39" s="92">
        <f t="shared" si="40"/>
        <v>0</v>
      </c>
      <c r="BR39" s="92">
        <f t="shared" si="39"/>
        <v>0</v>
      </c>
    </row>
    <row r="40" spans="2:70" x14ac:dyDescent="0.15">
      <c r="B40" s="95" t="str">
        <f>'MODU 2025'!B43</f>
        <v>TAMAIN Aline</v>
      </c>
      <c r="C40" s="95" t="str">
        <f>'MODU 2025'!C43</f>
        <v>Production</v>
      </c>
      <c r="D40" s="95">
        <f>'MODU 2025'!D43</f>
        <v>37</v>
      </c>
      <c r="E40" s="95">
        <f>'MODU 2025'!G43</f>
        <v>41</v>
      </c>
      <c r="F40" s="95">
        <f>'MODU 2025'!H43</f>
        <v>33</v>
      </c>
      <c r="G40" s="95">
        <f>'MODU 2025'!I43</f>
        <v>41</v>
      </c>
      <c r="H40" s="95">
        <f>'MODU 2025'!J43</f>
        <v>33</v>
      </c>
      <c r="I40" s="95">
        <f>'MODU 2025'!K43</f>
        <v>41</v>
      </c>
      <c r="J40" s="95">
        <f>'MODU 2025'!L43</f>
        <v>33</v>
      </c>
      <c r="K40" s="95">
        <f>'MODU 2025'!M43</f>
        <v>41</v>
      </c>
      <c r="L40" s="95">
        <f>'MODU 2025'!N43</f>
        <v>33</v>
      </c>
      <c r="M40" s="95">
        <f>'MODU 2025'!O43</f>
        <v>41</v>
      </c>
      <c r="N40" s="95">
        <f>'MODU 2025'!P43</f>
        <v>33</v>
      </c>
      <c r="O40" s="95">
        <f>'MODU 2025'!Q43</f>
        <v>41</v>
      </c>
      <c r="P40" s="97"/>
      <c r="Q40" s="97">
        <f>IF(MOD(COLUMN(),2)=0,INDEX(paramètres!$C$4:$C$6,MATCH($C40,paramètres!$B$4:$B$6,0)),INDEX(paramètres!$D$4:$D$6,MATCH($C40,paramètres!$B$4:$B$6,0)))</f>
        <v>41</v>
      </c>
      <c r="R40" s="97">
        <f>IF(MOD(COLUMN(),2)=0,INDEX(paramètres!$C$4:$C$6,MATCH($C40,paramètres!$B$4:$B$6,0)),INDEX(paramètres!$D$4:$D$6,MATCH($C40,paramètres!$B$4:$B$6,0)))</f>
        <v>33</v>
      </c>
      <c r="S40" s="97">
        <f>IF(MOD(COLUMN(),2)=0,INDEX(paramètres!$C$4:$C$6,MATCH($C40,paramètres!$B$4:$B$6,0)),INDEX(paramètres!$D$4:$D$6,MATCH($C40,paramètres!$B$4:$B$6,0)))</f>
        <v>41</v>
      </c>
      <c r="T40" s="97">
        <f>IF(MOD(COLUMN(),2)=0,INDEX(paramètres!$C$4:$C$6,MATCH($C40,paramètres!$B$4:$B$6,0)),INDEX(paramètres!$D$4:$D$6,MATCH($C40,paramètres!$B$4:$B$6,0)))</f>
        <v>33</v>
      </c>
      <c r="U40" s="97">
        <f>IF(MOD(COLUMN(),2)=0,INDEX(paramètres!$C$4:$C$6,MATCH($C40,paramètres!$B$4:$B$6,0)),INDEX(paramètres!$D$4:$D$6,MATCH($C40,paramètres!$B$4:$B$6,0)))</f>
        <v>41</v>
      </c>
      <c r="V40" s="97">
        <f>IF(MOD(COLUMN(),2)=0,INDEX(paramètres!$C$4:$C$6,MATCH($C40,paramètres!$B$4:$B$6,0)),INDEX(paramètres!$D$4:$D$6,MATCH($C40,paramètres!$B$4:$B$6,0)))</f>
        <v>33</v>
      </c>
      <c r="W40" s="97">
        <f>IF(MOD(COLUMN(),2)=0,INDEX(paramètres!$C$4:$C$6,MATCH($C40,paramètres!$B$4:$B$6,0)),INDEX(paramètres!$D$4:$D$6,MATCH($C40,paramètres!$B$4:$B$6,0)))</f>
        <v>41</v>
      </c>
      <c r="X40" s="97">
        <f>IF(MOD(COLUMN(),2)=0,INDEX(paramètres!$C$4:$C$6,MATCH($C40,paramètres!$B$4:$B$6,0)),INDEX(paramètres!$D$4:$D$6,MATCH($C40,paramètres!$B$4:$B$6,0)))</f>
        <v>33</v>
      </c>
      <c r="Y40" s="97">
        <f>IF(MOD(COLUMN(),2)=0,INDEX(paramètres!$C$4:$C$6,MATCH($C40,paramètres!$B$4:$B$6,0)),INDEX(paramètres!$D$4:$D$6,MATCH($C40,paramètres!$B$4:$B$6,0)))</f>
        <v>41</v>
      </c>
      <c r="Z40" s="97">
        <f>IF(MOD(COLUMN(),2)=0,INDEX(paramètres!$C$4:$C$6,MATCH($C40,paramètres!$B$4:$B$6,0)),INDEX(paramètres!$D$4:$D$6,MATCH($C40,paramètres!$B$4:$B$6,0)))</f>
        <v>33</v>
      </c>
      <c r="AA40" s="97">
        <f>IF(MOD(COLUMN(),2)=0,INDEX(paramètres!$C$4:$C$6,MATCH($C40,paramètres!$B$4:$B$6,0)),INDEX(paramètres!$D$4:$D$6,MATCH($C40,paramètres!$B$4:$B$6,0)))</f>
        <v>41</v>
      </c>
      <c r="AB40" s="98"/>
      <c r="AC40" s="97">
        <f t="shared" si="15"/>
        <v>0</v>
      </c>
      <c r="AD40" s="97">
        <f t="shared" si="16"/>
        <v>0</v>
      </c>
      <c r="AE40" s="97">
        <f t="shared" si="17"/>
        <v>0</v>
      </c>
      <c r="AF40" s="97">
        <f t="shared" si="18"/>
        <v>0</v>
      </c>
      <c r="AG40" s="97">
        <f t="shared" si="19"/>
        <v>0</v>
      </c>
      <c r="AH40" s="97">
        <f t="shared" si="20"/>
        <v>0</v>
      </c>
      <c r="AI40" s="97">
        <f t="shared" si="21"/>
        <v>0</v>
      </c>
      <c r="AJ40" s="97">
        <f t="shared" si="22"/>
        <v>0</v>
      </c>
      <c r="AK40" s="97">
        <f t="shared" si="23"/>
        <v>0</v>
      </c>
      <c r="AL40" s="97">
        <f t="shared" si="24"/>
        <v>0</v>
      </c>
      <c r="AM40" s="97">
        <f t="shared" si="25"/>
        <v>0</v>
      </c>
      <c r="AN40" s="36"/>
      <c r="AO40" s="97" t="str" cm="1">
        <f t="array" ref="AO40">IFERROR(
_xlfn.IFS(AND(AC40&gt;0,AC40&lt;($AP$3-$D40)),AC40*$AO$3,
AND(AC40&gt;0,AC40&gt;($AP$3-$D40)),($AP$3-$D40)*$AO$3),"")</f>
        <v/>
      </c>
      <c r="AP40" s="97" t="str" cm="1">
        <f t="array" ref="AP40">IFERROR(
_xlfn.IFS(AND(AD40&gt;0,AD40&lt;($AP$3-$D40)),AD40*$AO$3,
AND(AD40&gt;0,AD40&gt;($AP$3-$D40)),($AP$3-$D40)*$AO$3),"")</f>
        <v/>
      </c>
      <c r="AQ40" s="97" t="str" cm="1">
        <f t="array" ref="AQ40">IFERROR(
_xlfn.IFS(AND(AE40&gt;0,AE40&lt;($AP$3-$D40)),AE40*$AO$3,
AND(AE40&gt;0,AE40&gt;($AP$3-$D40)),($AP$3-$D40)*$AO$3),"")</f>
        <v/>
      </c>
      <c r="AR40" s="97" t="str" cm="1">
        <f t="array" ref="AR40">IFERROR(
_xlfn.IFS(AND(AF40&gt;0,AF40&lt;($AP$3-$D40)),AF40*$AO$3,
AND(AF40&gt;0,AF40&gt;($AP$3-$D40)),($AP$3-$D40)*$AO$3),"")</f>
        <v/>
      </c>
      <c r="AS40" s="97" t="str" cm="1">
        <f t="array" ref="AS40">IFERROR(
_xlfn.IFS(AND(AG40&gt;0,AG40&lt;($AP$3-$D40)),AG40*$AO$3,
AND(AG40&gt;0,AG40&gt;($AP$3-$D40)),($AP$3-$D40)*$AO$3),"")</f>
        <v/>
      </c>
      <c r="AT40" s="97" t="str" cm="1">
        <f t="array" ref="AT40">IFERROR(
_xlfn.IFS(AND(AH40&gt;0,AH40&lt;($AP$3-$D40)),AH40*$AO$3,
AND(AH40&gt;0,AH40&gt;($AP$3-$D40)),($AP$3-$D40)*$AO$3),"")</f>
        <v/>
      </c>
      <c r="AU40" s="97" t="str" cm="1">
        <f t="array" ref="AU40">IFERROR(
_xlfn.IFS(AND(AI40&gt;0,AI40&lt;($AP$3-$D40)),AI40*$AO$3,
AND(AI40&gt;0,AI40&gt;($AP$3-$D40)),($AP$3-$D40)*$AO$3),"")</f>
        <v/>
      </c>
      <c r="AV40" s="97" t="str" cm="1">
        <f t="array" ref="AV40">IFERROR(
_xlfn.IFS(AND(AJ40&gt;0,AJ40&lt;($AP$3-$D40)),AJ40*$AO$3,
AND(AJ40&gt;0,AJ40&gt;($AP$3-$D40)),($AP$3-$D40)*$AO$3),"")</f>
        <v/>
      </c>
      <c r="AW40" s="97" t="str" cm="1">
        <f t="array" ref="AW40">IFERROR(
_xlfn.IFS(AND(AK40&gt;0,AK40&lt;($AP$3-$D40)),AK40*$AO$3,
AND(AK40&gt;0,AK40&gt;($AP$3-$D40)),($AP$3-$D40)*$AO$3),"")</f>
        <v/>
      </c>
      <c r="AX40" s="97" t="str" cm="1">
        <f t="array" ref="AX40">IFERROR(
_xlfn.IFS(AND(AL40&gt;0,AL40&lt;($AP$3-$D40)),AL40*$AO$3,
AND(AL40&gt;0,AL40&gt;($AP$3-$D40)),($AP$3-$D40)*$AO$3),"")</f>
        <v/>
      </c>
      <c r="AY40" s="97" t="str" cm="1">
        <f t="array" ref="AY40">IFERROR(
_xlfn.IFS(AND(AM40&gt;0,AM40&lt;($AP$3-$D40)),AM40*$AO$3,
AND(AM40&gt;0,AM40&gt;($AP$3-$D40)),($AP$3-$D40)*$AO$3),"")</f>
        <v/>
      </c>
      <c r="AZ40" s="97">
        <f t="shared" si="26"/>
        <v>0</v>
      </c>
      <c r="BA40" s="93"/>
      <c r="BB40" s="92"/>
      <c r="BC40" s="97" t="str">
        <f t="shared" si="27"/>
        <v/>
      </c>
      <c r="BD40" s="97" t="str">
        <f t="shared" si="28"/>
        <v/>
      </c>
      <c r="BE40" s="97" t="str">
        <f t="shared" si="29"/>
        <v/>
      </c>
      <c r="BF40" s="97" t="str">
        <f t="shared" si="30"/>
        <v/>
      </c>
      <c r="BG40" s="97" t="str">
        <f t="shared" si="31"/>
        <v/>
      </c>
      <c r="BH40" s="97" t="str">
        <f t="shared" si="32"/>
        <v/>
      </c>
      <c r="BI40" s="97" t="str">
        <f t="shared" si="33"/>
        <v/>
      </c>
      <c r="BJ40" s="97" t="str">
        <f t="shared" si="34"/>
        <v/>
      </c>
      <c r="BK40" s="97" t="str">
        <f t="shared" si="35"/>
        <v/>
      </c>
      <c r="BL40" s="97" t="str">
        <f t="shared" si="36"/>
        <v/>
      </c>
      <c r="BM40" s="97" t="str">
        <f t="shared" si="37"/>
        <v/>
      </c>
      <c r="BN40" s="97">
        <f t="shared" si="38"/>
        <v>0</v>
      </c>
      <c r="BP40" s="92">
        <f t="shared" si="40"/>
        <v>0</v>
      </c>
      <c r="BR40" s="92">
        <f t="shared" si="39"/>
        <v>0</v>
      </c>
    </row>
    <row r="41" spans="2:70" x14ac:dyDescent="0.15">
      <c r="B41" s="95" t="str">
        <f>'MODU 2025'!B44</f>
        <v>TORRES Corinne</v>
      </c>
      <c r="C41" s="95" t="str">
        <f>'MODU 2025'!C44</f>
        <v>Production</v>
      </c>
      <c r="D41" s="95">
        <f>'MODU 2025'!D44</f>
        <v>37</v>
      </c>
      <c r="E41" s="95">
        <f>'MODU 2025'!G44</f>
        <v>41</v>
      </c>
      <c r="F41" s="95">
        <f>'MODU 2025'!H44</f>
        <v>33</v>
      </c>
      <c r="G41" s="95">
        <f>'MODU 2025'!I44</f>
        <v>41</v>
      </c>
      <c r="H41" s="95">
        <f>'MODU 2025'!J44</f>
        <v>33</v>
      </c>
      <c r="I41" s="95">
        <f>'MODU 2025'!K44</f>
        <v>41</v>
      </c>
      <c r="J41" s="95">
        <f>'MODU 2025'!L44</f>
        <v>33</v>
      </c>
      <c r="K41" s="95">
        <f>'MODU 2025'!M44</f>
        <v>41</v>
      </c>
      <c r="L41" s="95">
        <f>'MODU 2025'!N44</f>
        <v>33</v>
      </c>
      <c r="M41" s="95">
        <f>'MODU 2025'!O44</f>
        <v>41</v>
      </c>
      <c r="N41" s="95">
        <f>'MODU 2025'!P44</f>
        <v>33</v>
      </c>
      <c r="O41" s="95">
        <f>'MODU 2025'!Q44</f>
        <v>41</v>
      </c>
      <c r="P41" s="97"/>
      <c r="Q41" s="97">
        <f>IF(MOD(COLUMN(),2)=0,INDEX(paramètres!$C$4:$C$6,MATCH($C41,paramètres!$B$4:$B$6,0)),INDEX(paramètres!$D$4:$D$6,MATCH($C41,paramètres!$B$4:$B$6,0)))</f>
        <v>41</v>
      </c>
      <c r="R41" s="97">
        <f>IF(MOD(COLUMN(),2)=0,INDEX(paramètres!$C$4:$C$6,MATCH($C41,paramètres!$B$4:$B$6,0)),INDEX(paramètres!$D$4:$D$6,MATCH($C41,paramètres!$B$4:$B$6,0)))</f>
        <v>33</v>
      </c>
      <c r="S41" s="97">
        <f>IF(MOD(COLUMN(),2)=0,INDEX(paramètres!$C$4:$C$6,MATCH($C41,paramètres!$B$4:$B$6,0)),INDEX(paramètres!$D$4:$D$6,MATCH($C41,paramètres!$B$4:$B$6,0)))</f>
        <v>41</v>
      </c>
      <c r="T41" s="97">
        <f>IF(MOD(COLUMN(),2)=0,INDEX(paramètres!$C$4:$C$6,MATCH($C41,paramètres!$B$4:$B$6,0)),INDEX(paramètres!$D$4:$D$6,MATCH($C41,paramètres!$B$4:$B$6,0)))</f>
        <v>33</v>
      </c>
      <c r="U41" s="97">
        <f>IF(MOD(COLUMN(),2)=0,INDEX(paramètres!$C$4:$C$6,MATCH($C41,paramètres!$B$4:$B$6,0)),INDEX(paramètres!$D$4:$D$6,MATCH($C41,paramètres!$B$4:$B$6,0)))</f>
        <v>41</v>
      </c>
      <c r="V41" s="97">
        <f>IF(MOD(COLUMN(),2)=0,INDEX(paramètres!$C$4:$C$6,MATCH($C41,paramètres!$B$4:$B$6,0)),INDEX(paramètres!$D$4:$D$6,MATCH($C41,paramètres!$B$4:$B$6,0)))</f>
        <v>33</v>
      </c>
      <c r="W41" s="97">
        <f>IF(MOD(COLUMN(),2)=0,INDEX(paramètres!$C$4:$C$6,MATCH($C41,paramètres!$B$4:$B$6,0)),INDEX(paramètres!$D$4:$D$6,MATCH($C41,paramètres!$B$4:$B$6,0)))</f>
        <v>41</v>
      </c>
      <c r="X41" s="97">
        <f>IF(MOD(COLUMN(),2)=0,INDEX(paramètres!$C$4:$C$6,MATCH($C41,paramètres!$B$4:$B$6,0)),INDEX(paramètres!$D$4:$D$6,MATCH($C41,paramètres!$B$4:$B$6,0)))</f>
        <v>33</v>
      </c>
      <c r="Y41" s="97">
        <f>IF(MOD(COLUMN(),2)=0,INDEX(paramètres!$C$4:$C$6,MATCH($C41,paramètres!$B$4:$B$6,0)),INDEX(paramètres!$D$4:$D$6,MATCH($C41,paramètres!$B$4:$B$6,0)))</f>
        <v>41</v>
      </c>
      <c r="Z41" s="97">
        <f>IF(MOD(COLUMN(),2)=0,INDEX(paramètres!$C$4:$C$6,MATCH($C41,paramètres!$B$4:$B$6,0)),INDEX(paramètres!$D$4:$D$6,MATCH($C41,paramètres!$B$4:$B$6,0)))</f>
        <v>33</v>
      </c>
      <c r="AA41" s="97">
        <f>IF(MOD(COLUMN(),2)=0,INDEX(paramètres!$C$4:$C$6,MATCH($C41,paramètres!$B$4:$B$6,0)),INDEX(paramètres!$D$4:$D$6,MATCH($C41,paramètres!$B$4:$B$6,0)))</f>
        <v>41</v>
      </c>
      <c r="AB41" s="98"/>
      <c r="AC41" s="97">
        <f t="shared" si="15"/>
        <v>0</v>
      </c>
      <c r="AD41" s="97">
        <f t="shared" si="16"/>
        <v>0</v>
      </c>
      <c r="AE41" s="97">
        <f t="shared" si="17"/>
        <v>0</v>
      </c>
      <c r="AF41" s="97">
        <f t="shared" si="18"/>
        <v>0</v>
      </c>
      <c r="AG41" s="97">
        <f t="shared" si="19"/>
        <v>0</v>
      </c>
      <c r="AH41" s="97">
        <f t="shared" si="20"/>
        <v>0</v>
      </c>
      <c r="AI41" s="97">
        <f t="shared" si="21"/>
        <v>0</v>
      </c>
      <c r="AJ41" s="97">
        <f t="shared" si="22"/>
        <v>0</v>
      </c>
      <c r="AK41" s="97">
        <f t="shared" si="23"/>
        <v>0</v>
      </c>
      <c r="AL41" s="97">
        <f t="shared" si="24"/>
        <v>0</v>
      </c>
      <c r="AM41" s="97">
        <f t="shared" si="25"/>
        <v>0</v>
      </c>
      <c r="AN41" s="36"/>
      <c r="AO41" s="97" t="str" cm="1">
        <f t="array" ref="AO41">IFERROR(
_xlfn.IFS(AND(AC41&gt;0,AC41&lt;($AP$3-$D41)),AC41*$AO$3,
AND(AC41&gt;0,AC41&gt;($AP$3-$D41)),($AP$3-$D41)*$AO$3),"")</f>
        <v/>
      </c>
      <c r="AP41" s="97" t="str" cm="1">
        <f t="array" ref="AP41">IFERROR(
_xlfn.IFS(AND(AD41&gt;0,AD41&lt;($AP$3-$D41)),AD41*$AO$3,
AND(AD41&gt;0,AD41&gt;($AP$3-$D41)),($AP$3-$D41)*$AO$3),"")</f>
        <v/>
      </c>
      <c r="AQ41" s="97" t="str" cm="1">
        <f t="array" ref="AQ41">IFERROR(
_xlfn.IFS(AND(AE41&gt;0,AE41&lt;($AP$3-$D41)),AE41*$AO$3,
AND(AE41&gt;0,AE41&gt;($AP$3-$D41)),($AP$3-$D41)*$AO$3),"")</f>
        <v/>
      </c>
      <c r="AR41" s="97" t="str" cm="1">
        <f t="array" ref="AR41">IFERROR(
_xlfn.IFS(AND(AF41&gt;0,AF41&lt;($AP$3-$D41)),AF41*$AO$3,
AND(AF41&gt;0,AF41&gt;($AP$3-$D41)),($AP$3-$D41)*$AO$3),"")</f>
        <v/>
      </c>
      <c r="AS41" s="97" t="str" cm="1">
        <f t="array" ref="AS41">IFERROR(
_xlfn.IFS(AND(AG41&gt;0,AG41&lt;($AP$3-$D41)),AG41*$AO$3,
AND(AG41&gt;0,AG41&gt;($AP$3-$D41)),($AP$3-$D41)*$AO$3),"")</f>
        <v/>
      </c>
      <c r="AT41" s="97" t="str" cm="1">
        <f t="array" ref="AT41">IFERROR(
_xlfn.IFS(AND(AH41&gt;0,AH41&lt;($AP$3-$D41)),AH41*$AO$3,
AND(AH41&gt;0,AH41&gt;($AP$3-$D41)),($AP$3-$D41)*$AO$3),"")</f>
        <v/>
      </c>
      <c r="AU41" s="97" t="str" cm="1">
        <f t="array" ref="AU41">IFERROR(
_xlfn.IFS(AND(AI41&gt;0,AI41&lt;($AP$3-$D41)),AI41*$AO$3,
AND(AI41&gt;0,AI41&gt;($AP$3-$D41)),($AP$3-$D41)*$AO$3),"")</f>
        <v/>
      </c>
      <c r="AV41" s="97" t="str" cm="1">
        <f t="array" ref="AV41">IFERROR(
_xlfn.IFS(AND(AJ41&gt;0,AJ41&lt;($AP$3-$D41)),AJ41*$AO$3,
AND(AJ41&gt;0,AJ41&gt;($AP$3-$D41)),($AP$3-$D41)*$AO$3),"")</f>
        <v/>
      </c>
      <c r="AW41" s="97" t="str" cm="1">
        <f t="array" ref="AW41">IFERROR(
_xlfn.IFS(AND(AK41&gt;0,AK41&lt;($AP$3-$D41)),AK41*$AO$3,
AND(AK41&gt;0,AK41&gt;($AP$3-$D41)),($AP$3-$D41)*$AO$3),"")</f>
        <v/>
      </c>
      <c r="AX41" s="97" t="str" cm="1">
        <f t="array" ref="AX41">IFERROR(
_xlfn.IFS(AND(AL41&gt;0,AL41&lt;($AP$3-$D41)),AL41*$AO$3,
AND(AL41&gt;0,AL41&gt;($AP$3-$D41)),($AP$3-$D41)*$AO$3),"")</f>
        <v/>
      </c>
      <c r="AY41" s="97" t="str" cm="1">
        <f t="array" ref="AY41">IFERROR(
_xlfn.IFS(AND(AM41&gt;0,AM41&lt;($AP$3-$D41)),AM41*$AO$3,
AND(AM41&gt;0,AM41&gt;($AP$3-$D41)),($AP$3-$D41)*$AO$3),"")</f>
        <v/>
      </c>
      <c r="AZ41" s="97">
        <f t="shared" si="26"/>
        <v>0</v>
      </c>
      <c r="BA41" s="93"/>
      <c r="BB41" s="92"/>
      <c r="BC41" s="97" t="str">
        <f t="shared" si="27"/>
        <v/>
      </c>
      <c r="BD41" s="97" t="str">
        <f t="shared" si="28"/>
        <v/>
      </c>
      <c r="BE41" s="97" t="str">
        <f t="shared" si="29"/>
        <v/>
      </c>
      <c r="BF41" s="97" t="str">
        <f t="shared" si="30"/>
        <v/>
      </c>
      <c r="BG41" s="97" t="str">
        <f t="shared" si="31"/>
        <v/>
      </c>
      <c r="BH41" s="97" t="str">
        <f t="shared" si="32"/>
        <v/>
      </c>
      <c r="BI41" s="97" t="str">
        <f t="shared" si="33"/>
        <v/>
      </c>
      <c r="BJ41" s="97" t="str">
        <f t="shared" si="34"/>
        <v/>
      </c>
      <c r="BK41" s="97" t="str">
        <f t="shared" si="35"/>
        <v/>
      </c>
      <c r="BL41" s="97" t="str">
        <f t="shared" si="36"/>
        <v/>
      </c>
      <c r="BM41" s="97" t="str">
        <f t="shared" si="37"/>
        <v/>
      </c>
      <c r="BN41" s="97">
        <f t="shared" si="38"/>
        <v>0</v>
      </c>
      <c r="BP41" s="92">
        <f t="shared" si="40"/>
        <v>0</v>
      </c>
      <c r="BR41" s="92">
        <f t="shared" si="39"/>
        <v>0</v>
      </c>
    </row>
    <row r="42" spans="2:70" x14ac:dyDescent="0.15">
      <c r="B42" s="95" t="str">
        <f>'MODU 2025'!B45</f>
        <v>TROUDi Abdelhamid</v>
      </c>
      <c r="C42" s="95" t="str">
        <f>'MODU 2025'!C45</f>
        <v>Production</v>
      </c>
      <c r="D42" s="95">
        <f>'MODU 2025'!D45</f>
        <v>37</v>
      </c>
      <c r="E42" s="95">
        <f>'MODU 2025'!G45</f>
        <v>0</v>
      </c>
      <c r="F42" s="95">
        <f>'MODU 2025'!H45</f>
        <v>0</v>
      </c>
      <c r="G42" s="95">
        <f>'MODU 2025'!I45</f>
        <v>0</v>
      </c>
      <c r="H42" s="95">
        <f>'MODU 2025'!J45</f>
        <v>0</v>
      </c>
      <c r="I42" s="95">
        <f>'MODU 2025'!K45</f>
        <v>0</v>
      </c>
      <c r="J42" s="95">
        <f>'MODU 2025'!L45</f>
        <v>0</v>
      </c>
      <c r="K42" s="95">
        <f>'MODU 2025'!M45</f>
        <v>0</v>
      </c>
      <c r="L42" s="95">
        <f>'MODU 2025'!N45</f>
        <v>0</v>
      </c>
      <c r="M42" s="95">
        <f>'MODU 2025'!O45</f>
        <v>0</v>
      </c>
      <c r="N42" s="95">
        <f>'MODU 2025'!P45</f>
        <v>0</v>
      </c>
      <c r="O42" s="95">
        <f>'MODU 2025'!Q45</f>
        <v>0</v>
      </c>
      <c r="P42" s="97"/>
      <c r="Q42" s="97">
        <f>IF(MOD(COLUMN(),2)=0,INDEX(paramètres!$C$4:$C$6,MATCH($C42,paramètres!$B$4:$B$6,0)),INDEX(paramètres!$D$4:$D$6,MATCH($C42,paramètres!$B$4:$B$6,0)))</f>
        <v>41</v>
      </c>
      <c r="R42" s="97">
        <f>IF(MOD(COLUMN(),2)=0,INDEX(paramètres!$C$4:$C$6,MATCH($C42,paramètres!$B$4:$B$6,0)),INDEX(paramètres!$D$4:$D$6,MATCH($C42,paramètres!$B$4:$B$6,0)))</f>
        <v>33</v>
      </c>
      <c r="S42" s="97">
        <f>IF(MOD(COLUMN(),2)=0,INDEX(paramètres!$C$4:$C$6,MATCH($C42,paramètres!$B$4:$B$6,0)),INDEX(paramètres!$D$4:$D$6,MATCH($C42,paramètres!$B$4:$B$6,0)))</f>
        <v>41</v>
      </c>
      <c r="T42" s="97">
        <f>IF(MOD(COLUMN(),2)=0,INDEX(paramètres!$C$4:$C$6,MATCH($C42,paramètres!$B$4:$B$6,0)),INDEX(paramètres!$D$4:$D$6,MATCH($C42,paramètres!$B$4:$B$6,0)))</f>
        <v>33</v>
      </c>
      <c r="U42" s="97">
        <f>IF(MOD(COLUMN(),2)=0,INDEX(paramètres!$C$4:$C$6,MATCH($C42,paramètres!$B$4:$B$6,0)),INDEX(paramètres!$D$4:$D$6,MATCH($C42,paramètres!$B$4:$B$6,0)))</f>
        <v>41</v>
      </c>
      <c r="V42" s="97">
        <f>IF(MOD(COLUMN(),2)=0,INDEX(paramètres!$C$4:$C$6,MATCH($C42,paramètres!$B$4:$B$6,0)),INDEX(paramètres!$D$4:$D$6,MATCH($C42,paramètres!$B$4:$B$6,0)))</f>
        <v>33</v>
      </c>
      <c r="W42" s="97">
        <f>IF(MOD(COLUMN(),2)=0,INDEX(paramètres!$C$4:$C$6,MATCH($C42,paramètres!$B$4:$B$6,0)),INDEX(paramètres!$D$4:$D$6,MATCH($C42,paramètres!$B$4:$B$6,0)))</f>
        <v>41</v>
      </c>
      <c r="X42" s="97">
        <f>IF(MOD(COLUMN(),2)=0,INDEX(paramètres!$C$4:$C$6,MATCH($C42,paramètres!$B$4:$B$6,0)),INDEX(paramètres!$D$4:$D$6,MATCH($C42,paramètres!$B$4:$B$6,0)))</f>
        <v>33</v>
      </c>
      <c r="Y42" s="97">
        <f>IF(MOD(COLUMN(),2)=0,INDEX(paramètres!$C$4:$C$6,MATCH($C42,paramètres!$B$4:$B$6,0)),INDEX(paramètres!$D$4:$D$6,MATCH($C42,paramètres!$B$4:$B$6,0)))</f>
        <v>41</v>
      </c>
      <c r="Z42" s="97">
        <f>IF(MOD(COLUMN(),2)=0,INDEX(paramètres!$C$4:$C$6,MATCH($C42,paramètres!$B$4:$B$6,0)),INDEX(paramètres!$D$4:$D$6,MATCH($C42,paramètres!$B$4:$B$6,0)))</f>
        <v>33</v>
      </c>
      <c r="AA42" s="97">
        <f>IF(MOD(COLUMN(),2)=0,INDEX(paramètres!$C$4:$C$6,MATCH($C42,paramètres!$B$4:$B$6,0)),INDEX(paramètres!$D$4:$D$6,MATCH($C42,paramètres!$B$4:$B$6,0)))</f>
        <v>41</v>
      </c>
      <c r="AB42" s="98"/>
      <c r="AC42" s="97">
        <f t="shared" si="15"/>
        <v>0</v>
      </c>
      <c r="AD42" s="97">
        <f t="shared" si="16"/>
        <v>-74</v>
      </c>
      <c r="AE42" s="97">
        <f t="shared" si="17"/>
        <v>0</v>
      </c>
      <c r="AF42" s="97">
        <f t="shared" si="18"/>
        <v>-74</v>
      </c>
      <c r="AG42" s="97">
        <f t="shared" si="19"/>
        <v>0</v>
      </c>
      <c r="AH42" s="97">
        <f t="shared" si="20"/>
        <v>-74</v>
      </c>
      <c r="AI42" s="97">
        <f t="shared" si="21"/>
        <v>0</v>
      </c>
      <c r="AJ42" s="97">
        <f t="shared" si="22"/>
        <v>-74</v>
      </c>
      <c r="AK42" s="97">
        <f t="shared" si="23"/>
        <v>0</v>
      </c>
      <c r="AL42" s="97">
        <f t="shared" si="24"/>
        <v>-74</v>
      </c>
      <c r="AM42" s="97">
        <f t="shared" si="25"/>
        <v>0</v>
      </c>
      <c r="AN42" s="36"/>
      <c r="AO42" s="97" t="str" cm="1">
        <f t="array" ref="AO42">IFERROR(
_xlfn.IFS(AND(AC42&gt;0,AC42&lt;($AP$3-$D42)),AC42*$AO$3,
AND(AC42&gt;0,AC42&gt;($AP$3-$D42)),($AP$3-$D42)*$AO$3),"")</f>
        <v/>
      </c>
      <c r="AP42" s="97" t="str" cm="1">
        <f t="array" ref="AP42">IFERROR(
_xlfn.IFS(AND(AD42&gt;0,AD42&lt;($AP$3-$D42)),AD42*$AO$3,
AND(AD42&gt;0,AD42&gt;($AP$3-$D42)),($AP$3-$D42)*$AO$3),"")</f>
        <v/>
      </c>
      <c r="AQ42" s="97" t="str" cm="1">
        <f t="array" ref="AQ42">IFERROR(
_xlfn.IFS(AND(AE42&gt;0,AE42&lt;($AP$3-$D42)),AE42*$AO$3,
AND(AE42&gt;0,AE42&gt;($AP$3-$D42)),($AP$3-$D42)*$AO$3),"")</f>
        <v/>
      </c>
      <c r="AR42" s="97" t="str" cm="1">
        <f t="array" ref="AR42">IFERROR(
_xlfn.IFS(AND(AF42&gt;0,AF42&lt;($AP$3-$D42)),AF42*$AO$3,
AND(AF42&gt;0,AF42&gt;($AP$3-$D42)),($AP$3-$D42)*$AO$3),"")</f>
        <v/>
      </c>
      <c r="AS42" s="97" t="str" cm="1">
        <f t="array" ref="AS42">IFERROR(
_xlfn.IFS(AND(AG42&gt;0,AG42&lt;($AP$3-$D42)),AG42*$AO$3,
AND(AG42&gt;0,AG42&gt;($AP$3-$D42)),($AP$3-$D42)*$AO$3),"")</f>
        <v/>
      </c>
      <c r="AT42" s="97" t="str" cm="1">
        <f t="array" ref="AT42">IFERROR(
_xlfn.IFS(AND(AH42&gt;0,AH42&lt;($AP$3-$D42)),AH42*$AO$3,
AND(AH42&gt;0,AH42&gt;($AP$3-$D42)),($AP$3-$D42)*$AO$3),"")</f>
        <v/>
      </c>
      <c r="AU42" s="97" t="str" cm="1">
        <f t="array" ref="AU42">IFERROR(
_xlfn.IFS(AND(AI42&gt;0,AI42&lt;($AP$3-$D42)),AI42*$AO$3,
AND(AI42&gt;0,AI42&gt;($AP$3-$D42)),($AP$3-$D42)*$AO$3),"")</f>
        <v/>
      </c>
      <c r="AV42" s="97" t="str" cm="1">
        <f t="array" ref="AV42">IFERROR(
_xlfn.IFS(AND(AJ42&gt;0,AJ42&lt;($AP$3-$D42)),AJ42*$AO$3,
AND(AJ42&gt;0,AJ42&gt;($AP$3-$D42)),($AP$3-$D42)*$AO$3),"")</f>
        <v/>
      </c>
      <c r="AW42" s="97" t="str" cm="1">
        <f t="array" ref="AW42">IFERROR(
_xlfn.IFS(AND(AK42&gt;0,AK42&lt;($AP$3-$D42)),AK42*$AO$3,
AND(AK42&gt;0,AK42&gt;($AP$3-$D42)),($AP$3-$D42)*$AO$3),"")</f>
        <v/>
      </c>
      <c r="AX42" s="97" t="str" cm="1">
        <f t="array" ref="AX42">IFERROR(
_xlfn.IFS(AND(AL42&gt;0,AL42&lt;($AP$3-$D42)),AL42*$AO$3,
AND(AL42&gt;0,AL42&gt;($AP$3-$D42)),($AP$3-$D42)*$AO$3),"")</f>
        <v/>
      </c>
      <c r="AY42" s="97" t="str" cm="1">
        <f t="array" ref="AY42">IFERROR(
_xlfn.IFS(AND(AM42&gt;0,AM42&lt;($AP$3-$D42)),AM42*$AO$3,
AND(AM42&gt;0,AM42&gt;($AP$3-$D42)),($AP$3-$D42)*$AO$3),"")</f>
        <v/>
      </c>
      <c r="AZ42" s="97">
        <f t="shared" si="26"/>
        <v>0</v>
      </c>
      <c r="BA42" s="93"/>
      <c r="BB42" s="92"/>
      <c r="BC42" s="97" t="str">
        <f t="shared" si="27"/>
        <v/>
      </c>
      <c r="BD42" s="97" t="str">
        <f t="shared" si="28"/>
        <v/>
      </c>
      <c r="BE42" s="97" t="str">
        <f t="shared" si="29"/>
        <v/>
      </c>
      <c r="BF42" s="97" t="str">
        <f t="shared" si="30"/>
        <v/>
      </c>
      <c r="BG42" s="97" t="str">
        <f t="shared" si="31"/>
        <v/>
      </c>
      <c r="BH42" s="97" t="str">
        <f t="shared" si="32"/>
        <v/>
      </c>
      <c r="BI42" s="97" t="str">
        <f t="shared" si="33"/>
        <v/>
      </c>
      <c r="BJ42" s="97" t="str">
        <f t="shared" si="34"/>
        <v/>
      </c>
      <c r="BK42" s="97" t="str">
        <f t="shared" si="35"/>
        <v/>
      </c>
      <c r="BL42" s="97" t="str">
        <f t="shared" si="36"/>
        <v/>
      </c>
      <c r="BM42" s="97" t="str">
        <f t="shared" si="37"/>
        <v/>
      </c>
      <c r="BN42" s="97">
        <f t="shared" si="38"/>
        <v>0</v>
      </c>
      <c r="BP42" s="92">
        <f t="shared" si="40"/>
        <v>0</v>
      </c>
      <c r="BR42" s="92">
        <f t="shared" si="39"/>
        <v>-370</v>
      </c>
    </row>
    <row r="43" spans="2:70" x14ac:dyDescent="0.15">
      <c r="B43" s="95" t="str">
        <f>'MODU 2025'!B46</f>
        <v>VALENTI Dorian</v>
      </c>
      <c r="C43" s="95" t="str">
        <f>'MODU 2025'!C46</f>
        <v>Production</v>
      </c>
      <c r="D43" s="95">
        <f>'MODU 2025'!D46</f>
        <v>37</v>
      </c>
      <c r="E43" s="95">
        <f>'MODU 2025'!G46</f>
        <v>38</v>
      </c>
      <c r="F43" s="95">
        <f>'MODU 2025'!H46</f>
        <v>38</v>
      </c>
      <c r="G43" s="95">
        <f>'MODU 2025'!I46</f>
        <v>33</v>
      </c>
      <c r="H43" s="95">
        <f>'MODU 2025'!J46</f>
        <v>41</v>
      </c>
      <c r="I43" s="95">
        <f>'MODU 2025'!K46</f>
        <v>33</v>
      </c>
      <c r="J43" s="95">
        <f>'MODU 2025'!L46</f>
        <v>41</v>
      </c>
      <c r="K43" s="95">
        <f>'MODU 2025'!M46</f>
        <v>33</v>
      </c>
      <c r="L43" s="95">
        <f>'MODU 2025'!N46</f>
        <v>41</v>
      </c>
      <c r="M43" s="95">
        <f>'MODU 2025'!O46</f>
        <v>33</v>
      </c>
      <c r="N43" s="95">
        <f>'MODU 2025'!P46</f>
        <v>41</v>
      </c>
      <c r="O43" s="95">
        <f>'MODU 2025'!Q46</f>
        <v>33</v>
      </c>
      <c r="P43" s="97"/>
      <c r="Q43" s="97">
        <f>IF(MOD(COLUMN(),2)=0,INDEX(paramètres!$C$4:$C$6,MATCH($C43,paramètres!$B$4:$B$6,0)),INDEX(paramètres!$D$4:$D$6,MATCH($C43,paramètres!$B$4:$B$6,0)))</f>
        <v>41</v>
      </c>
      <c r="R43" s="97">
        <f>IF(MOD(COLUMN(),2)=0,INDEX(paramètres!$C$4:$C$6,MATCH($C43,paramètres!$B$4:$B$6,0)),INDEX(paramètres!$D$4:$D$6,MATCH($C43,paramètres!$B$4:$B$6,0)))</f>
        <v>33</v>
      </c>
      <c r="S43" s="97">
        <f>IF(MOD(COLUMN(),2)=0,INDEX(paramètres!$C$4:$C$6,MATCH($C43,paramètres!$B$4:$B$6,0)),INDEX(paramètres!$D$4:$D$6,MATCH($C43,paramètres!$B$4:$B$6,0)))</f>
        <v>41</v>
      </c>
      <c r="T43" s="97">
        <f>IF(MOD(COLUMN(),2)=0,INDEX(paramètres!$C$4:$C$6,MATCH($C43,paramètres!$B$4:$B$6,0)),INDEX(paramètres!$D$4:$D$6,MATCH($C43,paramètres!$B$4:$B$6,0)))</f>
        <v>33</v>
      </c>
      <c r="U43" s="97">
        <f>IF(MOD(COLUMN(),2)=0,INDEX(paramètres!$C$4:$C$6,MATCH($C43,paramètres!$B$4:$B$6,0)),INDEX(paramètres!$D$4:$D$6,MATCH($C43,paramètres!$B$4:$B$6,0)))</f>
        <v>41</v>
      </c>
      <c r="V43" s="97">
        <f>IF(MOD(COLUMN(),2)=0,INDEX(paramètres!$C$4:$C$6,MATCH($C43,paramètres!$B$4:$B$6,0)),INDEX(paramètres!$D$4:$D$6,MATCH($C43,paramètres!$B$4:$B$6,0)))</f>
        <v>33</v>
      </c>
      <c r="W43" s="97">
        <f>IF(MOD(COLUMN(),2)=0,INDEX(paramètres!$C$4:$C$6,MATCH($C43,paramètres!$B$4:$B$6,0)),INDEX(paramètres!$D$4:$D$6,MATCH($C43,paramètres!$B$4:$B$6,0)))</f>
        <v>41</v>
      </c>
      <c r="X43" s="97">
        <f>IF(MOD(COLUMN(),2)=0,INDEX(paramètres!$C$4:$C$6,MATCH($C43,paramètres!$B$4:$B$6,0)),INDEX(paramètres!$D$4:$D$6,MATCH($C43,paramètres!$B$4:$B$6,0)))</f>
        <v>33</v>
      </c>
      <c r="Y43" s="97">
        <f>IF(MOD(COLUMN(),2)=0,INDEX(paramètres!$C$4:$C$6,MATCH($C43,paramètres!$B$4:$B$6,0)),INDEX(paramètres!$D$4:$D$6,MATCH($C43,paramètres!$B$4:$B$6,0)))</f>
        <v>41</v>
      </c>
      <c r="Z43" s="97">
        <f>IF(MOD(COLUMN(),2)=0,INDEX(paramètres!$C$4:$C$6,MATCH($C43,paramètres!$B$4:$B$6,0)),INDEX(paramètres!$D$4:$D$6,MATCH($C43,paramètres!$B$4:$B$6,0)))</f>
        <v>33</v>
      </c>
      <c r="AA43" s="97">
        <f>IF(MOD(COLUMN(),2)=0,INDEX(paramètres!$C$4:$C$6,MATCH($C43,paramètres!$B$4:$B$6,0)),INDEX(paramètres!$D$4:$D$6,MATCH($C43,paramètres!$B$4:$B$6,0)))</f>
        <v>41</v>
      </c>
      <c r="AB43" s="98"/>
      <c r="AC43" s="97">
        <f t="shared" si="15"/>
        <v>0</v>
      </c>
      <c r="AD43" s="97">
        <f t="shared" si="16"/>
        <v>-3</v>
      </c>
      <c r="AE43" s="97">
        <f t="shared" si="17"/>
        <v>0</v>
      </c>
      <c r="AF43" s="97">
        <f t="shared" si="18"/>
        <v>0</v>
      </c>
      <c r="AG43" s="97">
        <f t="shared" si="19"/>
        <v>0</v>
      </c>
      <c r="AH43" s="97">
        <f t="shared" si="20"/>
        <v>0</v>
      </c>
      <c r="AI43" s="97">
        <f t="shared" si="21"/>
        <v>0</v>
      </c>
      <c r="AJ43" s="97">
        <f t="shared" si="22"/>
        <v>0</v>
      </c>
      <c r="AK43" s="97">
        <f t="shared" si="23"/>
        <v>0</v>
      </c>
      <c r="AL43" s="97">
        <f t="shared" si="24"/>
        <v>0</v>
      </c>
      <c r="AM43" s="97">
        <f t="shared" si="25"/>
        <v>0</v>
      </c>
      <c r="AN43" s="36"/>
      <c r="AO43" s="97" t="str" cm="1">
        <f t="array" ref="AO43">IFERROR(
_xlfn.IFS(AND(AC43&gt;0,AC43&lt;($AP$3-$D43)),AC43*$AO$3,
AND(AC43&gt;0,AC43&gt;($AP$3-$D43)),($AP$3-$D43)*$AO$3),"")</f>
        <v/>
      </c>
      <c r="AP43" s="97" t="str" cm="1">
        <f t="array" ref="AP43">IFERROR(
_xlfn.IFS(AND(AD43&gt;0,AD43&lt;($AP$3-$D43)),AD43*$AO$3,
AND(AD43&gt;0,AD43&gt;($AP$3-$D43)),($AP$3-$D43)*$AO$3),"")</f>
        <v/>
      </c>
      <c r="AQ43" s="97" t="str" cm="1">
        <f t="array" ref="AQ43">IFERROR(
_xlfn.IFS(AND(AE43&gt;0,AE43&lt;($AP$3-$D43)),AE43*$AO$3,
AND(AE43&gt;0,AE43&gt;($AP$3-$D43)),($AP$3-$D43)*$AO$3),"")</f>
        <v/>
      </c>
      <c r="AR43" s="97" t="str" cm="1">
        <f t="array" ref="AR43">IFERROR(
_xlfn.IFS(AND(AF43&gt;0,AF43&lt;($AP$3-$D43)),AF43*$AO$3,
AND(AF43&gt;0,AF43&gt;($AP$3-$D43)),($AP$3-$D43)*$AO$3),"")</f>
        <v/>
      </c>
      <c r="AS43" s="97" t="str" cm="1">
        <f t="array" ref="AS43">IFERROR(
_xlfn.IFS(AND(AG43&gt;0,AG43&lt;($AP$3-$D43)),AG43*$AO$3,
AND(AG43&gt;0,AG43&gt;($AP$3-$D43)),($AP$3-$D43)*$AO$3),"")</f>
        <v/>
      </c>
      <c r="AT43" s="97" t="str" cm="1">
        <f t="array" ref="AT43">IFERROR(
_xlfn.IFS(AND(AH43&gt;0,AH43&lt;($AP$3-$D43)),AH43*$AO$3,
AND(AH43&gt;0,AH43&gt;($AP$3-$D43)),($AP$3-$D43)*$AO$3),"")</f>
        <v/>
      </c>
      <c r="AU43" s="97" t="str" cm="1">
        <f t="array" ref="AU43">IFERROR(
_xlfn.IFS(AND(AI43&gt;0,AI43&lt;($AP$3-$D43)),AI43*$AO$3,
AND(AI43&gt;0,AI43&gt;($AP$3-$D43)),($AP$3-$D43)*$AO$3),"")</f>
        <v/>
      </c>
      <c r="AV43" s="97" t="str" cm="1">
        <f t="array" ref="AV43">IFERROR(
_xlfn.IFS(AND(AJ43&gt;0,AJ43&lt;($AP$3-$D43)),AJ43*$AO$3,
AND(AJ43&gt;0,AJ43&gt;($AP$3-$D43)),($AP$3-$D43)*$AO$3),"")</f>
        <v/>
      </c>
      <c r="AW43" s="97" t="str" cm="1">
        <f t="array" ref="AW43">IFERROR(
_xlfn.IFS(AND(AK43&gt;0,AK43&lt;($AP$3-$D43)),AK43*$AO$3,
AND(AK43&gt;0,AK43&gt;($AP$3-$D43)),($AP$3-$D43)*$AO$3),"")</f>
        <v/>
      </c>
      <c r="AX43" s="97" t="str" cm="1">
        <f t="array" ref="AX43">IFERROR(
_xlfn.IFS(AND(AL43&gt;0,AL43&lt;($AP$3-$D43)),AL43*$AO$3,
AND(AL43&gt;0,AL43&gt;($AP$3-$D43)),($AP$3-$D43)*$AO$3),"")</f>
        <v/>
      </c>
      <c r="AY43" s="97" t="str" cm="1">
        <f t="array" ref="AY43">IFERROR(
_xlfn.IFS(AND(AM43&gt;0,AM43&lt;($AP$3-$D43)),AM43*$AO$3,
AND(AM43&gt;0,AM43&gt;($AP$3-$D43)),($AP$3-$D43)*$AO$3),"")</f>
        <v/>
      </c>
      <c r="AZ43" s="97">
        <f t="shared" si="26"/>
        <v>0</v>
      </c>
      <c r="BA43" s="93"/>
      <c r="BB43" s="92"/>
      <c r="BC43" s="97" t="str">
        <f t="shared" si="27"/>
        <v/>
      </c>
      <c r="BD43" s="97" t="str">
        <f t="shared" si="28"/>
        <v/>
      </c>
      <c r="BE43" s="97" t="str">
        <f t="shared" si="29"/>
        <v/>
      </c>
      <c r="BF43" s="97" t="str">
        <f t="shared" si="30"/>
        <v/>
      </c>
      <c r="BG43" s="97" t="str">
        <f t="shared" si="31"/>
        <v/>
      </c>
      <c r="BH43" s="97" t="str">
        <f t="shared" si="32"/>
        <v/>
      </c>
      <c r="BI43" s="97" t="str">
        <f t="shared" si="33"/>
        <v/>
      </c>
      <c r="BJ43" s="97" t="str">
        <f t="shared" si="34"/>
        <v/>
      </c>
      <c r="BK43" s="97" t="str">
        <f t="shared" si="35"/>
        <v/>
      </c>
      <c r="BL43" s="97" t="str">
        <f t="shared" si="36"/>
        <v/>
      </c>
      <c r="BM43" s="97" t="str">
        <f t="shared" si="37"/>
        <v/>
      </c>
      <c r="BN43" s="97">
        <f t="shared" si="38"/>
        <v>0</v>
      </c>
      <c r="BP43" s="92">
        <f t="shared" si="40"/>
        <v>0</v>
      </c>
      <c r="BR43" s="92">
        <f t="shared" si="39"/>
        <v>-3</v>
      </c>
    </row>
    <row r="44" spans="2:70" x14ac:dyDescent="0.15">
      <c r="B44" s="95" t="str">
        <f>'MODU 2025'!B47</f>
        <v>WALCH Vanessa </v>
      </c>
      <c r="C44" s="95" t="str">
        <f>'MODU 2025'!C47</f>
        <v>Production</v>
      </c>
      <c r="D44" s="95">
        <f>'MODU 2025'!D47</f>
        <v>37</v>
      </c>
      <c r="E44" s="95">
        <f>'MODU 2025'!G47</f>
        <v>33</v>
      </c>
      <c r="F44" s="95">
        <f>'MODU 2025'!H47</f>
        <v>41</v>
      </c>
      <c r="G44" s="95">
        <f>'MODU 2025'!I47</f>
        <v>33</v>
      </c>
      <c r="H44" s="95">
        <f>'MODU 2025'!J47</f>
        <v>41</v>
      </c>
      <c r="I44" s="95">
        <f>'MODU 2025'!K47</f>
        <v>33</v>
      </c>
      <c r="J44" s="95">
        <f>'MODU 2025'!L47</f>
        <v>41</v>
      </c>
      <c r="K44" s="95">
        <f>'MODU 2025'!M47</f>
        <v>33</v>
      </c>
      <c r="L44" s="95">
        <f>'MODU 2025'!N47</f>
        <v>41</v>
      </c>
      <c r="M44" s="95">
        <f>'MODU 2025'!O47</f>
        <v>33</v>
      </c>
      <c r="N44" s="95">
        <f>'MODU 2025'!P47</f>
        <v>41</v>
      </c>
      <c r="O44" s="95">
        <f>'MODU 2025'!Q47</f>
        <v>33</v>
      </c>
      <c r="P44" s="97"/>
      <c r="Q44" s="97">
        <f>IF(MOD(COLUMN(),2)=0,INDEX(paramètres!$C$4:$C$6,MATCH($C44,paramètres!$B$4:$B$6,0)),INDEX(paramètres!$D$4:$D$6,MATCH($C44,paramètres!$B$4:$B$6,0)))</f>
        <v>41</v>
      </c>
      <c r="R44" s="97">
        <f>IF(MOD(COLUMN(),2)=0,INDEX(paramètres!$C$4:$C$6,MATCH($C44,paramètres!$B$4:$B$6,0)),INDEX(paramètres!$D$4:$D$6,MATCH($C44,paramètres!$B$4:$B$6,0)))</f>
        <v>33</v>
      </c>
      <c r="S44" s="97">
        <f>IF(MOD(COLUMN(),2)=0,INDEX(paramètres!$C$4:$C$6,MATCH($C44,paramètres!$B$4:$B$6,0)),INDEX(paramètres!$D$4:$D$6,MATCH($C44,paramètres!$B$4:$B$6,0)))</f>
        <v>41</v>
      </c>
      <c r="T44" s="97">
        <f>IF(MOD(COLUMN(),2)=0,INDEX(paramètres!$C$4:$C$6,MATCH($C44,paramètres!$B$4:$B$6,0)),INDEX(paramètres!$D$4:$D$6,MATCH($C44,paramètres!$B$4:$B$6,0)))</f>
        <v>33</v>
      </c>
      <c r="U44" s="97">
        <f>IF(MOD(COLUMN(),2)=0,INDEX(paramètres!$C$4:$C$6,MATCH($C44,paramètres!$B$4:$B$6,0)),INDEX(paramètres!$D$4:$D$6,MATCH($C44,paramètres!$B$4:$B$6,0)))</f>
        <v>41</v>
      </c>
      <c r="V44" s="97">
        <f>IF(MOD(COLUMN(),2)=0,INDEX(paramètres!$C$4:$C$6,MATCH($C44,paramètres!$B$4:$B$6,0)),INDEX(paramètres!$D$4:$D$6,MATCH($C44,paramètres!$B$4:$B$6,0)))</f>
        <v>33</v>
      </c>
      <c r="W44" s="97">
        <f>IF(MOD(COLUMN(),2)=0,INDEX(paramètres!$C$4:$C$6,MATCH($C44,paramètres!$B$4:$B$6,0)),INDEX(paramètres!$D$4:$D$6,MATCH($C44,paramètres!$B$4:$B$6,0)))</f>
        <v>41</v>
      </c>
      <c r="X44" s="97">
        <f>IF(MOD(COLUMN(),2)=0,INDEX(paramètres!$C$4:$C$6,MATCH($C44,paramètres!$B$4:$B$6,0)),INDEX(paramètres!$D$4:$D$6,MATCH($C44,paramètres!$B$4:$B$6,0)))</f>
        <v>33</v>
      </c>
      <c r="Y44" s="97">
        <f>IF(MOD(COLUMN(),2)=0,INDEX(paramètres!$C$4:$C$6,MATCH($C44,paramètres!$B$4:$B$6,0)),INDEX(paramètres!$D$4:$D$6,MATCH($C44,paramètres!$B$4:$B$6,0)))</f>
        <v>41</v>
      </c>
      <c r="Z44" s="97">
        <f>IF(MOD(COLUMN(),2)=0,INDEX(paramètres!$C$4:$C$6,MATCH($C44,paramètres!$B$4:$B$6,0)),INDEX(paramètres!$D$4:$D$6,MATCH($C44,paramètres!$B$4:$B$6,0)))</f>
        <v>33</v>
      </c>
      <c r="AA44" s="97">
        <f>IF(MOD(COLUMN(),2)=0,INDEX(paramètres!$C$4:$C$6,MATCH($C44,paramètres!$B$4:$B$6,0)),INDEX(paramètres!$D$4:$D$6,MATCH($C44,paramètres!$B$4:$B$6,0)))</f>
        <v>41</v>
      </c>
      <c r="AB44" s="98"/>
      <c r="AC44" s="97">
        <f t="shared" si="15"/>
        <v>0</v>
      </c>
      <c r="AD44" s="97">
        <f t="shared" si="16"/>
        <v>0</v>
      </c>
      <c r="AE44" s="97">
        <f t="shared" si="17"/>
        <v>0</v>
      </c>
      <c r="AF44" s="97">
        <f t="shared" si="18"/>
        <v>0</v>
      </c>
      <c r="AG44" s="97">
        <f t="shared" si="19"/>
        <v>0</v>
      </c>
      <c r="AH44" s="97">
        <f t="shared" si="20"/>
        <v>0</v>
      </c>
      <c r="AI44" s="97">
        <f t="shared" si="21"/>
        <v>0</v>
      </c>
      <c r="AJ44" s="97">
        <f t="shared" si="22"/>
        <v>0</v>
      </c>
      <c r="AK44" s="97">
        <f t="shared" si="23"/>
        <v>0</v>
      </c>
      <c r="AL44" s="97">
        <f t="shared" si="24"/>
        <v>0</v>
      </c>
      <c r="AM44" s="97">
        <f t="shared" si="25"/>
        <v>0</v>
      </c>
      <c r="AN44" s="36"/>
      <c r="AO44" s="97" t="str" cm="1">
        <f t="array" ref="AO44">IFERROR(
_xlfn.IFS(AND(AC44&gt;0,AC44&lt;($AP$3-$D44)),AC44*$AO$3,
AND(AC44&gt;0,AC44&gt;($AP$3-$D44)),($AP$3-$D44)*$AO$3),"")</f>
        <v/>
      </c>
      <c r="AP44" s="97" t="str" cm="1">
        <f t="array" ref="AP44">IFERROR(
_xlfn.IFS(AND(AD44&gt;0,AD44&lt;($AP$3-$D44)),AD44*$AO$3,
AND(AD44&gt;0,AD44&gt;($AP$3-$D44)),($AP$3-$D44)*$AO$3),"")</f>
        <v/>
      </c>
      <c r="AQ44" s="97" t="str" cm="1">
        <f t="array" ref="AQ44">IFERROR(
_xlfn.IFS(AND(AE44&gt;0,AE44&lt;($AP$3-$D44)),AE44*$AO$3,
AND(AE44&gt;0,AE44&gt;($AP$3-$D44)),($AP$3-$D44)*$AO$3),"")</f>
        <v/>
      </c>
      <c r="AR44" s="97" t="str" cm="1">
        <f t="array" ref="AR44">IFERROR(
_xlfn.IFS(AND(AF44&gt;0,AF44&lt;($AP$3-$D44)),AF44*$AO$3,
AND(AF44&gt;0,AF44&gt;($AP$3-$D44)),($AP$3-$D44)*$AO$3),"")</f>
        <v/>
      </c>
      <c r="AS44" s="97" t="str" cm="1">
        <f t="array" ref="AS44">IFERROR(
_xlfn.IFS(AND(AG44&gt;0,AG44&lt;($AP$3-$D44)),AG44*$AO$3,
AND(AG44&gt;0,AG44&gt;($AP$3-$D44)),($AP$3-$D44)*$AO$3),"")</f>
        <v/>
      </c>
      <c r="AT44" s="97" t="str" cm="1">
        <f t="array" ref="AT44">IFERROR(
_xlfn.IFS(AND(AH44&gt;0,AH44&lt;($AP$3-$D44)),AH44*$AO$3,
AND(AH44&gt;0,AH44&gt;($AP$3-$D44)),($AP$3-$D44)*$AO$3),"")</f>
        <v/>
      </c>
      <c r="AU44" s="97" t="str" cm="1">
        <f t="array" ref="AU44">IFERROR(
_xlfn.IFS(AND(AI44&gt;0,AI44&lt;($AP$3-$D44)),AI44*$AO$3,
AND(AI44&gt;0,AI44&gt;($AP$3-$D44)),($AP$3-$D44)*$AO$3),"")</f>
        <v/>
      </c>
      <c r="AV44" s="97" t="str" cm="1">
        <f t="array" ref="AV44">IFERROR(
_xlfn.IFS(AND(AJ44&gt;0,AJ44&lt;($AP$3-$D44)),AJ44*$AO$3,
AND(AJ44&gt;0,AJ44&gt;($AP$3-$D44)),($AP$3-$D44)*$AO$3),"")</f>
        <v/>
      </c>
      <c r="AW44" s="97" t="str" cm="1">
        <f t="array" ref="AW44">IFERROR(
_xlfn.IFS(AND(AK44&gt;0,AK44&lt;($AP$3-$D44)),AK44*$AO$3,
AND(AK44&gt;0,AK44&gt;($AP$3-$D44)),($AP$3-$D44)*$AO$3),"")</f>
        <v/>
      </c>
      <c r="AX44" s="97" t="str" cm="1">
        <f t="array" ref="AX44">IFERROR(
_xlfn.IFS(AND(AL44&gt;0,AL44&lt;($AP$3-$D44)),AL44*$AO$3,
AND(AL44&gt;0,AL44&gt;($AP$3-$D44)),($AP$3-$D44)*$AO$3),"")</f>
        <v/>
      </c>
      <c r="AY44" s="97" t="str" cm="1">
        <f t="array" ref="AY44">IFERROR(
_xlfn.IFS(AND(AM44&gt;0,AM44&lt;($AP$3-$D44)),AM44*$AO$3,
AND(AM44&gt;0,AM44&gt;($AP$3-$D44)),($AP$3-$D44)*$AO$3),"")</f>
        <v/>
      </c>
      <c r="AZ44" s="97">
        <f t="shared" si="26"/>
        <v>0</v>
      </c>
      <c r="BA44" s="93"/>
      <c r="BB44" s="92"/>
      <c r="BC44" s="97" t="str">
        <f t="shared" si="27"/>
        <v/>
      </c>
      <c r="BD44" s="97" t="str">
        <f t="shared" si="28"/>
        <v/>
      </c>
      <c r="BE44" s="97" t="str">
        <f t="shared" si="29"/>
        <v/>
      </c>
      <c r="BF44" s="97" t="str">
        <f t="shared" si="30"/>
        <v/>
      </c>
      <c r="BG44" s="97" t="str">
        <f t="shared" si="31"/>
        <v/>
      </c>
      <c r="BH44" s="97" t="str">
        <f t="shared" si="32"/>
        <v/>
      </c>
      <c r="BI44" s="97" t="str">
        <f t="shared" si="33"/>
        <v/>
      </c>
      <c r="BJ44" s="97" t="str">
        <f t="shared" si="34"/>
        <v/>
      </c>
      <c r="BK44" s="97" t="str">
        <f t="shared" si="35"/>
        <v/>
      </c>
      <c r="BL44" s="97" t="str">
        <f t="shared" si="36"/>
        <v/>
      </c>
      <c r="BM44" s="97" t="str">
        <f t="shared" si="37"/>
        <v/>
      </c>
      <c r="BN44" s="97">
        <f t="shared" si="38"/>
        <v>0</v>
      </c>
      <c r="BP44" s="92">
        <f t="shared" si="40"/>
        <v>0</v>
      </c>
      <c r="BR44" s="92">
        <f t="shared" si="39"/>
        <v>0</v>
      </c>
    </row>
    <row r="45" spans="2:70" x14ac:dyDescent="0.15"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8"/>
      <c r="AC45" s="97">
        <f t="shared" si="15"/>
        <v>0</v>
      </c>
      <c r="AD45" s="97">
        <f t="shared" si="16"/>
        <v>0</v>
      </c>
      <c r="AE45" s="97">
        <f t="shared" si="17"/>
        <v>0</v>
      </c>
      <c r="AF45" s="97">
        <f t="shared" si="18"/>
        <v>0</v>
      </c>
      <c r="AG45" s="97">
        <f t="shared" si="19"/>
        <v>0</v>
      </c>
      <c r="AH45" s="97">
        <f t="shared" si="20"/>
        <v>0</v>
      </c>
      <c r="AI45" s="97">
        <f t="shared" si="21"/>
        <v>0</v>
      </c>
      <c r="AJ45" s="97">
        <f t="shared" si="22"/>
        <v>0</v>
      </c>
      <c r="AK45" s="97">
        <f t="shared" si="23"/>
        <v>0</v>
      </c>
      <c r="AL45" s="97">
        <f t="shared" si="24"/>
        <v>0</v>
      </c>
      <c r="AM45" s="97">
        <f t="shared" si="25"/>
        <v>0</v>
      </c>
      <c r="AN45" s="36"/>
      <c r="AO45" s="97" t="str" cm="1">
        <f t="array" ref="AO45">IFERROR(
_xlfn.IFS(AND(AC45&gt;0,AC45&lt;($AP$3-$D45)),AC45*$AO$3,
AND(AC45&gt;0,AC45&gt;($AP$3-$D45)),($AP$3-$D45)*$AO$3),"")</f>
        <v/>
      </c>
      <c r="AP45" s="97" t="str" cm="1">
        <f t="array" ref="AP45">IFERROR(
_xlfn.IFS(AND(AD45&gt;0,AD45&lt;($AP$3-$D45)),AD45*$AO$3,
AND(AD45&gt;0,AD45&gt;($AP$3-$D45)),($AP$3-$D45)*$AO$3),"")</f>
        <v/>
      </c>
      <c r="AQ45" s="97" t="str" cm="1">
        <f t="array" ref="AQ45">IFERROR(
_xlfn.IFS(AND(AE45&gt;0,AE45&lt;($AP$3-$D45)),AE45*$AO$3,
AND(AE45&gt;0,AE45&gt;($AP$3-$D45)),($AP$3-$D45)*$AO$3),"")</f>
        <v/>
      </c>
      <c r="AR45" s="97" t="str" cm="1">
        <f t="array" ref="AR45">IFERROR(
_xlfn.IFS(AND(AF45&gt;0,AF45&lt;($AP$3-$D45)),AF45*$AO$3,
AND(AF45&gt;0,AF45&gt;($AP$3-$D45)),($AP$3-$D45)*$AO$3),"")</f>
        <v/>
      </c>
      <c r="AS45" s="97" t="str" cm="1">
        <f t="array" ref="AS45">IFERROR(
_xlfn.IFS(AND(AG45&gt;0,AG45&lt;($AP$3-$D45)),AG45*$AO$3,
AND(AG45&gt;0,AG45&gt;($AP$3-$D45)),($AP$3-$D45)*$AO$3),"")</f>
        <v/>
      </c>
      <c r="AT45" s="97" t="str" cm="1">
        <f t="array" ref="AT45">IFERROR(
_xlfn.IFS(AND(AH45&gt;0,AH45&lt;($AP$3-$D45)),AH45*$AO$3,
AND(AH45&gt;0,AH45&gt;($AP$3-$D45)),($AP$3-$D45)*$AO$3),"")</f>
        <v/>
      </c>
      <c r="AU45" s="97" t="str" cm="1">
        <f t="array" ref="AU45">IFERROR(
_xlfn.IFS(AND(AI45&gt;0,AI45&lt;($AP$3-$D45)),AI45*$AO$3,
AND(AI45&gt;0,AI45&gt;($AP$3-$D45)),($AP$3-$D45)*$AO$3),"")</f>
        <v/>
      </c>
      <c r="AV45" s="97" t="str" cm="1">
        <f t="array" ref="AV45">IFERROR(
_xlfn.IFS(AND(AJ45&gt;0,AJ45&lt;($AP$3-$D45)),AJ45*$AO$3,
AND(AJ45&gt;0,AJ45&gt;($AP$3-$D45)),($AP$3-$D45)*$AO$3),"")</f>
        <v/>
      </c>
      <c r="AW45" s="97" t="str" cm="1">
        <f t="array" ref="AW45">IFERROR(
_xlfn.IFS(AND(AK45&gt;0,AK45&lt;($AP$3-$D45)),AK45*$AO$3,
AND(AK45&gt;0,AK45&gt;($AP$3-$D45)),($AP$3-$D45)*$AO$3),"")</f>
        <v/>
      </c>
      <c r="AX45" s="97" t="str" cm="1">
        <f t="array" ref="AX45">IFERROR(
_xlfn.IFS(AND(AL45&gt;0,AL45&lt;($AP$3-$D45)),AL45*$AO$3,
AND(AL45&gt;0,AL45&gt;($AP$3-$D45)),($AP$3-$D45)*$AO$3),"")</f>
        <v/>
      </c>
      <c r="AY45" s="97" t="str" cm="1">
        <f t="array" ref="AY45">IFERROR(
_xlfn.IFS(AND(AM45&gt;0,AM45&lt;($AP$3-$D45)),AM45*$AO$3,
AND(AM45&gt;0,AM45&gt;($AP$3-$D45)),($AP$3-$D45)*$AO$3),"")</f>
        <v/>
      </c>
      <c r="AZ45" s="97">
        <f t="shared" si="26"/>
        <v>0</v>
      </c>
      <c r="BA45" s="93"/>
      <c r="BC45" s="97" t="str">
        <f t="shared" si="27"/>
        <v/>
      </c>
      <c r="BD45" s="97" t="str">
        <f t="shared" si="28"/>
        <v/>
      </c>
      <c r="BE45" s="97" t="str">
        <f t="shared" si="29"/>
        <v/>
      </c>
      <c r="BF45" s="97" t="str">
        <f t="shared" si="30"/>
        <v/>
      </c>
      <c r="BG45" s="97" t="str">
        <f t="shared" si="31"/>
        <v/>
      </c>
      <c r="BH45" s="97" t="str">
        <f t="shared" si="32"/>
        <v/>
      </c>
      <c r="BI45" s="97" t="str">
        <f t="shared" si="33"/>
        <v/>
      </c>
      <c r="BJ45" s="97" t="str">
        <f t="shared" si="34"/>
        <v/>
      </c>
      <c r="BK45" s="97" t="str">
        <f t="shared" si="35"/>
        <v/>
      </c>
      <c r="BL45" s="97" t="str">
        <f t="shared" si="36"/>
        <v/>
      </c>
      <c r="BM45" s="97" t="str">
        <f t="shared" si="37"/>
        <v/>
      </c>
      <c r="BN45" s="97">
        <f t="shared" si="38"/>
        <v>0</v>
      </c>
      <c r="BP45" s="92">
        <f t="shared" si="40"/>
        <v>0</v>
      </c>
      <c r="BR45" s="92">
        <f t="shared" si="39"/>
        <v>0</v>
      </c>
    </row>
  </sheetData>
  <mergeCells count="5">
    <mergeCell ref="E2:O2"/>
    <mergeCell ref="Q2:AA2"/>
    <mergeCell ref="AC2:AM2"/>
    <mergeCell ref="BC2:BN2"/>
    <mergeCell ref="AO2:AZ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86056-EFB6-47A8-B5C2-98B4F65CC364}">
  <sheetPr codeName="Feuil10">
    <pageSetUpPr fitToPage="1"/>
  </sheetPr>
  <dimension ref="A1:BT91"/>
  <sheetViews>
    <sheetView showGridLines="0" zoomScaleNormal="85" workbookViewId="0">
      <pane xSplit="2" ySplit="7" topLeftCell="C8" activePane="bottomRight" state="frozen"/>
      <selection activeCell="F3" sqref="F3"/>
      <selection pane="topRight" activeCell="F3" sqref="F3"/>
      <selection pane="bottomLeft" activeCell="F3" sqref="F3"/>
      <selection pane="bottomRight" activeCell="H13" sqref="H13"/>
    </sheetView>
  </sheetViews>
  <sheetFormatPr baseColWidth="10" defaultRowHeight="14" outlineLevelCol="1" x14ac:dyDescent="0.15"/>
  <cols>
    <col min="1" max="1" width="20.6640625" style="71" customWidth="1"/>
    <col min="2" max="2" width="32.33203125" customWidth="1"/>
    <col min="3" max="3" width="17.5" customWidth="1"/>
    <col min="4" max="4" width="13.6640625" customWidth="1"/>
    <col min="5" max="5" width="12.6640625" customWidth="1"/>
    <col min="6" max="6" width="12.6640625" customWidth="1" outlineLevel="1"/>
    <col min="7" max="10" width="12.6640625" customWidth="1"/>
    <col min="11" max="20" width="12.6640625" hidden="1" customWidth="1" outlineLevel="1"/>
    <col min="21" max="21" width="12.5" hidden="1" customWidth="1" outlineLevel="1"/>
    <col min="22" max="49" width="12.6640625" hidden="1" customWidth="1" outlineLevel="1"/>
    <col min="50" max="50" width="12.6640625" style="7" hidden="1" customWidth="1" outlineLevel="1"/>
    <col min="51" max="58" width="12.6640625" hidden="1" customWidth="1" outlineLevel="1"/>
    <col min="59" max="59" width="6.5" customWidth="1" collapsed="1"/>
    <col min="60" max="61" width="16.5" customWidth="1"/>
    <col min="62" max="63" width="11.83203125" hidden="1" customWidth="1"/>
    <col min="64" max="66" width="11.5" customWidth="1"/>
    <col min="67" max="67" width="11.5" style="37" customWidth="1"/>
    <col min="68" max="68" width="11.5" customWidth="1"/>
    <col min="69" max="69" width="19.83203125" customWidth="1"/>
    <col min="70" max="70" width="22.5" customWidth="1"/>
  </cols>
  <sheetData>
    <row r="1" spans="1:72" s="1" customFormat="1" ht="12.5" customHeight="1" thickBot="1" x14ac:dyDescent="0.2">
      <c r="A1" s="69"/>
      <c r="B1" s="161" t="s">
        <v>141</v>
      </c>
      <c r="C1" s="66"/>
      <c r="D1" s="163" t="s">
        <v>137</v>
      </c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O1" s="36"/>
    </row>
    <row r="2" spans="1:72" s="1" customFormat="1" ht="50.25" customHeight="1" thickBot="1" x14ac:dyDescent="0.2">
      <c r="A2" s="69"/>
      <c r="B2" s="162"/>
      <c r="C2" s="67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164" t="s">
        <v>138</v>
      </c>
      <c r="BK2" s="165"/>
      <c r="BL2" s="165"/>
      <c r="BM2" s="165"/>
      <c r="BN2" s="165"/>
      <c r="BO2" s="165"/>
      <c r="BP2" s="165"/>
      <c r="BQ2" s="166"/>
      <c r="BR2" s="167" t="s">
        <v>114</v>
      </c>
    </row>
    <row r="3" spans="1:72" s="16" customFormat="1" ht="13" customHeight="1" x14ac:dyDescent="0.15">
      <c r="A3" s="69"/>
      <c r="E3" s="17"/>
      <c r="F3" s="17">
        <v>45656</v>
      </c>
      <c r="G3" s="17">
        <f t="shared" ref="G3:AH3" si="0">F4+1</f>
        <v>45663</v>
      </c>
      <c r="H3" s="17">
        <f t="shared" si="0"/>
        <v>45670</v>
      </c>
      <c r="I3" s="17">
        <f t="shared" si="0"/>
        <v>45677</v>
      </c>
      <c r="J3" s="17">
        <f t="shared" si="0"/>
        <v>45684</v>
      </c>
      <c r="K3" s="17">
        <f t="shared" si="0"/>
        <v>45691</v>
      </c>
      <c r="L3" s="17">
        <f t="shared" si="0"/>
        <v>45698</v>
      </c>
      <c r="M3" s="17">
        <f t="shared" si="0"/>
        <v>45705</v>
      </c>
      <c r="N3" s="17">
        <f t="shared" si="0"/>
        <v>45712</v>
      </c>
      <c r="O3" s="17">
        <f t="shared" si="0"/>
        <v>45719</v>
      </c>
      <c r="P3" s="17">
        <f t="shared" si="0"/>
        <v>45726</v>
      </c>
      <c r="Q3" s="17">
        <f t="shared" si="0"/>
        <v>45733</v>
      </c>
      <c r="R3" s="17">
        <f t="shared" si="0"/>
        <v>45740</v>
      </c>
      <c r="S3" s="17">
        <f t="shared" si="0"/>
        <v>45747</v>
      </c>
      <c r="T3" s="17">
        <f t="shared" si="0"/>
        <v>45754</v>
      </c>
      <c r="U3" s="17">
        <f t="shared" si="0"/>
        <v>45761</v>
      </c>
      <c r="V3" s="17">
        <f t="shared" si="0"/>
        <v>45768</v>
      </c>
      <c r="W3" s="17">
        <f t="shared" si="0"/>
        <v>45775</v>
      </c>
      <c r="X3" s="17">
        <f t="shared" si="0"/>
        <v>45782</v>
      </c>
      <c r="Y3" s="17">
        <f t="shared" si="0"/>
        <v>45789</v>
      </c>
      <c r="Z3" s="17">
        <f t="shared" si="0"/>
        <v>45796</v>
      </c>
      <c r="AA3" s="17">
        <f>Z4+1</f>
        <v>45803</v>
      </c>
      <c r="AB3" s="17">
        <f t="shared" si="0"/>
        <v>45810</v>
      </c>
      <c r="AC3" s="17">
        <f t="shared" si="0"/>
        <v>45817</v>
      </c>
      <c r="AD3" s="17">
        <f t="shared" si="0"/>
        <v>45824</v>
      </c>
      <c r="AE3" s="17">
        <f t="shared" si="0"/>
        <v>45831</v>
      </c>
      <c r="AF3" s="17">
        <f t="shared" si="0"/>
        <v>45838</v>
      </c>
      <c r="AG3" s="17">
        <f t="shared" si="0"/>
        <v>45845</v>
      </c>
      <c r="AH3" s="17">
        <f t="shared" si="0"/>
        <v>45852</v>
      </c>
      <c r="AI3" s="17">
        <f>AH4+1</f>
        <v>45859</v>
      </c>
      <c r="AJ3" s="17">
        <f t="shared" ref="AJ3:BD3" si="1">AI4+1</f>
        <v>45866</v>
      </c>
      <c r="AK3" s="17">
        <f t="shared" si="1"/>
        <v>45873</v>
      </c>
      <c r="AL3" s="17">
        <f t="shared" si="1"/>
        <v>45880</v>
      </c>
      <c r="AM3" s="17">
        <f t="shared" si="1"/>
        <v>45887</v>
      </c>
      <c r="AN3" s="17">
        <f t="shared" si="1"/>
        <v>45894</v>
      </c>
      <c r="AO3" s="17">
        <f t="shared" si="1"/>
        <v>45901</v>
      </c>
      <c r="AP3" s="17">
        <f t="shared" si="1"/>
        <v>45908</v>
      </c>
      <c r="AQ3" s="17">
        <f t="shared" si="1"/>
        <v>45915</v>
      </c>
      <c r="AR3" s="17">
        <f t="shared" si="1"/>
        <v>45922</v>
      </c>
      <c r="AS3" s="17">
        <f t="shared" si="1"/>
        <v>45929</v>
      </c>
      <c r="AT3" s="17">
        <f t="shared" si="1"/>
        <v>45936</v>
      </c>
      <c r="AU3" s="17">
        <f t="shared" si="1"/>
        <v>45943</v>
      </c>
      <c r="AV3" s="17">
        <f t="shared" si="1"/>
        <v>45950</v>
      </c>
      <c r="AW3" s="17">
        <f t="shared" si="1"/>
        <v>45957</v>
      </c>
      <c r="AX3" s="17">
        <f t="shared" si="1"/>
        <v>45964</v>
      </c>
      <c r="AY3" s="17">
        <f t="shared" si="1"/>
        <v>45971</v>
      </c>
      <c r="AZ3" s="17">
        <f t="shared" si="1"/>
        <v>45978</v>
      </c>
      <c r="BA3" s="17">
        <f t="shared" si="1"/>
        <v>45985</v>
      </c>
      <c r="BB3" s="17">
        <f t="shared" si="1"/>
        <v>45992</v>
      </c>
      <c r="BC3" s="17">
        <f t="shared" si="1"/>
        <v>45999</v>
      </c>
      <c r="BD3" s="17">
        <f t="shared" si="1"/>
        <v>46006</v>
      </c>
      <c r="BE3" s="17">
        <f>BD4+1</f>
        <v>46013</v>
      </c>
      <c r="BF3" s="17">
        <f>BE4+1</f>
        <v>46020</v>
      </c>
      <c r="BG3" s="19"/>
      <c r="BJ3" s="156" t="s">
        <v>111</v>
      </c>
      <c r="BK3" s="157"/>
      <c r="BL3" s="157"/>
      <c r="BM3" s="157"/>
      <c r="BN3" s="157"/>
      <c r="BO3" s="157"/>
      <c r="BP3" s="157"/>
      <c r="BQ3" s="158"/>
      <c r="BR3" s="168"/>
    </row>
    <row r="4" spans="1:72" s="16" customFormat="1" ht="13" customHeight="1" x14ac:dyDescent="0.15">
      <c r="A4" s="69"/>
      <c r="E4" s="17"/>
      <c r="F4" s="17">
        <f>F3+6</f>
        <v>45662</v>
      </c>
      <c r="G4" s="17">
        <f t="shared" ref="G4:BF4" si="2">G3+6</f>
        <v>45669</v>
      </c>
      <c r="H4" s="17">
        <f t="shared" si="2"/>
        <v>45676</v>
      </c>
      <c r="I4" s="17">
        <f t="shared" si="2"/>
        <v>45683</v>
      </c>
      <c r="J4" s="17">
        <f t="shared" si="2"/>
        <v>45690</v>
      </c>
      <c r="K4" s="17">
        <f t="shared" si="2"/>
        <v>45697</v>
      </c>
      <c r="L4" s="17">
        <f t="shared" si="2"/>
        <v>45704</v>
      </c>
      <c r="M4" s="17">
        <f t="shared" si="2"/>
        <v>45711</v>
      </c>
      <c r="N4" s="17">
        <f t="shared" si="2"/>
        <v>45718</v>
      </c>
      <c r="O4" s="17">
        <f t="shared" si="2"/>
        <v>45725</v>
      </c>
      <c r="P4" s="17">
        <f t="shared" si="2"/>
        <v>45732</v>
      </c>
      <c r="Q4" s="17">
        <f t="shared" si="2"/>
        <v>45739</v>
      </c>
      <c r="R4" s="17">
        <f t="shared" si="2"/>
        <v>45746</v>
      </c>
      <c r="S4" s="17">
        <f t="shared" si="2"/>
        <v>45753</v>
      </c>
      <c r="T4" s="17">
        <f t="shared" si="2"/>
        <v>45760</v>
      </c>
      <c r="U4" s="17">
        <f t="shared" si="2"/>
        <v>45767</v>
      </c>
      <c r="V4" s="17">
        <f t="shared" si="2"/>
        <v>45774</v>
      </c>
      <c r="W4" s="17">
        <f t="shared" si="2"/>
        <v>45781</v>
      </c>
      <c r="X4" s="17">
        <f t="shared" si="2"/>
        <v>45788</v>
      </c>
      <c r="Y4" s="17">
        <f t="shared" si="2"/>
        <v>45795</v>
      </c>
      <c r="Z4" s="17">
        <f t="shared" si="2"/>
        <v>45802</v>
      </c>
      <c r="AA4" s="17">
        <f t="shared" si="2"/>
        <v>45809</v>
      </c>
      <c r="AB4" s="17">
        <f t="shared" si="2"/>
        <v>45816</v>
      </c>
      <c r="AC4" s="17">
        <f t="shared" si="2"/>
        <v>45823</v>
      </c>
      <c r="AD4" s="17">
        <f t="shared" si="2"/>
        <v>45830</v>
      </c>
      <c r="AE4" s="17">
        <f t="shared" si="2"/>
        <v>45837</v>
      </c>
      <c r="AF4" s="17">
        <f t="shared" si="2"/>
        <v>45844</v>
      </c>
      <c r="AG4" s="17">
        <f t="shared" si="2"/>
        <v>45851</v>
      </c>
      <c r="AH4" s="17">
        <f t="shared" si="2"/>
        <v>45858</v>
      </c>
      <c r="AI4" s="17">
        <f t="shared" si="2"/>
        <v>45865</v>
      </c>
      <c r="AJ4" s="17">
        <f t="shared" si="2"/>
        <v>45872</v>
      </c>
      <c r="AK4" s="17">
        <f t="shared" si="2"/>
        <v>45879</v>
      </c>
      <c r="AL4" s="17">
        <f t="shared" si="2"/>
        <v>45886</v>
      </c>
      <c r="AM4" s="17">
        <f t="shared" si="2"/>
        <v>45893</v>
      </c>
      <c r="AN4" s="17">
        <f t="shared" si="2"/>
        <v>45900</v>
      </c>
      <c r="AO4" s="17">
        <f t="shared" si="2"/>
        <v>45907</v>
      </c>
      <c r="AP4" s="17">
        <f t="shared" si="2"/>
        <v>45914</v>
      </c>
      <c r="AQ4" s="17">
        <f t="shared" si="2"/>
        <v>45921</v>
      </c>
      <c r="AR4" s="17">
        <f t="shared" si="2"/>
        <v>45928</v>
      </c>
      <c r="AS4" s="17">
        <f t="shared" si="2"/>
        <v>45935</v>
      </c>
      <c r="AT4" s="17">
        <f t="shared" si="2"/>
        <v>45942</v>
      </c>
      <c r="AU4" s="17">
        <f t="shared" si="2"/>
        <v>45949</v>
      </c>
      <c r="AV4" s="17">
        <f t="shared" si="2"/>
        <v>45956</v>
      </c>
      <c r="AW4" s="17">
        <f t="shared" si="2"/>
        <v>45963</v>
      </c>
      <c r="AX4" s="17">
        <f t="shared" si="2"/>
        <v>45970</v>
      </c>
      <c r="AY4" s="17">
        <f t="shared" si="2"/>
        <v>45977</v>
      </c>
      <c r="AZ4" s="17">
        <f t="shared" si="2"/>
        <v>45984</v>
      </c>
      <c r="BA4" s="17">
        <f t="shared" si="2"/>
        <v>45991</v>
      </c>
      <c r="BB4" s="17">
        <f t="shared" si="2"/>
        <v>45998</v>
      </c>
      <c r="BC4" s="17">
        <f t="shared" si="2"/>
        <v>46005</v>
      </c>
      <c r="BD4" s="17">
        <f t="shared" si="2"/>
        <v>46012</v>
      </c>
      <c r="BE4" s="17">
        <f t="shared" si="2"/>
        <v>46019</v>
      </c>
      <c r="BF4" s="17">
        <f t="shared" si="2"/>
        <v>46026</v>
      </c>
      <c r="BG4" s="19"/>
      <c r="BJ4" s="156"/>
      <c r="BK4" s="157"/>
      <c r="BL4" s="157"/>
      <c r="BM4" s="157"/>
      <c r="BN4" s="157"/>
      <c r="BO4" s="157"/>
      <c r="BP4" s="157"/>
      <c r="BQ4" s="158"/>
      <c r="BR4" s="168"/>
    </row>
    <row r="5" spans="1:72" s="16" customFormat="1" ht="13" customHeight="1" x14ac:dyDescent="0.15">
      <c r="A5" s="69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9"/>
      <c r="BJ5" s="156"/>
      <c r="BK5" s="157"/>
      <c r="BL5" s="157"/>
      <c r="BM5" s="157"/>
      <c r="BN5" s="157"/>
      <c r="BO5" s="157"/>
      <c r="BP5" s="157"/>
      <c r="BQ5" s="158"/>
      <c r="BR5" s="168"/>
    </row>
    <row r="6" spans="1:72" s="1" customFormat="1" ht="8.5" customHeight="1" thickBot="1" x14ac:dyDescent="0.25">
      <c r="A6" s="69"/>
      <c r="B6" s="4"/>
      <c r="C6" s="4"/>
      <c r="D6" s="4"/>
      <c r="E6" s="9"/>
      <c r="F6" s="9">
        <f t="shared" ref="F6:BF6" ca="1" si="3">IF(AND(TODAY()&gt;=F3,TODAY()&lt;=F4),1,0)</f>
        <v>0</v>
      </c>
      <c r="G6" s="9">
        <f t="shared" ca="1" si="3"/>
        <v>0</v>
      </c>
      <c r="H6" s="9">
        <f t="shared" ca="1" si="3"/>
        <v>0</v>
      </c>
      <c r="I6" s="9">
        <f t="shared" ca="1" si="3"/>
        <v>0</v>
      </c>
      <c r="J6" s="9">
        <f t="shared" ca="1" si="3"/>
        <v>0</v>
      </c>
      <c r="K6" s="9">
        <f t="shared" ca="1" si="3"/>
        <v>1</v>
      </c>
      <c r="L6" s="9">
        <f t="shared" ca="1" si="3"/>
        <v>0</v>
      </c>
      <c r="M6" s="9">
        <f t="shared" ca="1" si="3"/>
        <v>0</v>
      </c>
      <c r="N6" s="9">
        <f t="shared" ca="1" si="3"/>
        <v>0</v>
      </c>
      <c r="O6" s="9">
        <f t="shared" ca="1" si="3"/>
        <v>0</v>
      </c>
      <c r="P6" s="9">
        <f t="shared" ca="1" si="3"/>
        <v>0</v>
      </c>
      <c r="Q6" s="9">
        <f t="shared" ca="1" si="3"/>
        <v>0</v>
      </c>
      <c r="R6" s="9">
        <f t="shared" ca="1" si="3"/>
        <v>0</v>
      </c>
      <c r="S6" s="9">
        <f t="shared" ca="1" si="3"/>
        <v>0</v>
      </c>
      <c r="T6" s="9">
        <f t="shared" ca="1" si="3"/>
        <v>0</v>
      </c>
      <c r="U6" s="9">
        <f t="shared" ca="1" si="3"/>
        <v>0</v>
      </c>
      <c r="V6" s="9">
        <f t="shared" ca="1" si="3"/>
        <v>0</v>
      </c>
      <c r="W6" s="9">
        <f t="shared" ca="1" si="3"/>
        <v>0</v>
      </c>
      <c r="X6" s="9">
        <f t="shared" ca="1" si="3"/>
        <v>0</v>
      </c>
      <c r="Y6" s="9">
        <f t="shared" ca="1" si="3"/>
        <v>0</v>
      </c>
      <c r="Z6" s="9">
        <f t="shared" ca="1" si="3"/>
        <v>0</v>
      </c>
      <c r="AA6" s="9">
        <f t="shared" ca="1" si="3"/>
        <v>0</v>
      </c>
      <c r="AB6" s="9">
        <f t="shared" ca="1" si="3"/>
        <v>0</v>
      </c>
      <c r="AC6" s="9">
        <f t="shared" ca="1" si="3"/>
        <v>0</v>
      </c>
      <c r="AD6" s="9">
        <f t="shared" ca="1" si="3"/>
        <v>0</v>
      </c>
      <c r="AE6" s="9">
        <f t="shared" ca="1" si="3"/>
        <v>0</v>
      </c>
      <c r="AF6" s="9">
        <f t="shared" ca="1" si="3"/>
        <v>0</v>
      </c>
      <c r="AG6" s="9">
        <f t="shared" ca="1" si="3"/>
        <v>0</v>
      </c>
      <c r="AH6" s="9">
        <f t="shared" ca="1" si="3"/>
        <v>0</v>
      </c>
      <c r="AI6" s="14">
        <f t="shared" ca="1" si="3"/>
        <v>0</v>
      </c>
      <c r="AJ6" s="14">
        <f t="shared" ca="1" si="3"/>
        <v>0</v>
      </c>
      <c r="AK6" s="14">
        <f t="shared" ca="1" si="3"/>
        <v>0</v>
      </c>
      <c r="AL6" s="14">
        <f t="shared" ca="1" si="3"/>
        <v>0</v>
      </c>
      <c r="AM6" s="14">
        <f t="shared" ca="1" si="3"/>
        <v>0</v>
      </c>
      <c r="AN6" s="14">
        <f t="shared" ca="1" si="3"/>
        <v>0</v>
      </c>
      <c r="AO6" s="14">
        <f t="shared" ca="1" si="3"/>
        <v>0</v>
      </c>
      <c r="AP6" s="14">
        <f t="shared" ca="1" si="3"/>
        <v>0</v>
      </c>
      <c r="AQ6" s="14">
        <f t="shared" ca="1" si="3"/>
        <v>0</v>
      </c>
      <c r="AR6" s="14">
        <f t="shared" ca="1" si="3"/>
        <v>0</v>
      </c>
      <c r="AS6" s="14">
        <f t="shared" ca="1" si="3"/>
        <v>0</v>
      </c>
      <c r="AT6" s="14">
        <f t="shared" ca="1" si="3"/>
        <v>0</v>
      </c>
      <c r="AU6" s="14">
        <f t="shared" ca="1" si="3"/>
        <v>0</v>
      </c>
      <c r="AV6" s="14">
        <f t="shared" ca="1" si="3"/>
        <v>0</v>
      </c>
      <c r="AW6" s="14">
        <f t="shared" ca="1" si="3"/>
        <v>0</v>
      </c>
      <c r="AX6" s="14">
        <f t="shared" ca="1" si="3"/>
        <v>0</v>
      </c>
      <c r="AY6" s="14">
        <f t="shared" ca="1" si="3"/>
        <v>0</v>
      </c>
      <c r="AZ6" s="14">
        <f t="shared" ca="1" si="3"/>
        <v>0</v>
      </c>
      <c r="BA6" s="14">
        <f t="shared" ca="1" si="3"/>
        <v>0</v>
      </c>
      <c r="BB6" s="14">
        <f t="shared" ca="1" si="3"/>
        <v>0</v>
      </c>
      <c r="BC6" s="14">
        <f t="shared" ca="1" si="3"/>
        <v>0</v>
      </c>
      <c r="BD6" s="14">
        <f t="shared" ca="1" si="3"/>
        <v>0</v>
      </c>
      <c r="BE6" s="14"/>
      <c r="BF6" s="14">
        <f t="shared" ca="1" si="3"/>
        <v>0</v>
      </c>
      <c r="BG6" s="13"/>
      <c r="BH6" s="12"/>
      <c r="BI6" s="12"/>
      <c r="BJ6" s="156"/>
      <c r="BK6" s="157"/>
      <c r="BL6" s="157"/>
      <c r="BM6" s="157"/>
      <c r="BN6" s="157"/>
      <c r="BO6" s="157"/>
      <c r="BP6" s="157"/>
      <c r="BQ6" s="158"/>
      <c r="BR6" s="169"/>
    </row>
    <row r="7" spans="1:72" s="2" customFormat="1" ht="130.5" customHeight="1" thickBot="1" x14ac:dyDescent="0.2">
      <c r="A7" s="70" t="s">
        <v>125</v>
      </c>
      <c r="B7" s="56"/>
      <c r="C7" s="53" t="s">
        <v>81</v>
      </c>
      <c r="D7" s="24" t="s">
        <v>83</v>
      </c>
      <c r="E7" s="48">
        <v>2024</v>
      </c>
      <c r="F7" s="91" t="s">
        <v>38</v>
      </c>
      <c r="G7" s="31" t="s">
        <v>0</v>
      </c>
      <c r="H7" s="31" t="s">
        <v>1</v>
      </c>
      <c r="I7" s="31" t="s">
        <v>2</v>
      </c>
      <c r="J7" s="31" t="s">
        <v>3</v>
      </c>
      <c r="K7" s="31" t="s">
        <v>4</v>
      </c>
      <c r="L7" s="31" t="s">
        <v>5</v>
      </c>
      <c r="M7" s="31" t="s">
        <v>6</v>
      </c>
      <c r="N7" s="31" t="s">
        <v>7</v>
      </c>
      <c r="O7" s="31" t="s">
        <v>8</v>
      </c>
      <c r="P7" s="31" t="s">
        <v>9</v>
      </c>
      <c r="Q7" s="31" t="s">
        <v>10</v>
      </c>
      <c r="R7" s="31" t="s">
        <v>55</v>
      </c>
      <c r="S7" s="31" t="s">
        <v>34</v>
      </c>
      <c r="T7" s="31" t="s">
        <v>56</v>
      </c>
      <c r="U7" s="31" t="s">
        <v>11</v>
      </c>
      <c r="V7" s="31" t="s">
        <v>57</v>
      </c>
      <c r="W7" s="31" t="s">
        <v>58</v>
      </c>
      <c r="X7" s="31" t="s">
        <v>59</v>
      </c>
      <c r="Y7" s="31" t="s">
        <v>60</v>
      </c>
      <c r="Z7" s="31" t="s">
        <v>61</v>
      </c>
      <c r="AA7" s="31" t="s">
        <v>62</v>
      </c>
      <c r="AB7" s="31" t="s">
        <v>63</v>
      </c>
      <c r="AC7" s="31" t="s">
        <v>64</v>
      </c>
      <c r="AD7" s="31" t="s">
        <v>12</v>
      </c>
      <c r="AE7" s="31" t="s">
        <v>13</v>
      </c>
      <c r="AF7" s="31" t="s">
        <v>14</v>
      </c>
      <c r="AG7" s="31" t="s">
        <v>51</v>
      </c>
      <c r="AH7" s="31" t="s">
        <v>36</v>
      </c>
      <c r="AI7" s="31" t="s">
        <v>15</v>
      </c>
      <c r="AJ7" s="27" t="s">
        <v>16</v>
      </c>
      <c r="AK7" s="31" t="s">
        <v>17</v>
      </c>
      <c r="AL7" s="31" t="s">
        <v>65</v>
      </c>
      <c r="AM7" s="31" t="s">
        <v>18</v>
      </c>
      <c r="AN7" s="31" t="s">
        <v>19</v>
      </c>
      <c r="AO7" s="31" t="s">
        <v>20</v>
      </c>
      <c r="AP7" s="31" t="s">
        <v>21</v>
      </c>
      <c r="AQ7" s="31" t="s">
        <v>22</v>
      </c>
      <c r="AR7" s="31" t="s">
        <v>23</v>
      </c>
      <c r="AS7" s="31" t="s">
        <v>24</v>
      </c>
      <c r="AT7" s="31" t="s">
        <v>25</v>
      </c>
      <c r="AU7" s="31" t="s">
        <v>26</v>
      </c>
      <c r="AV7" s="31" t="s">
        <v>27</v>
      </c>
      <c r="AW7" s="31" t="s">
        <v>52</v>
      </c>
      <c r="AX7" s="31" t="s">
        <v>39</v>
      </c>
      <c r="AY7" s="31" t="s">
        <v>66</v>
      </c>
      <c r="AZ7" s="31" t="s">
        <v>28</v>
      </c>
      <c r="BA7" s="31" t="s">
        <v>29</v>
      </c>
      <c r="BB7" s="31" t="s">
        <v>30</v>
      </c>
      <c r="BC7" s="31" t="s">
        <v>31</v>
      </c>
      <c r="BD7" s="31" t="s">
        <v>32</v>
      </c>
      <c r="BE7" s="31" t="s">
        <v>67</v>
      </c>
      <c r="BF7" s="90" t="s">
        <v>140</v>
      </c>
      <c r="BG7" s="39"/>
      <c r="BH7" s="39"/>
      <c r="BI7" s="39"/>
      <c r="BJ7" s="47" t="s">
        <v>109</v>
      </c>
      <c r="BK7" s="38" t="s">
        <v>106</v>
      </c>
      <c r="BL7" s="104" t="s">
        <v>108</v>
      </c>
      <c r="BM7" s="101" t="s">
        <v>107</v>
      </c>
      <c r="BN7" s="101" t="s">
        <v>105</v>
      </c>
      <c r="BO7" s="101" t="s">
        <v>122</v>
      </c>
      <c r="BP7" s="101" t="s">
        <v>113</v>
      </c>
      <c r="BQ7" s="102" t="s">
        <v>112</v>
      </c>
      <c r="BR7" s="103" t="s">
        <v>115</v>
      </c>
      <c r="BT7" s="78" t="s">
        <v>126</v>
      </c>
    </row>
    <row r="8" spans="1:72" s="1" customFormat="1" ht="24.75" customHeight="1" x14ac:dyDescent="0.2">
      <c r="A8" s="70" t="e">
        <f>IF(B8=#REF!,"OK","NON")</f>
        <v>#REF!</v>
      </c>
      <c r="B8" s="10" t="s">
        <v>104</v>
      </c>
      <c r="C8" s="54" t="s">
        <v>110</v>
      </c>
      <c r="D8" s="34">
        <v>39</v>
      </c>
      <c r="E8" s="85">
        <v>0</v>
      </c>
      <c r="F8" s="32">
        <v>39</v>
      </c>
      <c r="G8" s="32">
        <v>41</v>
      </c>
      <c r="H8" s="32">
        <v>48</v>
      </c>
      <c r="I8" s="32">
        <v>39</v>
      </c>
      <c r="J8" s="32">
        <v>39</v>
      </c>
      <c r="K8" s="32">
        <v>39</v>
      </c>
      <c r="L8" s="32">
        <v>39</v>
      </c>
      <c r="M8" s="32">
        <v>39</v>
      </c>
      <c r="N8" s="32">
        <v>39</v>
      </c>
      <c r="O8" s="32">
        <v>39</v>
      </c>
      <c r="P8" s="32">
        <v>39</v>
      </c>
      <c r="Q8" s="32">
        <v>39</v>
      </c>
      <c r="R8" s="32">
        <v>39</v>
      </c>
      <c r="S8" s="32">
        <v>39</v>
      </c>
      <c r="T8" s="32">
        <v>39</v>
      </c>
      <c r="U8" s="32">
        <v>39</v>
      </c>
      <c r="V8" s="32">
        <v>39</v>
      </c>
      <c r="W8" s="32">
        <v>39</v>
      </c>
      <c r="X8" s="32">
        <v>39</v>
      </c>
      <c r="Y8" s="32">
        <v>39</v>
      </c>
      <c r="Z8" s="32">
        <v>39</v>
      </c>
      <c r="AA8" s="32">
        <v>39</v>
      </c>
      <c r="AB8" s="32">
        <v>39</v>
      </c>
      <c r="AC8" s="32">
        <v>39</v>
      </c>
      <c r="AD8" s="32">
        <v>39</v>
      </c>
      <c r="AE8" s="32">
        <v>39</v>
      </c>
      <c r="AF8" s="32">
        <v>39</v>
      </c>
      <c r="AG8" s="32">
        <v>39</v>
      </c>
      <c r="AH8" s="32">
        <v>39</v>
      </c>
      <c r="AI8" s="32">
        <v>39</v>
      </c>
      <c r="AJ8" s="32">
        <v>39</v>
      </c>
      <c r="AK8" s="32">
        <v>39</v>
      </c>
      <c r="AL8" s="32">
        <v>39</v>
      </c>
      <c r="AM8" s="32">
        <v>39</v>
      </c>
      <c r="AN8" s="32">
        <v>39</v>
      </c>
      <c r="AO8" s="32">
        <v>39</v>
      </c>
      <c r="AP8" s="32">
        <v>39</v>
      </c>
      <c r="AQ8" s="32">
        <v>39</v>
      </c>
      <c r="AR8" s="32">
        <v>39</v>
      </c>
      <c r="AS8" s="32">
        <v>39</v>
      </c>
      <c r="AT8" s="32">
        <v>39</v>
      </c>
      <c r="AU8" s="32">
        <v>39</v>
      </c>
      <c r="AV8" s="32">
        <v>39</v>
      </c>
      <c r="AW8" s="32">
        <v>39</v>
      </c>
      <c r="AX8" s="32">
        <v>39</v>
      </c>
      <c r="AY8" s="32">
        <v>39</v>
      </c>
      <c r="AZ8" s="32">
        <v>39</v>
      </c>
      <c r="BA8" s="32">
        <v>39</v>
      </c>
      <c r="BB8" s="32">
        <v>39</v>
      </c>
      <c r="BC8" s="32">
        <v>39</v>
      </c>
      <c r="BD8" s="32">
        <v>39</v>
      </c>
      <c r="BE8" s="32">
        <v>39</v>
      </c>
      <c r="BF8" s="87">
        <v>39</v>
      </c>
      <c r="BG8" s="12"/>
      <c r="BH8" s="159" t="str">
        <f>+B8</f>
        <v>ALVES Sylvie</v>
      </c>
      <c r="BI8" s="160"/>
      <c r="BJ8" s="41">
        <f>COUNTIF(F8:BF8,"&gt;"&amp;D8)</f>
        <v>2</v>
      </c>
      <c r="BK8" s="25" t="e">
        <f>SUM(#REF!)</f>
        <v>#REF!</v>
      </c>
      <c r="BL8" s="73">
        <f>'detail par semaine'!AZ5</f>
        <v>3.75</v>
      </c>
      <c r="BM8" s="73">
        <f>'detail par semaine'!BN5</f>
        <v>9</v>
      </c>
      <c r="BN8" s="73"/>
      <c r="BO8" s="73"/>
      <c r="BP8" s="73"/>
      <c r="BQ8" s="76"/>
      <c r="BR8" s="44"/>
      <c r="BT8" s="79">
        <f t="shared" ref="BT8:BT48" si="4">(52-5)*2+BL8+BM8</f>
        <v>106.75</v>
      </c>
    </row>
    <row r="9" spans="1:72" s="1" customFormat="1" ht="24.75" customHeight="1" x14ac:dyDescent="0.2">
      <c r="A9" s="70" t="e">
        <f>IF(B9=#REF!,"OK","NON")</f>
        <v>#REF!</v>
      </c>
      <c r="B9" s="10" t="s">
        <v>132</v>
      </c>
      <c r="C9" s="49" t="s">
        <v>82</v>
      </c>
      <c r="D9" s="64">
        <v>37</v>
      </c>
      <c r="E9" s="89">
        <v>5.625</v>
      </c>
      <c r="F9" s="23">
        <v>33</v>
      </c>
      <c r="G9" s="23">
        <v>41</v>
      </c>
      <c r="H9" s="23">
        <v>48</v>
      </c>
      <c r="I9" s="23">
        <v>41</v>
      </c>
      <c r="J9" s="23">
        <v>17</v>
      </c>
      <c r="K9" s="23">
        <v>41</v>
      </c>
      <c r="L9" s="23">
        <v>33</v>
      </c>
      <c r="M9" s="23">
        <v>41</v>
      </c>
      <c r="N9" s="23">
        <v>33</v>
      </c>
      <c r="O9" s="23">
        <v>41</v>
      </c>
      <c r="P9" s="23">
        <v>33</v>
      </c>
      <c r="Q9" s="23">
        <v>41</v>
      </c>
      <c r="R9" s="23">
        <v>33</v>
      </c>
      <c r="S9" s="23">
        <v>41</v>
      </c>
      <c r="T9" s="23">
        <v>33</v>
      </c>
      <c r="U9" s="23">
        <v>41</v>
      </c>
      <c r="V9" s="23">
        <v>33</v>
      </c>
      <c r="W9" s="23">
        <v>41</v>
      </c>
      <c r="X9" s="23">
        <v>33</v>
      </c>
      <c r="Y9" s="23">
        <v>41</v>
      </c>
      <c r="Z9" s="23">
        <v>33</v>
      </c>
      <c r="AA9" s="23">
        <v>41</v>
      </c>
      <c r="AB9" s="23">
        <v>33</v>
      </c>
      <c r="AC9" s="23">
        <v>41</v>
      </c>
      <c r="AD9" s="23">
        <v>33</v>
      </c>
      <c r="AE9" s="23">
        <v>41</v>
      </c>
      <c r="AF9" s="23">
        <v>33</v>
      </c>
      <c r="AG9" s="23">
        <v>41</v>
      </c>
      <c r="AH9" s="23">
        <v>33</v>
      </c>
      <c r="AI9" s="23">
        <v>41</v>
      </c>
      <c r="AJ9" s="23">
        <v>33</v>
      </c>
      <c r="AK9" s="23">
        <v>41</v>
      </c>
      <c r="AL9" s="23">
        <v>33</v>
      </c>
      <c r="AM9" s="23">
        <v>41</v>
      </c>
      <c r="AN9" s="23">
        <v>33</v>
      </c>
      <c r="AO9" s="23">
        <v>41</v>
      </c>
      <c r="AP9" s="23">
        <v>33</v>
      </c>
      <c r="AQ9" s="23">
        <v>41</v>
      </c>
      <c r="AR9" s="23">
        <v>33</v>
      </c>
      <c r="AS9" s="23">
        <v>41</v>
      </c>
      <c r="AT9" s="23">
        <v>33</v>
      </c>
      <c r="AU9" s="23">
        <v>41</v>
      </c>
      <c r="AV9" s="23">
        <v>33</v>
      </c>
      <c r="AW9" s="23">
        <v>41</v>
      </c>
      <c r="AX9" s="23">
        <v>33</v>
      </c>
      <c r="AY9" s="23">
        <v>41</v>
      </c>
      <c r="AZ9" s="23">
        <v>33</v>
      </c>
      <c r="BA9" s="23">
        <v>41</v>
      </c>
      <c r="BB9" s="23">
        <v>33</v>
      </c>
      <c r="BC9" s="23">
        <v>41</v>
      </c>
      <c r="BD9" s="23">
        <v>33</v>
      </c>
      <c r="BE9" s="15">
        <v>41</v>
      </c>
      <c r="BF9" s="88">
        <v>33</v>
      </c>
      <c r="BG9" s="12"/>
      <c r="BH9" s="152" t="s">
        <v>132</v>
      </c>
      <c r="BI9" s="153"/>
      <c r="BJ9" s="82"/>
      <c r="BK9" s="83"/>
      <c r="BL9" s="73">
        <f>'detail par semaine'!AZ6</f>
        <v>6.25</v>
      </c>
      <c r="BM9" s="73">
        <f>'detail par semaine'!BN6</f>
        <v>15</v>
      </c>
      <c r="BN9" s="73"/>
      <c r="BO9" s="73"/>
      <c r="BP9" s="73"/>
      <c r="BQ9" s="76"/>
      <c r="BR9" s="44"/>
      <c r="BT9" s="80">
        <f t="shared" si="4"/>
        <v>115.25</v>
      </c>
    </row>
    <row r="10" spans="1:72" s="1" customFormat="1" ht="25.25" customHeight="1" x14ac:dyDescent="0.2">
      <c r="A10" s="70" t="e">
        <f>IF(B10=#REF!,"OK","NON")</f>
        <v>#REF!</v>
      </c>
      <c r="B10" s="10" t="s">
        <v>124</v>
      </c>
      <c r="C10" s="49" t="s">
        <v>82</v>
      </c>
      <c r="D10" s="33">
        <v>37</v>
      </c>
      <c r="E10" s="45">
        <v>2.88</v>
      </c>
      <c r="F10" s="23">
        <v>32.25</v>
      </c>
      <c r="G10" s="23">
        <v>41</v>
      </c>
      <c r="H10" s="23">
        <v>33</v>
      </c>
      <c r="I10" s="23">
        <v>41</v>
      </c>
      <c r="J10" s="23">
        <v>33</v>
      </c>
      <c r="K10" s="23">
        <v>41</v>
      </c>
      <c r="L10" s="23">
        <v>33</v>
      </c>
      <c r="M10" s="23">
        <v>41</v>
      </c>
      <c r="N10" s="23">
        <v>33</v>
      </c>
      <c r="O10" s="23">
        <v>41</v>
      </c>
      <c r="P10" s="23">
        <v>33</v>
      </c>
      <c r="Q10" s="23">
        <v>41</v>
      </c>
      <c r="R10" s="23">
        <v>33</v>
      </c>
      <c r="S10" s="23">
        <v>41</v>
      </c>
      <c r="T10" s="23">
        <v>33</v>
      </c>
      <c r="U10" s="23">
        <v>41</v>
      </c>
      <c r="V10" s="23">
        <v>33</v>
      </c>
      <c r="W10" s="23">
        <v>41</v>
      </c>
      <c r="X10" s="23">
        <v>33</v>
      </c>
      <c r="Y10" s="23">
        <v>41</v>
      </c>
      <c r="Z10" s="23">
        <v>33</v>
      </c>
      <c r="AA10" s="23">
        <v>41</v>
      </c>
      <c r="AB10" s="23">
        <v>33</v>
      </c>
      <c r="AC10" s="23">
        <v>41</v>
      </c>
      <c r="AD10" s="23">
        <v>33</v>
      </c>
      <c r="AE10" s="23">
        <v>41</v>
      </c>
      <c r="AF10" s="23">
        <v>33</v>
      </c>
      <c r="AG10" s="23">
        <v>41</v>
      </c>
      <c r="AH10" s="23">
        <v>33</v>
      </c>
      <c r="AI10" s="23">
        <v>41</v>
      </c>
      <c r="AJ10" s="23">
        <v>33</v>
      </c>
      <c r="AK10" s="23">
        <v>41</v>
      </c>
      <c r="AL10" s="23">
        <v>33</v>
      </c>
      <c r="AM10" s="23">
        <v>41</v>
      </c>
      <c r="AN10" s="23">
        <v>33</v>
      </c>
      <c r="AO10" s="23">
        <v>41</v>
      </c>
      <c r="AP10" s="23">
        <v>33</v>
      </c>
      <c r="AQ10" s="23">
        <v>41</v>
      </c>
      <c r="AR10" s="23">
        <v>33</v>
      </c>
      <c r="AS10" s="23">
        <v>41</v>
      </c>
      <c r="AT10" s="23">
        <v>33</v>
      </c>
      <c r="AU10" s="23">
        <v>41</v>
      </c>
      <c r="AV10" s="23">
        <v>33</v>
      </c>
      <c r="AW10" s="23">
        <v>41</v>
      </c>
      <c r="AX10" s="23">
        <v>33</v>
      </c>
      <c r="AY10" s="23">
        <v>41</v>
      </c>
      <c r="AZ10" s="23">
        <v>33</v>
      </c>
      <c r="BA10" s="23">
        <v>41</v>
      </c>
      <c r="BB10" s="23">
        <v>33</v>
      </c>
      <c r="BC10" s="23">
        <v>41</v>
      </c>
      <c r="BD10" s="23">
        <v>33</v>
      </c>
      <c r="BE10" s="15">
        <v>41</v>
      </c>
      <c r="BF10" s="88">
        <v>33</v>
      </c>
      <c r="BG10" s="12"/>
      <c r="BH10" s="152" t="s">
        <v>124</v>
      </c>
      <c r="BI10" s="153"/>
      <c r="BJ10" s="41"/>
      <c r="BK10" s="25"/>
      <c r="BL10" s="73">
        <f>'detail par semaine'!AZ7</f>
        <v>0</v>
      </c>
      <c r="BM10" s="73">
        <f>'detail par semaine'!BN7</f>
        <v>0</v>
      </c>
      <c r="BN10" s="73"/>
      <c r="BO10" s="73"/>
      <c r="BP10" s="73"/>
      <c r="BQ10" s="76"/>
      <c r="BR10" s="44"/>
      <c r="BT10" s="79">
        <f t="shared" si="4"/>
        <v>94</v>
      </c>
    </row>
    <row r="11" spans="1:72" s="1" customFormat="1" ht="25.25" customHeight="1" x14ac:dyDescent="0.2">
      <c r="A11" s="70" t="e">
        <f>IF(B11=#REF!,"OK","NON")</f>
        <v>#REF!</v>
      </c>
      <c r="B11" s="10" t="s">
        <v>40</v>
      </c>
      <c r="C11" s="49" t="s">
        <v>82</v>
      </c>
      <c r="D11" s="33">
        <v>37</v>
      </c>
      <c r="E11" s="45">
        <v>0</v>
      </c>
      <c r="F11" s="23">
        <v>40</v>
      </c>
      <c r="G11" s="23">
        <v>33</v>
      </c>
      <c r="H11" s="23">
        <v>41</v>
      </c>
      <c r="I11" s="23">
        <v>33</v>
      </c>
      <c r="J11" s="23">
        <v>41</v>
      </c>
      <c r="K11" s="23">
        <v>33</v>
      </c>
      <c r="L11" s="23">
        <v>41</v>
      </c>
      <c r="M11" s="23">
        <v>33</v>
      </c>
      <c r="N11" s="23">
        <v>41</v>
      </c>
      <c r="O11" s="23">
        <v>33</v>
      </c>
      <c r="P11" s="23">
        <v>41</v>
      </c>
      <c r="Q11" s="23">
        <v>33</v>
      </c>
      <c r="R11" s="23">
        <v>41</v>
      </c>
      <c r="S11" s="23">
        <v>33</v>
      </c>
      <c r="T11" s="23">
        <v>41</v>
      </c>
      <c r="U11" s="23">
        <v>33</v>
      </c>
      <c r="V11" s="23">
        <v>41</v>
      </c>
      <c r="W11" s="23">
        <v>33</v>
      </c>
      <c r="X11" s="23">
        <v>41</v>
      </c>
      <c r="Y11" s="23">
        <v>33</v>
      </c>
      <c r="Z11" s="23">
        <v>41</v>
      </c>
      <c r="AA11" s="23">
        <v>33</v>
      </c>
      <c r="AB11" s="23">
        <v>41</v>
      </c>
      <c r="AC11" s="23">
        <v>33</v>
      </c>
      <c r="AD11" s="23">
        <v>41</v>
      </c>
      <c r="AE11" s="23">
        <v>33</v>
      </c>
      <c r="AF11" s="23">
        <v>41</v>
      </c>
      <c r="AG11" s="23">
        <v>33</v>
      </c>
      <c r="AH11" s="23">
        <v>41</v>
      </c>
      <c r="AI11" s="23">
        <v>33</v>
      </c>
      <c r="AJ11" s="23">
        <v>41</v>
      </c>
      <c r="AK11" s="23">
        <v>33</v>
      </c>
      <c r="AL11" s="23">
        <v>41</v>
      </c>
      <c r="AM11" s="23">
        <v>33</v>
      </c>
      <c r="AN11" s="23">
        <v>41</v>
      </c>
      <c r="AO11" s="23">
        <v>33</v>
      </c>
      <c r="AP11" s="23">
        <v>41</v>
      </c>
      <c r="AQ11" s="23">
        <v>33</v>
      </c>
      <c r="AR11" s="23">
        <v>41</v>
      </c>
      <c r="AS11" s="23">
        <v>33</v>
      </c>
      <c r="AT11" s="23">
        <v>41</v>
      </c>
      <c r="AU11" s="23">
        <v>33</v>
      </c>
      <c r="AV11" s="23">
        <v>41</v>
      </c>
      <c r="AW11" s="23">
        <v>33</v>
      </c>
      <c r="AX11" s="23">
        <v>41</v>
      </c>
      <c r="AY11" s="23">
        <v>33</v>
      </c>
      <c r="AZ11" s="23">
        <v>41</v>
      </c>
      <c r="BA11" s="23">
        <v>33</v>
      </c>
      <c r="BB11" s="23">
        <v>41</v>
      </c>
      <c r="BC11" s="23">
        <v>33</v>
      </c>
      <c r="BD11" s="23">
        <v>41</v>
      </c>
      <c r="BE11" s="23">
        <v>33</v>
      </c>
      <c r="BF11" s="88">
        <v>41</v>
      </c>
      <c r="BG11" s="12"/>
      <c r="BH11" s="150" t="s">
        <v>40</v>
      </c>
      <c r="BI11" s="151"/>
      <c r="BJ11" s="46">
        <f t="shared" ref="BJ11:BJ21" si="5">COUNTIF(F11:BF11,"&gt;"&amp;D11)</f>
        <v>27</v>
      </c>
      <c r="BK11" s="40" t="e">
        <f>SUM(#REF!)</f>
        <v>#REF!</v>
      </c>
      <c r="BL11" s="73">
        <f>'detail par semaine'!AZ8</f>
        <v>0</v>
      </c>
      <c r="BM11" s="73">
        <f>'detail par semaine'!BN8</f>
        <v>0</v>
      </c>
      <c r="BN11" s="73"/>
      <c r="BO11" s="73"/>
      <c r="BP11" s="73"/>
      <c r="BQ11" s="76"/>
      <c r="BR11" s="44"/>
      <c r="BT11" s="80">
        <f t="shared" si="4"/>
        <v>94</v>
      </c>
    </row>
    <row r="12" spans="1:72" s="1" customFormat="1" ht="25.25" customHeight="1" x14ac:dyDescent="0.2">
      <c r="A12" s="70" t="e">
        <f>IF(B12=#REF!,"OK","NON")</f>
        <v>#REF!</v>
      </c>
      <c r="B12" s="10" t="s">
        <v>78</v>
      </c>
      <c r="C12" s="49" t="s">
        <v>82</v>
      </c>
      <c r="D12" s="33">
        <v>37</v>
      </c>
      <c r="E12" s="45">
        <v>6.3249999999999886</v>
      </c>
      <c r="F12" s="23">
        <v>8.5</v>
      </c>
      <c r="G12" s="23">
        <v>41</v>
      </c>
      <c r="H12" s="23">
        <v>33</v>
      </c>
      <c r="I12" s="23">
        <v>41</v>
      </c>
      <c r="J12" s="23">
        <v>33</v>
      </c>
      <c r="K12" s="23">
        <v>41</v>
      </c>
      <c r="L12" s="23">
        <v>33</v>
      </c>
      <c r="M12" s="23">
        <v>41</v>
      </c>
      <c r="N12" s="23">
        <v>33</v>
      </c>
      <c r="O12" s="23">
        <v>41</v>
      </c>
      <c r="P12" s="23">
        <v>33</v>
      </c>
      <c r="Q12" s="23">
        <v>41</v>
      </c>
      <c r="R12" s="23">
        <v>33</v>
      </c>
      <c r="S12" s="23">
        <v>41</v>
      </c>
      <c r="T12" s="23">
        <v>33</v>
      </c>
      <c r="U12" s="23">
        <v>41</v>
      </c>
      <c r="V12" s="23">
        <v>33</v>
      </c>
      <c r="W12" s="23">
        <v>41</v>
      </c>
      <c r="X12" s="23">
        <v>33</v>
      </c>
      <c r="Y12" s="23">
        <v>41</v>
      </c>
      <c r="Z12" s="23">
        <v>33</v>
      </c>
      <c r="AA12" s="23">
        <v>41</v>
      </c>
      <c r="AB12" s="23">
        <v>33</v>
      </c>
      <c r="AC12" s="23">
        <v>41</v>
      </c>
      <c r="AD12" s="23">
        <v>33</v>
      </c>
      <c r="AE12" s="23">
        <v>41</v>
      </c>
      <c r="AF12" s="23">
        <v>33</v>
      </c>
      <c r="AG12" s="23">
        <v>41</v>
      </c>
      <c r="AH12" s="23">
        <v>33</v>
      </c>
      <c r="AI12" s="23">
        <v>41</v>
      </c>
      <c r="AJ12" s="23">
        <v>33</v>
      </c>
      <c r="AK12" s="23">
        <v>41</v>
      </c>
      <c r="AL12" s="23">
        <v>33</v>
      </c>
      <c r="AM12" s="23">
        <v>41</v>
      </c>
      <c r="AN12" s="23">
        <v>33</v>
      </c>
      <c r="AO12" s="23">
        <v>41</v>
      </c>
      <c r="AP12" s="23">
        <v>33</v>
      </c>
      <c r="AQ12" s="23">
        <v>41</v>
      </c>
      <c r="AR12" s="23">
        <v>33</v>
      </c>
      <c r="AS12" s="23">
        <v>41</v>
      </c>
      <c r="AT12" s="23">
        <v>33</v>
      </c>
      <c r="AU12" s="23">
        <v>41</v>
      </c>
      <c r="AV12" s="23">
        <v>33</v>
      </c>
      <c r="AW12" s="23">
        <v>41</v>
      </c>
      <c r="AX12" s="23">
        <v>33</v>
      </c>
      <c r="AY12" s="23">
        <v>41</v>
      </c>
      <c r="AZ12" s="23">
        <v>33</v>
      </c>
      <c r="BA12" s="23">
        <v>41</v>
      </c>
      <c r="BB12" s="23">
        <v>33</v>
      </c>
      <c r="BC12" s="23">
        <v>41</v>
      </c>
      <c r="BD12" s="23">
        <v>33</v>
      </c>
      <c r="BE12" s="15">
        <v>41</v>
      </c>
      <c r="BF12" s="88">
        <v>33</v>
      </c>
      <c r="BG12" s="12"/>
      <c r="BH12" s="152" t="s">
        <v>78</v>
      </c>
      <c r="BI12" s="153"/>
      <c r="BJ12" s="46">
        <f t="shared" si="5"/>
        <v>26</v>
      </c>
      <c r="BK12" s="40" t="e">
        <f>SUM(#REF!)</f>
        <v>#REF!</v>
      </c>
      <c r="BL12" s="73">
        <f>'detail par semaine'!AZ9</f>
        <v>0</v>
      </c>
      <c r="BM12" s="73">
        <f>'detail par semaine'!BN9</f>
        <v>0</v>
      </c>
      <c r="BN12" s="73"/>
      <c r="BO12" s="73"/>
      <c r="BP12" s="73"/>
      <c r="BQ12" s="76"/>
      <c r="BR12" s="44"/>
      <c r="BT12" s="80">
        <f t="shared" si="4"/>
        <v>94</v>
      </c>
    </row>
    <row r="13" spans="1:72" s="1" customFormat="1" ht="25.25" customHeight="1" x14ac:dyDescent="0.2">
      <c r="A13" s="70" t="e">
        <f>IF(B13=#REF!,"OK","NON")</f>
        <v>#REF!</v>
      </c>
      <c r="B13" s="10" t="s">
        <v>43</v>
      </c>
      <c r="C13" s="49" t="s">
        <v>82</v>
      </c>
      <c r="D13" s="33">
        <v>37</v>
      </c>
      <c r="E13" s="45">
        <v>12.81</v>
      </c>
      <c r="F13" s="23">
        <v>41</v>
      </c>
      <c r="G13" s="23">
        <v>33</v>
      </c>
      <c r="H13" s="68">
        <v>36.75</v>
      </c>
      <c r="I13" s="23">
        <v>33</v>
      </c>
      <c r="J13" s="23">
        <v>41</v>
      </c>
      <c r="K13" s="23">
        <v>33</v>
      </c>
      <c r="L13" s="23">
        <v>41</v>
      </c>
      <c r="M13" s="23">
        <v>33</v>
      </c>
      <c r="N13" s="23">
        <v>41</v>
      </c>
      <c r="O13" s="23">
        <v>33</v>
      </c>
      <c r="P13" s="23">
        <v>41</v>
      </c>
      <c r="Q13" s="23">
        <v>33</v>
      </c>
      <c r="R13" s="23">
        <v>41</v>
      </c>
      <c r="S13" s="23">
        <v>33</v>
      </c>
      <c r="T13" s="23">
        <v>41</v>
      </c>
      <c r="U13" s="23">
        <v>33</v>
      </c>
      <c r="V13" s="23">
        <v>41</v>
      </c>
      <c r="W13" s="23">
        <v>33</v>
      </c>
      <c r="X13" s="23">
        <v>41</v>
      </c>
      <c r="Y13" s="23">
        <v>33</v>
      </c>
      <c r="Z13" s="23">
        <v>41</v>
      </c>
      <c r="AA13" s="23">
        <v>33</v>
      </c>
      <c r="AB13" s="23">
        <v>41</v>
      </c>
      <c r="AC13" s="23">
        <v>33</v>
      </c>
      <c r="AD13" s="23">
        <v>41</v>
      </c>
      <c r="AE13" s="23">
        <v>33</v>
      </c>
      <c r="AF13" s="23">
        <v>41</v>
      </c>
      <c r="AG13" s="23">
        <v>33</v>
      </c>
      <c r="AH13" s="23">
        <v>41</v>
      </c>
      <c r="AI13" s="23">
        <v>33</v>
      </c>
      <c r="AJ13" s="23">
        <v>41</v>
      </c>
      <c r="AK13" s="23">
        <v>33</v>
      </c>
      <c r="AL13" s="23">
        <v>41</v>
      </c>
      <c r="AM13" s="23">
        <v>33</v>
      </c>
      <c r="AN13" s="23">
        <v>41</v>
      </c>
      <c r="AO13" s="23">
        <v>33</v>
      </c>
      <c r="AP13" s="23">
        <v>41</v>
      </c>
      <c r="AQ13" s="23">
        <v>33</v>
      </c>
      <c r="AR13" s="23">
        <v>41</v>
      </c>
      <c r="AS13" s="23">
        <v>33</v>
      </c>
      <c r="AT13" s="23">
        <v>41</v>
      </c>
      <c r="AU13" s="23">
        <v>33</v>
      </c>
      <c r="AV13" s="23">
        <v>41</v>
      </c>
      <c r="AW13" s="23">
        <v>33</v>
      </c>
      <c r="AX13" s="23">
        <v>41</v>
      </c>
      <c r="AY13" s="23">
        <v>33</v>
      </c>
      <c r="AZ13" s="23">
        <v>41</v>
      </c>
      <c r="BA13" s="23">
        <v>33</v>
      </c>
      <c r="BB13" s="23">
        <v>41</v>
      </c>
      <c r="BC13" s="23">
        <v>33</v>
      </c>
      <c r="BD13" s="23">
        <v>41</v>
      </c>
      <c r="BE13" s="23">
        <v>33</v>
      </c>
      <c r="BF13" s="88">
        <v>41</v>
      </c>
      <c r="BG13" s="12"/>
      <c r="BH13" s="150" t="s">
        <v>43</v>
      </c>
      <c r="BI13" s="151"/>
      <c r="BJ13" s="46">
        <f t="shared" si="5"/>
        <v>26</v>
      </c>
      <c r="BK13" s="40" t="e">
        <f>SUM(#REF!)</f>
        <v>#REF!</v>
      </c>
      <c r="BL13" s="73">
        <f>'detail par semaine'!AZ10</f>
        <v>0</v>
      </c>
      <c r="BM13" s="73">
        <f>'detail par semaine'!BN10</f>
        <v>0</v>
      </c>
      <c r="BN13" s="73"/>
      <c r="BO13" s="73"/>
      <c r="BP13" s="73"/>
      <c r="BQ13" s="76"/>
      <c r="BR13" s="44"/>
      <c r="BT13" s="80">
        <f t="shared" si="4"/>
        <v>94</v>
      </c>
    </row>
    <row r="14" spans="1:72" s="1" customFormat="1" ht="25.25" customHeight="1" x14ac:dyDescent="0.2">
      <c r="A14" s="70" t="e">
        <f>IF(B14=#REF!,"OK","NON")</f>
        <v>#REF!</v>
      </c>
      <c r="B14" s="10" t="s">
        <v>54</v>
      </c>
      <c r="C14" s="49" t="s">
        <v>82</v>
      </c>
      <c r="D14" s="33">
        <v>37</v>
      </c>
      <c r="E14" s="45">
        <v>5.87</v>
      </c>
      <c r="F14" s="23">
        <v>41</v>
      </c>
      <c r="G14" s="23">
        <v>33</v>
      </c>
      <c r="H14" s="23">
        <v>41</v>
      </c>
      <c r="I14" s="23">
        <v>33</v>
      </c>
      <c r="J14" s="23">
        <v>41</v>
      </c>
      <c r="K14" s="23">
        <v>33</v>
      </c>
      <c r="L14" s="23">
        <v>41</v>
      </c>
      <c r="M14" s="23">
        <v>33</v>
      </c>
      <c r="N14" s="23">
        <v>41</v>
      </c>
      <c r="O14" s="23">
        <v>33</v>
      </c>
      <c r="P14" s="23">
        <v>41</v>
      </c>
      <c r="Q14" s="23">
        <v>33</v>
      </c>
      <c r="R14" s="23">
        <v>41</v>
      </c>
      <c r="S14" s="23">
        <v>33</v>
      </c>
      <c r="T14" s="23">
        <v>41</v>
      </c>
      <c r="U14" s="23">
        <v>33</v>
      </c>
      <c r="V14" s="23">
        <v>41</v>
      </c>
      <c r="W14" s="23">
        <v>33</v>
      </c>
      <c r="X14" s="23">
        <v>41</v>
      </c>
      <c r="Y14" s="23">
        <v>33</v>
      </c>
      <c r="Z14" s="23">
        <v>41</v>
      </c>
      <c r="AA14" s="23">
        <v>33</v>
      </c>
      <c r="AB14" s="23">
        <v>41</v>
      </c>
      <c r="AC14" s="23">
        <v>33</v>
      </c>
      <c r="AD14" s="23">
        <v>41</v>
      </c>
      <c r="AE14" s="23">
        <v>33</v>
      </c>
      <c r="AF14" s="23">
        <v>41</v>
      </c>
      <c r="AG14" s="23">
        <v>33</v>
      </c>
      <c r="AH14" s="23">
        <v>41</v>
      </c>
      <c r="AI14" s="23">
        <v>33</v>
      </c>
      <c r="AJ14" s="23">
        <v>41</v>
      </c>
      <c r="AK14" s="23">
        <v>33</v>
      </c>
      <c r="AL14" s="23">
        <v>41</v>
      </c>
      <c r="AM14" s="23">
        <v>33</v>
      </c>
      <c r="AN14" s="23">
        <v>41</v>
      </c>
      <c r="AO14" s="23">
        <v>33</v>
      </c>
      <c r="AP14" s="23">
        <v>41</v>
      </c>
      <c r="AQ14" s="23">
        <v>33</v>
      </c>
      <c r="AR14" s="23">
        <v>41</v>
      </c>
      <c r="AS14" s="23">
        <v>33</v>
      </c>
      <c r="AT14" s="23">
        <v>41</v>
      </c>
      <c r="AU14" s="23">
        <v>33</v>
      </c>
      <c r="AV14" s="23">
        <v>41</v>
      </c>
      <c r="AW14" s="23">
        <v>33</v>
      </c>
      <c r="AX14" s="23">
        <v>41</v>
      </c>
      <c r="AY14" s="23">
        <v>33</v>
      </c>
      <c r="AZ14" s="23">
        <v>41</v>
      </c>
      <c r="BA14" s="23">
        <v>33</v>
      </c>
      <c r="BB14" s="23">
        <v>41</v>
      </c>
      <c r="BC14" s="23">
        <v>33</v>
      </c>
      <c r="BD14" s="23">
        <v>41</v>
      </c>
      <c r="BE14" s="23">
        <v>33</v>
      </c>
      <c r="BF14" s="88">
        <v>41</v>
      </c>
      <c r="BG14" s="12"/>
      <c r="BH14" s="150" t="s">
        <v>54</v>
      </c>
      <c r="BI14" s="151"/>
      <c r="BJ14" s="41">
        <f t="shared" si="5"/>
        <v>27</v>
      </c>
      <c r="BK14" s="25" t="e">
        <f>SUM(#REF!)</f>
        <v>#REF!</v>
      </c>
      <c r="BL14" s="73">
        <f>'detail par semaine'!AZ11</f>
        <v>0</v>
      </c>
      <c r="BM14" s="73">
        <f>'detail par semaine'!BN11</f>
        <v>0</v>
      </c>
      <c r="BN14" s="73"/>
      <c r="BO14" s="73"/>
      <c r="BP14" s="73"/>
      <c r="BQ14" s="76"/>
      <c r="BR14" s="44"/>
      <c r="BT14" s="80">
        <f t="shared" si="4"/>
        <v>94</v>
      </c>
    </row>
    <row r="15" spans="1:72" s="1" customFormat="1" ht="25.25" customHeight="1" x14ac:dyDescent="0.2">
      <c r="A15" s="70" t="e">
        <f>IF(B15=#REF!,"OK","NON")</f>
        <v>#REF!</v>
      </c>
      <c r="B15" s="10" t="s">
        <v>74</v>
      </c>
      <c r="C15" s="49" t="s">
        <v>82</v>
      </c>
      <c r="D15" s="33">
        <v>37</v>
      </c>
      <c r="E15" s="45">
        <v>0</v>
      </c>
      <c r="F15" s="23">
        <v>41</v>
      </c>
      <c r="G15" s="23">
        <v>33</v>
      </c>
      <c r="H15" s="23">
        <v>41</v>
      </c>
      <c r="I15" s="23">
        <v>29.25</v>
      </c>
      <c r="J15" s="23">
        <v>41</v>
      </c>
      <c r="K15" s="23">
        <v>33</v>
      </c>
      <c r="L15" s="23">
        <v>41</v>
      </c>
      <c r="M15" s="23">
        <v>33</v>
      </c>
      <c r="N15" s="23">
        <v>41</v>
      </c>
      <c r="O15" s="23">
        <v>33</v>
      </c>
      <c r="P15" s="23">
        <v>41</v>
      </c>
      <c r="Q15" s="23">
        <v>33</v>
      </c>
      <c r="R15" s="23">
        <v>41</v>
      </c>
      <c r="S15" s="23">
        <v>33</v>
      </c>
      <c r="T15" s="23">
        <v>41</v>
      </c>
      <c r="U15" s="23">
        <v>33</v>
      </c>
      <c r="V15" s="23">
        <v>41</v>
      </c>
      <c r="W15" s="23">
        <v>33</v>
      </c>
      <c r="X15" s="23">
        <v>41</v>
      </c>
      <c r="Y15" s="23">
        <v>33</v>
      </c>
      <c r="Z15" s="23">
        <v>41</v>
      </c>
      <c r="AA15" s="23">
        <v>33</v>
      </c>
      <c r="AB15" s="23">
        <v>41</v>
      </c>
      <c r="AC15" s="23">
        <v>33</v>
      </c>
      <c r="AD15" s="23">
        <v>41</v>
      </c>
      <c r="AE15" s="23">
        <v>33</v>
      </c>
      <c r="AF15" s="23">
        <v>41</v>
      </c>
      <c r="AG15" s="23">
        <v>33</v>
      </c>
      <c r="AH15" s="23">
        <v>41</v>
      </c>
      <c r="AI15" s="23">
        <v>33</v>
      </c>
      <c r="AJ15" s="23">
        <v>41</v>
      </c>
      <c r="AK15" s="23">
        <v>33</v>
      </c>
      <c r="AL15" s="23">
        <v>41</v>
      </c>
      <c r="AM15" s="23">
        <v>33</v>
      </c>
      <c r="AN15" s="23">
        <v>41</v>
      </c>
      <c r="AO15" s="23">
        <v>33</v>
      </c>
      <c r="AP15" s="23">
        <v>41</v>
      </c>
      <c r="AQ15" s="23">
        <v>33</v>
      </c>
      <c r="AR15" s="23">
        <v>41</v>
      </c>
      <c r="AS15" s="23">
        <v>33</v>
      </c>
      <c r="AT15" s="23">
        <v>41</v>
      </c>
      <c r="AU15" s="23">
        <v>33</v>
      </c>
      <c r="AV15" s="23">
        <v>41</v>
      </c>
      <c r="AW15" s="23">
        <v>33</v>
      </c>
      <c r="AX15" s="23">
        <v>41</v>
      </c>
      <c r="AY15" s="23">
        <v>33</v>
      </c>
      <c r="AZ15" s="23">
        <v>41</v>
      </c>
      <c r="BA15" s="23">
        <v>33</v>
      </c>
      <c r="BB15" s="23">
        <v>41</v>
      </c>
      <c r="BC15" s="23">
        <v>33</v>
      </c>
      <c r="BD15" s="23">
        <v>41</v>
      </c>
      <c r="BE15" s="23">
        <v>33</v>
      </c>
      <c r="BF15" s="88">
        <v>41</v>
      </c>
      <c r="BG15" s="12"/>
      <c r="BH15" s="154" t="s">
        <v>74</v>
      </c>
      <c r="BI15" s="155"/>
      <c r="BJ15" s="41">
        <f t="shared" si="5"/>
        <v>27</v>
      </c>
      <c r="BK15" s="25" t="e">
        <f>SUM(#REF!)</f>
        <v>#REF!</v>
      </c>
      <c r="BL15" s="73">
        <f>'detail par semaine'!AZ12</f>
        <v>0</v>
      </c>
      <c r="BM15" s="73">
        <f>'detail par semaine'!BN12</f>
        <v>0</v>
      </c>
      <c r="BN15" s="73"/>
      <c r="BO15" s="73"/>
      <c r="BP15" s="73"/>
      <c r="BQ15" s="76"/>
      <c r="BR15" s="44"/>
      <c r="BT15" s="79">
        <f t="shared" si="4"/>
        <v>94</v>
      </c>
    </row>
    <row r="16" spans="1:72" s="1" customFormat="1" ht="25.25" customHeight="1" x14ac:dyDescent="0.2">
      <c r="A16" s="70" t="e">
        <f>IF(B16=#REF!,"OK","NON")</f>
        <v>#REF!</v>
      </c>
      <c r="B16" s="10" t="s">
        <v>76</v>
      </c>
      <c r="C16" s="49" t="s">
        <v>82</v>
      </c>
      <c r="D16" s="33">
        <v>37</v>
      </c>
      <c r="E16" s="45">
        <v>0</v>
      </c>
      <c r="F16" s="23">
        <v>41</v>
      </c>
      <c r="G16" s="23">
        <v>33</v>
      </c>
      <c r="H16" s="23">
        <v>41</v>
      </c>
      <c r="I16" s="23">
        <v>33</v>
      </c>
      <c r="J16" s="23">
        <v>41</v>
      </c>
      <c r="K16" s="23">
        <v>33</v>
      </c>
      <c r="L16" s="23">
        <v>41</v>
      </c>
      <c r="M16" s="23">
        <v>33</v>
      </c>
      <c r="N16" s="23">
        <v>41</v>
      </c>
      <c r="O16" s="23">
        <v>33</v>
      </c>
      <c r="P16" s="23">
        <v>41</v>
      </c>
      <c r="Q16" s="23">
        <v>33</v>
      </c>
      <c r="R16" s="23">
        <v>41</v>
      </c>
      <c r="S16" s="23">
        <v>33</v>
      </c>
      <c r="T16" s="23">
        <v>41</v>
      </c>
      <c r="U16" s="23">
        <v>33</v>
      </c>
      <c r="V16" s="23">
        <v>41</v>
      </c>
      <c r="W16" s="23">
        <v>33</v>
      </c>
      <c r="X16" s="23">
        <v>41</v>
      </c>
      <c r="Y16" s="23">
        <v>33</v>
      </c>
      <c r="Z16" s="23">
        <v>41</v>
      </c>
      <c r="AA16" s="23">
        <v>33</v>
      </c>
      <c r="AB16" s="23">
        <v>41</v>
      </c>
      <c r="AC16" s="23">
        <v>33</v>
      </c>
      <c r="AD16" s="23">
        <v>41</v>
      </c>
      <c r="AE16" s="23">
        <v>33</v>
      </c>
      <c r="AF16" s="23">
        <v>41</v>
      </c>
      <c r="AG16" s="23">
        <v>33</v>
      </c>
      <c r="AH16" s="23">
        <v>41</v>
      </c>
      <c r="AI16" s="23">
        <v>33</v>
      </c>
      <c r="AJ16" s="23">
        <v>41</v>
      </c>
      <c r="AK16" s="23">
        <v>33</v>
      </c>
      <c r="AL16" s="23">
        <v>41</v>
      </c>
      <c r="AM16" s="23">
        <v>33</v>
      </c>
      <c r="AN16" s="23">
        <v>41</v>
      </c>
      <c r="AO16" s="23">
        <v>33</v>
      </c>
      <c r="AP16" s="23">
        <v>41</v>
      </c>
      <c r="AQ16" s="23">
        <v>33</v>
      </c>
      <c r="AR16" s="23">
        <v>41</v>
      </c>
      <c r="AS16" s="23">
        <v>33</v>
      </c>
      <c r="AT16" s="23">
        <v>41</v>
      </c>
      <c r="AU16" s="23">
        <v>33</v>
      </c>
      <c r="AV16" s="23">
        <v>41</v>
      </c>
      <c r="AW16" s="23">
        <v>33</v>
      </c>
      <c r="AX16" s="23">
        <v>41</v>
      </c>
      <c r="AY16" s="23">
        <v>33</v>
      </c>
      <c r="AZ16" s="23">
        <v>41</v>
      </c>
      <c r="BA16" s="23">
        <v>33</v>
      </c>
      <c r="BB16" s="23">
        <v>41</v>
      </c>
      <c r="BC16" s="23">
        <v>33</v>
      </c>
      <c r="BD16" s="23">
        <v>41</v>
      </c>
      <c r="BE16" s="23">
        <v>33</v>
      </c>
      <c r="BF16" s="88">
        <v>41</v>
      </c>
      <c r="BG16" s="12"/>
      <c r="BH16" s="150" t="s">
        <v>76</v>
      </c>
      <c r="BI16" s="151"/>
      <c r="BJ16" s="46">
        <f t="shared" si="5"/>
        <v>27</v>
      </c>
      <c r="BK16" s="40" t="e">
        <f>SUM(#REF!)</f>
        <v>#REF!</v>
      </c>
      <c r="BL16" s="73">
        <f>'detail par semaine'!AZ13</f>
        <v>0</v>
      </c>
      <c r="BM16" s="73">
        <f>'detail par semaine'!BN13</f>
        <v>0</v>
      </c>
      <c r="BN16" s="73"/>
      <c r="BO16" s="73"/>
      <c r="BP16" s="73"/>
      <c r="BQ16" s="76"/>
      <c r="BR16" s="44"/>
      <c r="BT16" s="80">
        <f t="shared" si="4"/>
        <v>94</v>
      </c>
    </row>
    <row r="17" spans="1:72" s="1" customFormat="1" ht="25.25" customHeight="1" x14ac:dyDescent="0.2">
      <c r="A17" s="70" t="e">
        <f>IF(B17=#REF!,"OK","NON")</f>
        <v>#REF!</v>
      </c>
      <c r="B17" s="10" t="s">
        <v>41</v>
      </c>
      <c r="C17" s="49" t="s">
        <v>117</v>
      </c>
      <c r="D17" s="33">
        <v>39</v>
      </c>
      <c r="E17" s="45">
        <v>8.125</v>
      </c>
      <c r="F17" s="23">
        <v>39</v>
      </c>
      <c r="G17" s="23">
        <v>40</v>
      </c>
      <c r="H17" s="23">
        <v>40</v>
      </c>
      <c r="I17" s="23">
        <v>40.5</v>
      </c>
      <c r="J17" s="23">
        <v>39</v>
      </c>
      <c r="K17" s="23">
        <v>39</v>
      </c>
      <c r="L17" s="23">
        <v>39</v>
      </c>
      <c r="M17" s="23">
        <v>39</v>
      </c>
      <c r="N17" s="23">
        <v>39</v>
      </c>
      <c r="O17" s="23">
        <v>39</v>
      </c>
      <c r="P17" s="23">
        <v>39</v>
      </c>
      <c r="Q17" s="23">
        <v>39</v>
      </c>
      <c r="R17" s="23">
        <v>39</v>
      </c>
      <c r="S17" s="23">
        <v>39</v>
      </c>
      <c r="T17" s="23">
        <v>39</v>
      </c>
      <c r="U17" s="23">
        <v>39</v>
      </c>
      <c r="V17" s="23">
        <v>39</v>
      </c>
      <c r="W17" s="23">
        <v>39</v>
      </c>
      <c r="X17" s="23">
        <v>39</v>
      </c>
      <c r="Y17" s="23">
        <v>39</v>
      </c>
      <c r="Z17" s="23">
        <v>39</v>
      </c>
      <c r="AA17" s="23">
        <v>39</v>
      </c>
      <c r="AB17" s="23">
        <v>39</v>
      </c>
      <c r="AC17" s="23">
        <v>39</v>
      </c>
      <c r="AD17" s="23">
        <v>39</v>
      </c>
      <c r="AE17" s="23">
        <v>39</v>
      </c>
      <c r="AF17" s="23">
        <v>39</v>
      </c>
      <c r="AG17" s="23">
        <v>39</v>
      </c>
      <c r="AH17" s="23">
        <v>39</v>
      </c>
      <c r="AI17" s="23">
        <v>39</v>
      </c>
      <c r="AJ17" s="23">
        <v>39</v>
      </c>
      <c r="AK17" s="23">
        <v>39</v>
      </c>
      <c r="AL17" s="23">
        <v>39</v>
      </c>
      <c r="AM17" s="23">
        <v>39</v>
      </c>
      <c r="AN17" s="23">
        <v>39</v>
      </c>
      <c r="AO17" s="23">
        <v>39</v>
      </c>
      <c r="AP17" s="23">
        <v>39</v>
      </c>
      <c r="AQ17" s="23">
        <v>39</v>
      </c>
      <c r="AR17" s="23">
        <v>39</v>
      </c>
      <c r="AS17" s="23">
        <v>39</v>
      </c>
      <c r="AT17" s="23">
        <v>39</v>
      </c>
      <c r="AU17" s="23">
        <v>39</v>
      </c>
      <c r="AV17" s="23">
        <v>39</v>
      </c>
      <c r="AW17" s="23">
        <v>39</v>
      </c>
      <c r="AX17" s="23">
        <v>39</v>
      </c>
      <c r="AY17" s="23">
        <v>39</v>
      </c>
      <c r="AZ17" s="23">
        <v>39</v>
      </c>
      <c r="BA17" s="23">
        <v>39</v>
      </c>
      <c r="BB17" s="23">
        <v>39</v>
      </c>
      <c r="BC17" s="23">
        <v>39</v>
      </c>
      <c r="BD17" s="23">
        <v>39</v>
      </c>
      <c r="BE17" s="23">
        <v>39</v>
      </c>
      <c r="BF17" s="88">
        <v>39</v>
      </c>
      <c r="BG17" s="12"/>
      <c r="BH17" s="152" t="s">
        <v>41</v>
      </c>
      <c r="BI17" s="153"/>
      <c r="BJ17" s="46">
        <f t="shared" si="5"/>
        <v>3</v>
      </c>
      <c r="BK17" s="40" t="e">
        <f>SUM(#REF!)</f>
        <v>#REF!</v>
      </c>
      <c r="BL17" s="73">
        <f>'detail par semaine'!AZ14</f>
        <v>3.125</v>
      </c>
      <c r="BM17" s="73">
        <f>'detail par semaine'!BN14</f>
        <v>0</v>
      </c>
      <c r="BN17" s="73"/>
      <c r="BO17" s="73"/>
      <c r="BP17" s="73"/>
      <c r="BQ17" s="76"/>
      <c r="BR17" s="44"/>
      <c r="BT17" s="80">
        <f t="shared" si="4"/>
        <v>97.125</v>
      </c>
    </row>
    <row r="18" spans="1:72" s="1" customFormat="1" ht="25.25" customHeight="1" x14ac:dyDescent="0.2">
      <c r="A18" s="70" t="e">
        <f>IF(B18=#REF!,"OK","NON")</f>
        <v>#REF!</v>
      </c>
      <c r="B18" s="10" t="s">
        <v>118</v>
      </c>
      <c r="C18" s="49" t="s">
        <v>82</v>
      </c>
      <c r="D18" s="33">
        <v>37</v>
      </c>
      <c r="E18" s="45">
        <v>1</v>
      </c>
      <c r="F18" s="23">
        <v>41</v>
      </c>
      <c r="G18" s="23">
        <v>33</v>
      </c>
      <c r="H18" s="23">
        <v>41</v>
      </c>
      <c r="I18" s="23">
        <v>33</v>
      </c>
      <c r="J18" s="23">
        <v>41</v>
      </c>
      <c r="K18" s="23">
        <v>33</v>
      </c>
      <c r="L18" s="23">
        <v>41</v>
      </c>
      <c r="M18" s="23">
        <v>33</v>
      </c>
      <c r="N18" s="23">
        <v>41</v>
      </c>
      <c r="O18" s="23">
        <v>33</v>
      </c>
      <c r="P18" s="23">
        <v>41</v>
      </c>
      <c r="Q18" s="23">
        <v>33</v>
      </c>
      <c r="R18" s="23">
        <v>41</v>
      </c>
      <c r="S18" s="23">
        <v>33</v>
      </c>
      <c r="T18" s="23">
        <v>41</v>
      </c>
      <c r="U18" s="23">
        <v>33</v>
      </c>
      <c r="V18" s="23">
        <v>41</v>
      </c>
      <c r="W18" s="23">
        <v>33</v>
      </c>
      <c r="X18" s="23">
        <v>41</v>
      </c>
      <c r="Y18" s="23">
        <v>33</v>
      </c>
      <c r="Z18" s="23">
        <v>41</v>
      </c>
      <c r="AA18" s="23">
        <v>33</v>
      </c>
      <c r="AB18" s="23">
        <v>41</v>
      </c>
      <c r="AC18" s="23">
        <v>33</v>
      </c>
      <c r="AD18" s="23">
        <v>41</v>
      </c>
      <c r="AE18" s="23">
        <v>33</v>
      </c>
      <c r="AF18" s="23">
        <v>41</v>
      </c>
      <c r="AG18" s="23">
        <v>33</v>
      </c>
      <c r="AH18" s="23">
        <v>41</v>
      </c>
      <c r="AI18" s="23">
        <v>33</v>
      </c>
      <c r="AJ18" s="23">
        <v>41</v>
      </c>
      <c r="AK18" s="23">
        <v>33</v>
      </c>
      <c r="AL18" s="23">
        <v>41</v>
      </c>
      <c r="AM18" s="23">
        <v>33</v>
      </c>
      <c r="AN18" s="23">
        <v>41</v>
      </c>
      <c r="AO18" s="23">
        <v>33</v>
      </c>
      <c r="AP18" s="23">
        <v>41</v>
      </c>
      <c r="AQ18" s="23">
        <v>33</v>
      </c>
      <c r="AR18" s="23">
        <v>41</v>
      </c>
      <c r="AS18" s="23">
        <v>33</v>
      </c>
      <c r="AT18" s="23">
        <v>41</v>
      </c>
      <c r="AU18" s="23">
        <v>33</v>
      </c>
      <c r="AV18" s="23">
        <v>41</v>
      </c>
      <c r="AW18" s="23">
        <v>33</v>
      </c>
      <c r="AX18" s="23">
        <v>41</v>
      </c>
      <c r="AY18" s="23">
        <v>33</v>
      </c>
      <c r="AZ18" s="23">
        <v>41</v>
      </c>
      <c r="BA18" s="23">
        <v>33</v>
      </c>
      <c r="BB18" s="23">
        <v>41</v>
      </c>
      <c r="BC18" s="23">
        <v>33</v>
      </c>
      <c r="BD18" s="23">
        <v>41</v>
      </c>
      <c r="BE18" s="23">
        <v>33</v>
      </c>
      <c r="BF18" s="88">
        <v>41</v>
      </c>
      <c r="BG18" s="12"/>
      <c r="BH18" s="152" t="s">
        <v>118</v>
      </c>
      <c r="BI18" s="153"/>
      <c r="BJ18" s="46">
        <f t="shared" si="5"/>
        <v>27</v>
      </c>
      <c r="BK18" s="40" t="e">
        <f>SUM(#REF!)</f>
        <v>#REF!</v>
      </c>
      <c r="BL18" s="73">
        <f>'detail par semaine'!AZ15</f>
        <v>0</v>
      </c>
      <c r="BM18" s="73">
        <f>'detail par semaine'!BN15</f>
        <v>0</v>
      </c>
      <c r="BN18" s="72"/>
      <c r="BO18" s="72"/>
      <c r="BP18" s="72"/>
      <c r="BQ18" s="75"/>
      <c r="BR18" s="44"/>
      <c r="BT18" s="79">
        <f t="shared" si="4"/>
        <v>94</v>
      </c>
    </row>
    <row r="19" spans="1:72" s="1" customFormat="1" ht="25.25" customHeight="1" x14ac:dyDescent="0.2">
      <c r="A19" s="70" t="e">
        <f>IF(B19=#REF!,"OK","NON")</f>
        <v>#REF!</v>
      </c>
      <c r="B19" s="10" t="s">
        <v>44</v>
      </c>
      <c r="C19" s="49" t="s">
        <v>82</v>
      </c>
      <c r="D19" s="33">
        <v>37</v>
      </c>
      <c r="E19" s="45">
        <v>10.137500000000003</v>
      </c>
      <c r="F19" s="23">
        <v>41</v>
      </c>
      <c r="G19" s="23">
        <v>33</v>
      </c>
      <c r="H19" s="23">
        <v>41</v>
      </c>
      <c r="I19" s="23">
        <v>33</v>
      </c>
      <c r="J19" s="23">
        <v>41</v>
      </c>
      <c r="K19" s="23">
        <v>33</v>
      </c>
      <c r="L19" s="23">
        <v>41</v>
      </c>
      <c r="M19" s="23">
        <v>33</v>
      </c>
      <c r="N19" s="23">
        <v>41</v>
      </c>
      <c r="O19" s="23">
        <v>33</v>
      </c>
      <c r="P19" s="23">
        <v>41</v>
      </c>
      <c r="Q19" s="23">
        <v>33</v>
      </c>
      <c r="R19" s="23">
        <v>41</v>
      </c>
      <c r="S19" s="23">
        <v>33</v>
      </c>
      <c r="T19" s="23">
        <v>41</v>
      </c>
      <c r="U19" s="23">
        <v>33</v>
      </c>
      <c r="V19" s="23">
        <v>41</v>
      </c>
      <c r="W19" s="23">
        <v>33</v>
      </c>
      <c r="X19" s="23">
        <v>41</v>
      </c>
      <c r="Y19" s="23">
        <v>33</v>
      </c>
      <c r="Z19" s="23">
        <v>41</v>
      </c>
      <c r="AA19" s="23">
        <v>33</v>
      </c>
      <c r="AB19" s="23">
        <v>41</v>
      </c>
      <c r="AC19" s="23">
        <v>33</v>
      </c>
      <c r="AD19" s="23">
        <v>41</v>
      </c>
      <c r="AE19" s="23">
        <v>33</v>
      </c>
      <c r="AF19" s="23">
        <v>41</v>
      </c>
      <c r="AG19" s="23">
        <v>33</v>
      </c>
      <c r="AH19" s="23">
        <v>41</v>
      </c>
      <c r="AI19" s="23">
        <v>33</v>
      </c>
      <c r="AJ19" s="23">
        <v>41</v>
      </c>
      <c r="AK19" s="23">
        <v>33</v>
      </c>
      <c r="AL19" s="23">
        <v>41</v>
      </c>
      <c r="AM19" s="23">
        <v>33</v>
      </c>
      <c r="AN19" s="23">
        <v>41</v>
      </c>
      <c r="AO19" s="23">
        <v>33</v>
      </c>
      <c r="AP19" s="23">
        <v>41</v>
      </c>
      <c r="AQ19" s="23">
        <v>33</v>
      </c>
      <c r="AR19" s="23">
        <v>41</v>
      </c>
      <c r="AS19" s="23">
        <v>33</v>
      </c>
      <c r="AT19" s="23">
        <v>41</v>
      </c>
      <c r="AU19" s="23">
        <v>33</v>
      </c>
      <c r="AV19" s="23">
        <v>41</v>
      </c>
      <c r="AW19" s="23">
        <v>33</v>
      </c>
      <c r="AX19" s="23">
        <v>41</v>
      </c>
      <c r="AY19" s="23">
        <v>33</v>
      </c>
      <c r="AZ19" s="23">
        <v>41</v>
      </c>
      <c r="BA19" s="23">
        <v>33</v>
      </c>
      <c r="BB19" s="23">
        <v>41</v>
      </c>
      <c r="BC19" s="23">
        <v>33</v>
      </c>
      <c r="BD19" s="23">
        <v>41</v>
      </c>
      <c r="BE19" s="23">
        <v>33</v>
      </c>
      <c r="BF19" s="88">
        <v>41</v>
      </c>
      <c r="BG19" s="12"/>
      <c r="BH19" s="152" t="s">
        <v>44</v>
      </c>
      <c r="BI19" s="153"/>
      <c r="BJ19" s="46">
        <f t="shared" si="5"/>
        <v>27</v>
      </c>
      <c r="BK19" s="40" t="e">
        <f>SUM(#REF!)</f>
        <v>#REF!</v>
      </c>
      <c r="BL19" s="73">
        <f>'detail par semaine'!AZ16</f>
        <v>0</v>
      </c>
      <c r="BM19" s="73">
        <f>'detail par semaine'!BN16</f>
        <v>0</v>
      </c>
      <c r="BN19" s="73"/>
      <c r="BO19" s="73"/>
      <c r="BP19" s="73"/>
      <c r="BQ19" s="76"/>
      <c r="BR19" s="44"/>
      <c r="BT19" s="80">
        <f t="shared" si="4"/>
        <v>94</v>
      </c>
    </row>
    <row r="20" spans="1:72" s="1" customFormat="1" ht="25.25" customHeight="1" x14ac:dyDescent="0.2">
      <c r="A20" s="70" t="e">
        <f>IF(B20=#REF!,"OK","NON")</f>
        <v>#REF!</v>
      </c>
      <c r="B20" s="10" t="s">
        <v>116</v>
      </c>
      <c r="C20" s="49" t="s">
        <v>117</v>
      </c>
      <c r="D20" s="33">
        <v>39</v>
      </c>
      <c r="E20" s="45">
        <v>0</v>
      </c>
      <c r="F20" s="23">
        <v>39</v>
      </c>
      <c r="G20" s="23">
        <v>39</v>
      </c>
      <c r="H20" s="23">
        <v>39</v>
      </c>
      <c r="I20" s="23">
        <v>40</v>
      </c>
      <c r="J20" s="23">
        <v>39</v>
      </c>
      <c r="K20" s="23">
        <v>39</v>
      </c>
      <c r="L20" s="23">
        <v>39</v>
      </c>
      <c r="M20" s="23">
        <v>39</v>
      </c>
      <c r="N20" s="23">
        <v>39</v>
      </c>
      <c r="O20" s="23">
        <v>39</v>
      </c>
      <c r="P20" s="23">
        <v>39</v>
      </c>
      <c r="Q20" s="23">
        <v>39</v>
      </c>
      <c r="R20" s="23">
        <v>39</v>
      </c>
      <c r="S20" s="23">
        <v>39</v>
      </c>
      <c r="T20" s="23">
        <v>39</v>
      </c>
      <c r="U20" s="23">
        <v>39</v>
      </c>
      <c r="V20" s="23">
        <v>39</v>
      </c>
      <c r="W20" s="23">
        <v>39</v>
      </c>
      <c r="X20" s="23">
        <v>39</v>
      </c>
      <c r="Y20" s="23">
        <v>39</v>
      </c>
      <c r="Z20" s="23">
        <v>39</v>
      </c>
      <c r="AA20" s="23">
        <v>39</v>
      </c>
      <c r="AB20" s="23">
        <v>39</v>
      </c>
      <c r="AC20" s="23">
        <v>39</v>
      </c>
      <c r="AD20" s="23">
        <v>39</v>
      </c>
      <c r="AE20" s="23">
        <v>39</v>
      </c>
      <c r="AF20" s="23">
        <v>39</v>
      </c>
      <c r="AG20" s="23">
        <v>39</v>
      </c>
      <c r="AH20" s="23">
        <v>39</v>
      </c>
      <c r="AI20" s="23">
        <v>39</v>
      </c>
      <c r="AJ20" s="23">
        <v>39</v>
      </c>
      <c r="AK20" s="23">
        <v>39</v>
      </c>
      <c r="AL20" s="23">
        <v>39</v>
      </c>
      <c r="AM20" s="23">
        <v>39</v>
      </c>
      <c r="AN20" s="23">
        <v>39</v>
      </c>
      <c r="AO20" s="23">
        <v>39</v>
      </c>
      <c r="AP20" s="23">
        <v>39</v>
      </c>
      <c r="AQ20" s="23">
        <v>39</v>
      </c>
      <c r="AR20" s="23">
        <v>39</v>
      </c>
      <c r="AS20" s="23">
        <v>39</v>
      </c>
      <c r="AT20" s="23">
        <v>39</v>
      </c>
      <c r="AU20" s="23">
        <v>39</v>
      </c>
      <c r="AV20" s="23">
        <v>39</v>
      </c>
      <c r="AW20" s="23">
        <v>39</v>
      </c>
      <c r="AX20" s="23">
        <v>39</v>
      </c>
      <c r="AY20" s="23">
        <v>39</v>
      </c>
      <c r="AZ20" s="23">
        <v>39</v>
      </c>
      <c r="BA20" s="23">
        <v>39</v>
      </c>
      <c r="BB20" s="23">
        <v>39</v>
      </c>
      <c r="BC20" s="23">
        <v>39</v>
      </c>
      <c r="BD20" s="23">
        <v>39</v>
      </c>
      <c r="BE20" s="23">
        <v>39</v>
      </c>
      <c r="BF20" s="88">
        <v>39</v>
      </c>
      <c r="BG20" s="12"/>
      <c r="BH20" s="152" t="s">
        <v>116</v>
      </c>
      <c r="BI20" s="153"/>
      <c r="BJ20" s="46">
        <f t="shared" si="5"/>
        <v>1</v>
      </c>
      <c r="BK20" s="40" t="e">
        <f>SUM(#REF!)</f>
        <v>#REF!</v>
      </c>
      <c r="BL20" s="73">
        <f>'detail par semaine'!AZ17</f>
        <v>1.25</v>
      </c>
      <c r="BM20" s="73">
        <f>'detail par semaine'!BN17</f>
        <v>0</v>
      </c>
      <c r="BN20" s="73"/>
      <c r="BO20" s="73"/>
      <c r="BP20" s="73"/>
      <c r="BQ20" s="76"/>
      <c r="BR20" s="44"/>
      <c r="BT20" s="80">
        <f t="shared" si="4"/>
        <v>95.25</v>
      </c>
    </row>
    <row r="21" spans="1:72" s="1" customFormat="1" ht="24.75" customHeight="1" x14ac:dyDescent="0.2">
      <c r="A21" s="70" t="e">
        <f>IF(B21=#REF!,"OK","NON")</f>
        <v>#REF!</v>
      </c>
      <c r="B21" s="10" t="s">
        <v>45</v>
      </c>
      <c r="C21" s="49" t="s">
        <v>82</v>
      </c>
      <c r="D21" s="33">
        <v>37</v>
      </c>
      <c r="E21" s="45">
        <v>8.9950000000000045</v>
      </c>
      <c r="F21" s="23">
        <v>33</v>
      </c>
      <c r="G21" s="23">
        <v>41</v>
      </c>
      <c r="H21" s="23">
        <v>28</v>
      </c>
      <c r="I21" s="23">
        <v>41</v>
      </c>
      <c r="J21" s="23">
        <v>33</v>
      </c>
      <c r="K21" s="23">
        <v>41</v>
      </c>
      <c r="L21" s="23">
        <v>33</v>
      </c>
      <c r="M21" s="23">
        <v>41</v>
      </c>
      <c r="N21" s="23">
        <v>33</v>
      </c>
      <c r="O21" s="23">
        <v>41</v>
      </c>
      <c r="P21" s="23">
        <v>33</v>
      </c>
      <c r="Q21" s="23">
        <v>41</v>
      </c>
      <c r="R21" s="23">
        <v>33</v>
      </c>
      <c r="S21" s="23">
        <v>41</v>
      </c>
      <c r="T21" s="23">
        <v>33</v>
      </c>
      <c r="U21" s="23">
        <v>41</v>
      </c>
      <c r="V21" s="23">
        <v>33</v>
      </c>
      <c r="W21" s="23">
        <v>41</v>
      </c>
      <c r="X21" s="23">
        <v>33</v>
      </c>
      <c r="Y21" s="23">
        <v>41</v>
      </c>
      <c r="Z21" s="23">
        <v>33</v>
      </c>
      <c r="AA21" s="23">
        <v>41</v>
      </c>
      <c r="AB21" s="23">
        <v>33</v>
      </c>
      <c r="AC21" s="23">
        <v>41</v>
      </c>
      <c r="AD21" s="23">
        <v>33</v>
      </c>
      <c r="AE21" s="23">
        <v>41</v>
      </c>
      <c r="AF21" s="23">
        <v>33</v>
      </c>
      <c r="AG21" s="23">
        <v>41</v>
      </c>
      <c r="AH21" s="23">
        <v>33</v>
      </c>
      <c r="AI21" s="23">
        <v>41</v>
      </c>
      <c r="AJ21" s="23">
        <v>33</v>
      </c>
      <c r="AK21" s="23">
        <v>41</v>
      </c>
      <c r="AL21" s="23">
        <v>33</v>
      </c>
      <c r="AM21" s="23">
        <v>41</v>
      </c>
      <c r="AN21" s="23">
        <v>33</v>
      </c>
      <c r="AO21" s="23">
        <v>41</v>
      </c>
      <c r="AP21" s="23">
        <v>33</v>
      </c>
      <c r="AQ21" s="23">
        <v>41</v>
      </c>
      <c r="AR21" s="23">
        <v>33</v>
      </c>
      <c r="AS21" s="23">
        <v>41</v>
      </c>
      <c r="AT21" s="23">
        <v>33</v>
      </c>
      <c r="AU21" s="23">
        <v>41</v>
      </c>
      <c r="AV21" s="23">
        <v>33</v>
      </c>
      <c r="AW21" s="23">
        <v>41</v>
      </c>
      <c r="AX21" s="23">
        <v>33</v>
      </c>
      <c r="AY21" s="23">
        <v>41</v>
      </c>
      <c r="AZ21" s="23">
        <v>33</v>
      </c>
      <c r="BA21" s="23">
        <v>41</v>
      </c>
      <c r="BB21" s="23">
        <v>33</v>
      </c>
      <c r="BC21" s="23">
        <v>41</v>
      </c>
      <c r="BD21" s="23">
        <v>33</v>
      </c>
      <c r="BE21" s="15">
        <v>41</v>
      </c>
      <c r="BF21" s="88">
        <v>33</v>
      </c>
      <c r="BG21" s="12"/>
      <c r="BH21" s="150" t="s">
        <v>45</v>
      </c>
      <c r="BI21" s="151"/>
      <c r="BJ21" s="46">
        <f t="shared" si="5"/>
        <v>26</v>
      </c>
      <c r="BK21" s="40" t="e">
        <f>SUM(#REF!)</f>
        <v>#REF!</v>
      </c>
      <c r="BL21" s="73">
        <f>'detail par semaine'!AZ18</f>
        <v>0</v>
      </c>
      <c r="BM21" s="73">
        <f>'detail par semaine'!BN18</f>
        <v>0</v>
      </c>
      <c r="BN21" s="73"/>
      <c r="BO21" s="73"/>
      <c r="BP21" s="73"/>
      <c r="BQ21" s="76"/>
      <c r="BR21" s="44"/>
      <c r="BT21" s="80">
        <f t="shared" si="4"/>
        <v>94</v>
      </c>
    </row>
    <row r="22" spans="1:72" s="1" customFormat="1" ht="24.75" customHeight="1" x14ac:dyDescent="0.2">
      <c r="A22" s="70" t="e">
        <f>IF(B22=#REF!,"OK","NON")</f>
        <v>#REF!</v>
      </c>
      <c r="B22" s="10" t="s">
        <v>133</v>
      </c>
      <c r="C22" s="49" t="s">
        <v>82</v>
      </c>
      <c r="D22" s="33">
        <v>37</v>
      </c>
      <c r="E22" s="45">
        <v>5.25</v>
      </c>
      <c r="F22" s="23">
        <v>33</v>
      </c>
      <c r="G22" s="23">
        <v>41</v>
      </c>
      <c r="H22" s="23">
        <v>33</v>
      </c>
      <c r="I22" s="23">
        <v>41</v>
      </c>
      <c r="J22" s="23">
        <v>33</v>
      </c>
      <c r="K22" s="23">
        <v>41</v>
      </c>
      <c r="L22" s="23">
        <v>33</v>
      </c>
      <c r="M22" s="23">
        <v>41</v>
      </c>
      <c r="N22" s="23">
        <v>33</v>
      </c>
      <c r="O22" s="23">
        <v>41</v>
      </c>
      <c r="P22" s="23">
        <v>33</v>
      </c>
      <c r="Q22" s="23">
        <v>41</v>
      </c>
      <c r="R22" s="23">
        <v>33</v>
      </c>
      <c r="S22" s="23">
        <v>41</v>
      </c>
      <c r="T22" s="23">
        <v>33</v>
      </c>
      <c r="U22" s="23">
        <v>41</v>
      </c>
      <c r="V22" s="23">
        <v>33</v>
      </c>
      <c r="W22" s="23">
        <v>41</v>
      </c>
      <c r="X22" s="23">
        <v>33</v>
      </c>
      <c r="Y22" s="23">
        <v>41</v>
      </c>
      <c r="Z22" s="23">
        <v>33</v>
      </c>
      <c r="AA22" s="23">
        <v>41</v>
      </c>
      <c r="AB22" s="23">
        <v>33</v>
      </c>
      <c r="AC22" s="23">
        <v>41</v>
      </c>
      <c r="AD22" s="23">
        <v>33</v>
      </c>
      <c r="AE22" s="23">
        <v>41</v>
      </c>
      <c r="AF22" s="23">
        <v>33</v>
      </c>
      <c r="AG22" s="23">
        <v>41</v>
      </c>
      <c r="AH22" s="23">
        <v>33</v>
      </c>
      <c r="AI22" s="23">
        <v>41</v>
      </c>
      <c r="AJ22" s="23">
        <v>33</v>
      </c>
      <c r="AK22" s="23">
        <v>41</v>
      </c>
      <c r="AL22" s="23">
        <v>33</v>
      </c>
      <c r="AM22" s="23">
        <v>41</v>
      </c>
      <c r="AN22" s="23">
        <v>33</v>
      </c>
      <c r="AO22" s="23">
        <v>41</v>
      </c>
      <c r="AP22" s="23">
        <v>33</v>
      </c>
      <c r="AQ22" s="23">
        <v>41</v>
      </c>
      <c r="AR22" s="23">
        <v>33</v>
      </c>
      <c r="AS22" s="23">
        <v>41</v>
      </c>
      <c r="AT22" s="23">
        <v>33</v>
      </c>
      <c r="AU22" s="23">
        <v>41</v>
      </c>
      <c r="AV22" s="23">
        <v>33</v>
      </c>
      <c r="AW22" s="23">
        <v>41</v>
      </c>
      <c r="AX22" s="23">
        <v>33</v>
      </c>
      <c r="AY22" s="23">
        <v>41</v>
      </c>
      <c r="AZ22" s="23">
        <v>33</v>
      </c>
      <c r="BA22" s="23">
        <v>41</v>
      </c>
      <c r="BB22" s="23">
        <v>33</v>
      </c>
      <c r="BC22" s="23">
        <v>41</v>
      </c>
      <c r="BD22" s="23">
        <v>33</v>
      </c>
      <c r="BE22" s="15">
        <v>41</v>
      </c>
      <c r="BF22" s="88">
        <v>33</v>
      </c>
      <c r="BG22" s="12"/>
      <c r="BH22" s="152" t="s">
        <v>133</v>
      </c>
      <c r="BI22" s="153"/>
      <c r="BJ22" s="46"/>
      <c r="BK22" s="40"/>
      <c r="BL22" s="73">
        <f>'detail par semaine'!AZ19</f>
        <v>0</v>
      </c>
      <c r="BM22" s="73">
        <f>'detail par semaine'!BN19</f>
        <v>0</v>
      </c>
      <c r="BN22" s="73"/>
      <c r="BO22" s="73"/>
      <c r="BP22" s="73"/>
      <c r="BQ22" s="76"/>
      <c r="BR22" s="44"/>
      <c r="BT22" s="80">
        <f t="shared" si="4"/>
        <v>94</v>
      </c>
    </row>
    <row r="23" spans="1:72" s="1" customFormat="1" ht="25.25" customHeight="1" x14ac:dyDescent="0.2">
      <c r="A23" s="70" t="e">
        <f>IF(B23=#REF!,"OK","NON")</f>
        <v>#REF!</v>
      </c>
      <c r="B23" s="10" t="s">
        <v>119</v>
      </c>
      <c r="C23" s="49" t="s">
        <v>82</v>
      </c>
      <c r="D23" s="33">
        <v>37</v>
      </c>
      <c r="E23" s="45">
        <v>16.48</v>
      </c>
      <c r="F23" s="23">
        <v>33</v>
      </c>
      <c r="G23" s="23">
        <v>41</v>
      </c>
      <c r="H23" s="23">
        <v>33</v>
      </c>
      <c r="I23" s="23">
        <v>41</v>
      </c>
      <c r="J23" s="23">
        <v>33</v>
      </c>
      <c r="K23" s="68">
        <v>32.75</v>
      </c>
      <c r="L23" s="23">
        <v>33</v>
      </c>
      <c r="M23" s="23">
        <v>41</v>
      </c>
      <c r="N23" s="23">
        <v>33</v>
      </c>
      <c r="O23" s="23">
        <v>41</v>
      </c>
      <c r="P23" s="23">
        <v>33</v>
      </c>
      <c r="Q23" s="23">
        <v>41</v>
      </c>
      <c r="R23" s="23">
        <v>33</v>
      </c>
      <c r="S23" s="23">
        <v>41</v>
      </c>
      <c r="T23" s="23">
        <v>33</v>
      </c>
      <c r="U23" s="23">
        <v>41</v>
      </c>
      <c r="V23" s="23">
        <v>33</v>
      </c>
      <c r="W23" s="23">
        <v>41</v>
      </c>
      <c r="X23" s="23">
        <v>33</v>
      </c>
      <c r="Y23" s="23">
        <v>41</v>
      </c>
      <c r="Z23" s="23">
        <v>33</v>
      </c>
      <c r="AA23" s="23">
        <v>41</v>
      </c>
      <c r="AB23" s="23">
        <v>33</v>
      </c>
      <c r="AC23" s="23">
        <v>41</v>
      </c>
      <c r="AD23" s="23">
        <v>33</v>
      </c>
      <c r="AE23" s="23">
        <v>41</v>
      </c>
      <c r="AF23" s="23">
        <v>33</v>
      </c>
      <c r="AG23" s="23">
        <v>41</v>
      </c>
      <c r="AH23" s="23">
        <v>33</v>
      </c>
      <c r="AI23" s="23">
        <v>41</v>
      </c>
      <c r="AJ23" s="23">
        <v>33</v>
      </c>
      <c r="AK23" s="23">
        <v>41</v>
      </c>
      <c r="AL23" s="23">
        <v>33</v>
      </c>
      <c r="AM23" s="23">
        <v>41</v>
      </c>
      <c r="AN23" s="23">
        <v>33</v>
      </c>
      <c r="AO23" s="23">
        <v>41</v>
      </c>
      <c r="AP23" s="23">
        <v>33</v>
      </c>
      <c r="AQ23" s="23">
        <v>41</v>
      </c>
      <c r="AR23" s="23">
        <v>33</v>
      </c>
      <c r="AS23" s="23">
        <v>41</v>
      </c>
      <c r="AT23" s="23">
        <v>33</v>
      </c>
      <c r="AU23" s="23">
        <v>41</v>
      </c>
      <c r="AV23" s="23">
        <v>33</v>
      </c>
      <c r="AW23" s="23">
        <v>41</v>
      </c>
      <c r="AX23" s="23">
        <v>33</v>
      </c>
      <c r="AY23" s="23">
        <v>41</v>
      </c>
      <c r="AZ23" s="23">
        <v>33</v>
      </c>
      <c r="BA23" s="23">
        <v>41</v>
      </c>
      <c r="BB23" s="23">
        <v>33</v>
      </c>
      <c r="BC23" s="23">
        <v>41</v>
      </c>
      <c r="BD23" s="23">
        <v>33</v>
      </c>
      <c r="BE23" s="15">
        <v>41</v>
      </c>
      <c r="BF23" s="88">
        <v>33</v>
      </c>
      <c r="BG23" s="12"/>
      <c r="BH23" s="152" t="s">
        <v>119</v>
      </c>
      <c r="BI23" s="153"/>
      <c r="BJ23" s="46">
        <f>COUNTIF(F23:BF23,"&gt;"&amp;D23)</f>
        <v>25</v>
      </c>
      <c r="BK23" s="40" t="e">
        <f>SUM(#REF!)</f>
        <v>#REF!</v>
      </c>
      <c r="BL23" s="73">
        <f>'detail par semaine'!AZ20</f>
        <v>0</v>
      </c>
      <c r="BM23" s="73">
        <f>'detail par semaine'!BN20</f>
        <v>0</v>
      </c>
      <c r="BN23" s="73"/>
      <c r="BO23" s="73"/>
      <c r="BP23" s="73"/>
      <c r="BQ23" s="76"/>
      <c r="BR23" s="44"/>
      <c r="BT23" s="80">
        <f t="shared" si="4"/>
        <v>94</v>
      </c>
    </row>
    <row r="24" spans="1:72" s="1" customFormat="1" ht="25.25" customHeight="1" x14ac:dyDescent="0.2">
      <c r="A24" s="70" t="e">
        <f>IF(B24=#REF!,"OK","NON")</f>
        <v>#REF!</v>
      </c>
      <c r="B24" s="10" t="s">
        <v>46</v>
      </c>
      <c r="C24" s="49" t="s">
        <v>82</v>
      </c>
      <c r="D24" s="33">
        <v>37</v>
      </c>
      <c r="E24" s="45">
        <v>5.522500000000008</v>
      </c>
      <c r="F24" s="23">
        <v>33</v>
      </c>
      <c r="G24" s="23">
        <v>41</v>
      </c>
      <c r="H24" s="68">
        <v>32.75</v>
      </c>
      <c r="I24" s="23">
        <v>42</v>
      </c>
      <c r="J24" s="23">
        <v>33</v>
      </c>
      <c r="K24" s="23">
        <v>41</v>
      </c>
      <c r="L24" s="23">
        <v>33</v>
      </c>
      <c r="M24" s="23">
        <v>41</v>
      </c>
      <c r="N24" s="23">
        <v>33</v>
      </c>
      <c r="O24" s="23">
        <v>41</v>
      </c>
      <c r="P24" s="23">
        <v>33</v>
      </c>
      <c r="Q24" s="23">
        <v>41</v>
      </c>
      <c r="R24" s="23">
        <v>33</v>
      </c>
      <c r="S24" s="23">
        <v>41</v>
      </c>
      <c r="T24" s="23">
        <v>33</v>
      </c>
      <c r="U24" s="23">
        <v>41</v>
      </c>
      <c r="V24" s="23">
        <v>33</v>
      </c>
      <c r="W24" s="23">
        <v>41</v>
      </c>
      <c r="X24" s="23">
        <v>33</v>
      </c>
      <c r="Y24" s="23">
        <v>41</v>
      </c>
      <c r="Z24" s="23">
        <v>33</v>
      </c>
      <c r="AA24" s="23">
        <v>41</v>
      </c>
      <c r="AB24" s="23">
        <v>33</v>
      </c>
      <c r="AC24" s="23">
        <v>41</v>
      </c>
      <c r="AD24" s="23">
        <v>33</v>
      </c>
      <c r="AE24" s="23">
        <v>41</v>
      </c>
      <c r="AF24" s="23">
        <v>33</v>
      </c>
      <c r="AG24" s="23">
        <v>41</v>
      </c>
      <c r="AH24" s="23">
        <v>33</v>
      </c>
      <c r="AI24" s="23">
        <v>41</v>
      </c>
      <c r="AJ24" s="23">
        <v>33</v>
      </c>
      <c r="AK24" s="23">
        <v>41</v>
      </c>
      <c r="AL24" s="23">
        <v>33</v>
      </c>
      <c r="AM24" s="23">
        <v>41</v>
      </c>
      <c r="AN24" s="23">
        <v>33</v>
      </c>
      <c r="AO24" s="23">
        <v>41</v>
      </c>
      <c r="AP24" s="23">
        <v>33</v>
      </c>
      <c r="AQ24" s="23">
        <v>41</v>
      </c>
      <c r="AR24" s="23">
        <v>33</v>
      </c>
      <c r="AS24" s="23">
        <v>41</v>
      </c>
      <c r="AT24" s="23">
        <v>33</v>
      </c>
      <c r="AU24" s="23">
        <v>41</v>
      </c>
      <c r="AV24" s="23">
        <v>33</v>
      </c>
      <c r="AW24" s="23">
        <v>41</v>
      </c>
      <c r="AX24" s="23">
        <v>33</v>
      </c>
      <c r="AY24" s="23">
        <v>41</v>
      </c>
      <c r="AZ24" s="23">
        <v>33</v>
      </c>
      <c r="BA24" s="23">
        <v>41</v>
      </c>
      <c r="BB24" s="23">
        <v>33</v>
      </c>
      <c r="BC24" s="23">
        <v>41</v>
      </c>
      <c r="BD24" s="23">
        <v>33</v>
      </c>
      <c r="BE24" s="15">
        <v>41</v>
      </c>
      <c r="BF24" s="88">
        <v>33</v>
      </c>
      <c r="BG24" s="12"/>
      <c r="BH24" s="150" t="s">
        <v>46</v>
      </c>
      <c r="BI24" s="151"/>
      <c r="BJ24" s="46">
        <f>COUNTIF(F24:BF24,"&gt;"&amp;D24)</f>
        <v>26</v>
      </c>
      <c r="BK24" s="40" t="e">
        <f>SUM(#REF!)</f>
        <v>#REF!</v>
      </c>
      <c r="BL24" s="73">
        <f>'detail par semaine'!AZ21</f>
        <v>0.9375</v>
      </c>
      <c r="BM24" s="73">
        <f>'detail par semaine'!BN21</f>
        <v>0</v>
      </c>
      <c r="BN24" s="73"/>
      <c r="BO24" s="73"/>
      <c r="BP24" s="73"/>
      <c r="BQ24" s="76"/>
      <c r="BR24" s="44"/>
      <c r="BT24" s="80">
        <f t="shared" si="4"/>
        <v>94.9375</v>
      </c>
    </row>
    <row r="25" spans="1:72" s="1" customFormat="1" ht="25.25" customHeight="1" x14ac:dyDescent="0.2">
      <c r="A25" s="70" t="e">
        <f>IF(B25=#REF!,"OK","NON")</f>
        <v>#REF!</v>
      </c>
      <c r="B25" s="10" t="s">
        <v>50</v>
      </c>
      <c r="C25" s="49" t="s">
        <v>82</v>
      </c>
      <c r="D25" s="33">
        <v>37</v>
      </c>
      <c r="E25" s="45">
        <v>0.54500000000001236</v>
      </c>
      <c r="F25" s="23">
        <v>33</v>
      </c>
      <c r="G25" s="23">
        <v>41</v>
      </c>
      <c r="H25" s="23">
        <v>33</v>
      </c>
      <c r="I25" s="23">
        <v>41</v>
      </c>
      <c r="J25" s="23">
        <v>33</v>
      </c>
      <c r="K25" s="23">
        <v>41</v>
      </c>
      <c r="L25" s="23">
        <v>33</v>
      </c>
      <c r="M25" s="23">
        <v>41</v>
      </c>
      <c r="N25" s="23">
        <v>33</v>
      </c>
      <c r="O25" s="23">
        <v>41</v>
      </c>
      <c r="P25" s="23">
        <v>33</v>
      </c>
      <c r="Q25" s="23">
        <v>41</v>
      </c>
      <c r="R25" s="23">
        <v>33</v>
      </c>
      <c r="S25" s="23">
        <v>41</v>
      </c>
      <c r="T25" s="23">
        <v>33</v>
      </c>
      <c r="U25" s="23">
        <v>41</v>
      </c>
      <c r="V25" s="23">
        <v>33</v>
      </c>
      <c r="W25" s="23">
        <v>41</v>
      </c>
      <c r="X25" s="23">
        <v>33</v>
      </c>
      <c r="Y25" s="23">
        <v>41</v>
      </c>
      <c r="Z25" s="23">
        <v>33</v>
      </c>
      <c r="AA25" s="23">
        <v>41</v>
      </c>
      <c r="AB25" s="23">
        <v>33</v>
      </c>
      <c r="AC25" s="23">
        <v>41</v>
      </c>
      <c r="AD25" s="23">
        <v>33</v>
      </c>
      <c r="AE25" s="23">
        <v>41</v>
      </c>
      <c r="AF25" s="23">
        <v>33</v>
      </c>
      <c r="AG25" s="23">
        <v>41</v>
      </c>
      <c r="AH25" s="23">
        <v>33</v>
      </c>
      <c r="AI25" s="23">
        <v>41</v>
      </c>
      <c r="AJ25" s="23">
        <v>33</v>
      </c>
      <c r="AK25" s="23">
        <v>41</v>
      </c>
      <c r="AL25" s="23">
        <v>33</v>
      </c>
      <c r="AM25" s="23">
        <v>41</v>
      </c>
      <c r="AN25" s="23">
        <v>33</v>
      </c>
      <c r="AO25" s="23">
        <v>41</v>
      </c>
      <c r="AP25" s="23">
        <v>33</v>
      </c>
      <c r="AQ25" s="23">
        <v>41</v>
      </c>
      <c r="AR25" s="23">
        <v>33</v>
      </c>
      <c r="AS25" s="23">
        <v>41</v>
      </c>
      <c r="AT25" s="23">
        <v>33</v>
      </c>
      <c r="AU25" s="23">
        <v>41</v>
      </c>
      <c r="AV25" s="23">
        <v>33</v>
      </c>
      <c r="AW25" s="23">
        <v>41</v>
      </c>
      <c r="AX25" s="23">
        <v>33</v>
      </c>
      <c r="AY25" s="23">
        <v>41</v>
      </c>
      <c r="AZ25" s="23">
        <v>33</v>
      </c>
      <c r="BA25" s="23">
        <v>41</v>
      </c>
      <c r="BB25" s="23">
        <v>33</v>
      </c>
      <c r="BC25" s="23">
        <v>41</v>
      </c>
      <c r="BD25" s="23">
        <v>33</v>
      </c>
      <c r="BE25" s="15">
        <v>41</v>
      </c>
      <c r="BF25" s="88">
        <v>33</v>
      </c>
      <c r="BG25" s="12"/>
      <c r="BH25" s="150" t="s">
        <v>50</v>
      </c>
      <c r="BI25" s="151"/>
      <c r="BJ25" s="46">
        <f>COUNTIF(F25:BF25,"&gt;"&amp;D25)</f>
        <v>26</v>
      </c>
      <c r="BK25" s="40" t="e">
        <f>SUM(#REF!)</f>
        <v>#REF!</v>
      </c>
      <c r="BL25" s="73">
        <f>'detail par semaine'!AZ22</f>
        <v>0</v>
      </c>
      <c r="BM25" s="73">
        <f>'detail par semaine'!BN22</f>
        <v>0</v>
      </c>
      <c r="BN25" s="73"/>
      <c r="BO25" s="73"/>
      <c r="BP25" s="73"/>
      <c r="BQ25" s="76"/>
      <c r="BR25" s="44"/>
      <c r="BT25" s="80">
        <f t="shared" si="4"/>
        <v>94</v>
      </c>
    </row>
    <row r="26" spans="1:72" s="1" customFormat="1" ht="25.25" customHeight="1" x14ac:dyDescent="0.2">
      <c r="A26" s="70" t="e">
        <f>IF(B26=#REF!,"OK","NON")</f>
        <v>#REF!</v>
      </c>
      <c r="B26" s="10" t="s">
        <v>47</v>
      </c>
      <c r="C26" s="49" t="s">
        <v>82</v>
      </c>
      <c r="D26" s="33">
        <v>37</v>
      </c>
      <c r="E26" s="45">
        <v>14.125</v>
      </c>
      <c r="F26" s="23">
        <v>33</v>
      </c>
      <c r="G26" s="68">
        <v>38</v>
      </c>
      <c r="H26" s="23">
        <v>33</v>
      </c>
      <c r="I26" s="23">
        <v>41</v>
      </c>
      <c r="J26" s="23">
        <v>33</v>
      </c>
      <c r="K26" s="23">
        <v>41</v>
      </c>
      <c r="L26" s="23">
        <v>33</v>
      </c>
      <c r="M26" s="23">
        <v>41</v>
      </c>
      <c r="N26" s="23">
        <v>33</v>
      </c>
      <c r="O26" s="23">
        <v>41</v>
      </c>
      <c r="P26" s="23">
        <v>33</v>
      </c>
      <c r="Q26" s="23">
        <v>41</v>
      </c>
      <c r="R26" s="23">
        <v>33</v>
      </c>
      <c r="S26" s="23">
        <v>41</v>
      </c>
      <c r="T26" s="23">
        <v>33</v>
      </c>
      <c r="U26" s="23">
        <v>41</v>
      </c>
      <c r="V26" s="23">
        <v>33</v>
      </c>
      <c r="W26" s="23">
        <v>41</v>
      </c>
      <c r="X26" s="23">
        <v>33</v>
      </c>
      <c r="Y26" s="23">
        <v>41</v>
      </c>
      <c r="Z26" s="23">
        <v>33</v>
      </c>
      <c r="AA26" s="23">
        <v>41</v>
      </c>
      <c r="AB26" s="23">
        <v>33</v>
      </c>
      <c r="AC26" s="23">
        <v>41</v>
      </c>
      <c r="AD26" s="23">
        <v>33</v>
      </c>
      <c r="AE26" s="23">
        <v>41</v>
      </c>
      <c r="AF26" s="23">
        <v>33</v>
      </c>
      <c r="AG26" s="23">
        <v>41</v>
      </c>
      <c r="AH26" s="23">
        <v>33</v>
      </c>
      <c r="AI26" s="23">
        <v>41</v>
      </c>
      <c r="AJ26" s="23">
        <v>33</v>
      </c>
      <c r="AK26" s="23">
        <v>41</v>
      </c>
      <c r="AL26" s="23">
        <v>33</v>
      </c>
      <c r="AM26" s="23">
        <v>41</v>
      </c>
      <c r="AN26" s="23">
        <v>33</v>
      </c>
      <c r="AO26" s="23">
        <v>41</v>
      </c>
      <c r="AP26" s="23">
        <v>33</v>
      </c>
      <c r="AQ26" s="23">
        <v>41</v>
      </c>
      <c r="AR26" s="23">
        <v>33</v>
      </c>
      <c r="AS26" s="23">
        <v>41</v>
      </c>
      <c r="AT26" s="23">
        <v>33</v>
      </c>
      <c r="AU26" s="23">
        <v>41</v>
      </c>
      <c r="AV26" s="23">
        <v>33</v>
      </c>
      <c r="AW26" s="23">
        <v>41</v>
      </c>
      <c r="AX26" s="23">
        <v>33</v>
      </c>
      <c r="AY26" s="23">
        <v>41</v>
      </c>
      <c r="AZ26" s="23">
        <v>33</v>
      </c>
      <c r="BA26" s="23">
        <v>41</v>
      </c>
      <c r="BB26" s="23">
        <v>33</v>
      </c>
      <c r="BC26" s="23">
        <v>41</v>
      </c>
      <c r="BD26" s="23">
        <v>33</v>
      </c>
      <c r="BE26" s="15">
        <v>41</v>
      </c>
      <c r="BF26" s="88">
        <v>33</v>
      </c>
      <c r="BG26" s="12"/>
      <c r="BH26" s="150" t="s">
        <v>47</v>
      </c>
      <c r="BI26" s="151"/>
      <c r="BJ26" s="41">
        <f>COUNTIF(F26:BF26,"&gt;"&amp;D26)</f>
        <v>26</v>
      </c>
      <c r="BK26" s="25" t="e">
        <f>SUM(#REF!)</f>
        <v>#REF!</v>
      </c>
      <c r="BL26" s="73">
        <f>'detail par semaine'!AZ23</f>
        <v>0</v>
      </c>
      <c r="BM26" s="73">
        <f>'detail par semaine'!BN23</f>
        <v>0</v>
      </c>
      <c r="BN26" s="73"/>
      <c r="BO26" s="73"/>
      <c r="BP26" s="73"/>
      <c r="BQ26" s="76"/>
      <c r="BR26" s="44"/>
      <c r="BT26" s="79">
        <f t="shared" si="4"/>
        <v>94</v>
      </c>
    </row>
    <row r="27" spans="1:72" s="1" customFormat="1" ht="25.25" customHeight="1" x14ac:dyDescent="0.2">
      <c r="A27" s="70" t="e">
        <f>IF(B27=#REF!,"OK","NON")</f>
        <v>#REF!</v>
      </c>
      <c r="B27" s="10" t="s">
        <v>33</v>
      </c>
      <c r="C27" s="49" t="s">
        <v>82</v>
      </c>
      <c r="D27" s="33">
        <v>37</v>
      </c>
      <c r="E27" s="45">
        <v>14.997499999999999</v>
      </c>
      <c r="F27" s="23">
        <v>33</v>
      </c>
      <c r="G27" s="23">
        <v>41</v>
      </c>
      <c r="H27" s="23">
        <v>33</v>
      </c>
      <c r="I27" s="23">
        <v>41</v>
      </c>
      <c r="J27" s="23">
        <v>33</v>
      </c>
      <c r="K27" s="23">
        <v>41</v>
      </c>
      <c r="L27" s="23">
        <v>33</v>
      </c>
      <c r="M27" s="23">
        <v>41</v>
      </c>
      <c r="N27" s="23">
        <v>33</v>
      </c>
      <c r="O27" s="23">
        <v>41</v>
      </c>
      <c r="P27" s="23">
        <v>33</v>
      </c>
      <c r="Q27" s="23">
        <v>41</v>
      </c>
      <c r="R27" s="23">
        <v>33</v>
      </c>
      <c r="S27" s="23">
        <v>41</v>
      </c>
      <c r="T27" s="23">
        <v>33</v>
      </c>
      <c r="U27" s="23">
        <v>41</v>
      </c>
      <c r="V27" s="23">
        <v>33</v>
      </c>
      <c r="W27" s="23">
        <v>41</v>
      </c>
      <c r="X27" s="23">
        <v>33</v>
      </c>
      <c r="Y27" s="23">
        <v>41</v>
      </c>
      <c r="Z27" s="23">
        <v>33</v>
      </c>
      <c r="AA27" s="23">
        <v>41</v>
      </c>
      <c r="AB27" s="23">
        <v>33</v>
      </c>
      <c r="AC27" s="23">
        <v>41</v>
      </c>
      <c r="AD27" s="23">
        <v>33</v>
      </c>
      <c r="AE27" s="23">
        <v>41</v>
      </c>
      <c r="AF27" s="23">
        <v>33</v>
      </c>
      <c r="AG27" s="23">
        <v>41</v>
      </c>
      <c r="AH27" s="23">
        <v>33</v>
      </c>
      <c r="AI27" s="23">
        <v>41</v>
      </c>
      <c r="AJ27" s="23">
        <v>33</v>
      </c>
      <c r="AK27" s="23">
        <v>41</v>
      </c>
      <c r="AL27" s="23">
        <v>33</v>
      </c>
      <c r="AM27" s="23">
        <v>41</v>
      </c>
      <c r="AN27" s="23">
        <v>33</v>
      </c>
      <c r="AO27" s="23">
        <v>41</v>
      </c>
      <c r="AP27" s="23">
        <v>33</v>
      </c>
      <c r="AQ27" s="23">
        <v>41</v>
      </c>
      <c r="AR27" s="23">
        <v>33</v>
      </c>
      <c r="AS27" s="23">
        <v>41</v>
      </c>
      <c r="AT27" s="23">
        <v>33</v>
      </c>
      <c r="AU27" s="23">
        <v>41</v>
      </c>
      <c r="AV27" s="23">
        <v>33</v>
      </c>
      <c r="AW27" s="23">
        <v>41</v>
      </c>
      <c r="AX27" s="23">
        <v>33</v>
      </c>
      <c r="AY27" s="23">
        <v>41</v>
      </c>
      <c r="AZ27" s="23">
        <v>33</v>
      </c>
      <c r="BA27" s="23">
        <v>41</v>
      </c>
      <c r="BB27" s="23">
        <v>33</v>
      </c>
      <c r="BC27" s="23">
        <v>41</v>
      </c>
      <c r="BD27" s="23">
        <v>33</v>
      </c>
      <c r="BE27" s="15">
        <v>41</v>
      </c>
      <c r="BF27" s="88">
        <v>33</v>
      </c>
      <c r="BG27" s="12"/>
      <c r="BH27" s="150" t="s">
        <v>33</v>
      </c>
      <c r="BI27" s="151"/>
      <c r="BJ27" s="46">
        <f>COUNTIF(F27:BF27,"&gt;"&amp;D27)</f>
        <v>26</v>
      </c>
      <c r="BK27" s="40" t="e">
        <f>SUM(#REF!)</f>
        <v>#REF!</v>
      </c>
      <c r="BL27" s="73">
        <f>'detail par semaine'!AZ24</f>
        <v>0</v>
      </c>
      <c r="BM27" s="73">
        <f>'detail par semaine'!BN24</f>
        <v>0</v>
      </c>
      <c r="BN27" s="73"/>
      <c r="BO27" s="73"/>
      <c r="BP27" s="73"/>
      <c r="BQ27" s="76"/>
      <c r="BR27" s="44"/>
      <c r="BT27" s="80">
        <f t="shared" si="4"/>
        <v>94</v>
      </c>
    </row>
    <row r="28" spans="1:72" s="1" customFormat="1" ht="25.25" customHeight="1" x14ac:dyDescent="0.2">
      <c r="A28" s="70" t="e">
        <f>IF(B28=#REF!,"OK","NON")</f>
        <v>#REF!</v>
      </c>
      <c r="B28" s="10" t="s">
        <v>129</v>
      </c>
      <c r="C28" s="49" t="s">
        <v>82</v>
      </c>
      <c r="D28" s="33">
        <v>37</v>
      </c>
      <c r="E28" s="45">
        <v>0</v>
      </c>
      <c r="F28" s="23">
        <v>41</v>
      </c>
      <c r="G28" s="23">
        <v>33</v>
      </c>
      <c r="H28" s="68">
        <v>39.5</v>
      </c>
      <c r="I28" s="23">
        <v>33</v>
      </c>
      <c r="J28" s="23">
        <v>41</v>
      </c>
      <c r="K28" s="23">
        <v>33</v>
      </c>
      <c r="L28" s="23">
        <v>41</v>
      </c>
      <c r="M28" s="23">
        <v>33</v>
      </c>
      <c r="N28" s="23">
        <v>41</v>
      </c>
      <c r="O28" s="23">
        <v>33</v>
      </c>
      <c r="P28" s="23">
        <v>41</v>
      </c>
      <c r="Q28" s="23">
        <v>33</v>
      </c>
      <c r="R28" s="23">
        <v>41</v>
      </c>
      <c r="S28" s="23">
        <v>33</v>
      </c>
      <c r="T28" s="23">
        <v>41</v>
      </c>
      <c r="U28" s="23">
        <v>33</v>
      </c>
      <c r="V28" s="23">
        <v>41</v>
      </c>
      <c r="W28" s="23">
        <v>33</v>
      </c>
      <c r="X28" s="23">
        <v>41</v>
      </c>
      <c r="Y28" s="23">
        <v>33</v>
      </c>
      <c r="Z28" s="23">
        <v>41</v>
      </c>
      <c r="AA28" s="23">
        <v>33</v>
      </c>
      <c r="AB28" s="23">
        <v>41</v>
      </c>
      <c r="AC28" s="23">
        <v>33</v>
      </c>
      <c r="AD28" s="23">
        <v>41</v>
      </c>
      <c r="AE28" s="23">
        <v>33</v>
      </c>
      <c r="AF28" s="23">
        <v>41</v>
      </c>
      <c r="AG28" s="23">
        <v>33</v>
      </c>
      <c r="AH28" s="23">
        <v>41</v>
      </c>
      <c r="AI28" s="23">
        <v>33</v>
      </c>
      <c r="AJ28" s="23">
        <v>41</v>
      </c>
      <c r="AK28" s="23">
        <v>33</v>
      </c>
      <c r="AL28" s="23">
        <v>41</v>
      </c>
      <c r="AM28" s="23">
        <v>33</v>
      </c>
      <c r="AN28" s="23">
        <v>41</v>
      </c>
      <c r="AO28" s="23">
        <v>33</v>
      </c>
      <c r="AP28" s="23">
        <v>41</v>
      </c>
      <c r="AQ28" s="23">
        <v>33</v>
      </c>
      <c r="AR28" s="23">
        <v>41</v>
      </c>
      <c r="AS28" s="23">
        <v>33</v>
      </c>
      <c r="AT28" s="23">
        <v>41</v>
      </c>
      <c r="AU28" s="23">
        <v>33</v>
      </c>
      <c r="AV28" s="23">
        <v>41</v>
      </c>
      <c r="AW28" s="23">
        <v>33</v>
      </c>
      <c r="AX28" s="23">
        <v>41</v>
      </c>
      <c r="AY28" s="23">
        <v>33</v>
      </c>
      <c r="AZ28" s="23">
        <v>41</v>
      </c>
      <c r="BA28" s="23">
        <v>33</v>
      </c>
      <c r="BB28" s="23">
        <v>41</v>
      </c>
      <c r="BC28" s="23">
        <v>33</v>
      </c>
      <c r="BD28" s="23">
        <v>41</v>
      </c>
      <c r="BE28" s="23">
        <v>33</v>
      </c>
      <c r="BF28" s="88">
        <v>41</v>
      </c>
      <c r="BG28" s="12"/>
      <c r="BH28" s="152" t="s">
        <v>129</v>
      </c>
      <c r="BI28" s="153"/>
      <c r="BJ28" s="46"/>
      <c r="BK28" s="40"/>
      <c r="BL28" s="73">
        <f>'detail par semaine'!AZ25</f>
        <v>0</v>
      </c>
      <c r="BM28" s="73">
        <f>'detail par semaine'!BN25</f>
        <v>0</v>
      </c>
      <c r="BN28" s="73"/>
      <c r="BO28" s="73"/>
      <c r="BP28" s="73"/>
      <c r="BQ28" s="76"/>
      <c r="BR28" s="44"/>
      <c r="BT28" s="80">
        <f t="shared" si="4"/>
        <v>94</v>
      </c>
    </row>
    <row r="29" spans="1:72" s="1" customFormat="1" ht="25.25" customHeight="1" x14ac:dyDescent="0.2">
      <c r="A29" s="70" t="e">
        <f>IF(B29=#REF!,"OK","NON")</f>
        <v>#REF!</v>
      </c>
      <c r="B29" s="10" t="s">
        <v>120</v>
      </c>
      <c r="C29" s="49" t="s">
        <v>82</v>
      </c>
      <c r="D29" s="33">
        <v>37</v>
      </c>
      <c r="E29" s="45">
        <v>8.36</v>
      </c>
      <c r="F29" s="23">
        <v>41</v>
      </c>
      <c r="G29" s="23">
        <v>33</v>
      </c>
      <c r="H29" s="23">
        <v>41</v>
      </c>
      <c r="I29" s="23">
        <v>33</v>
      </c>
      <c r="J29" s="23">
        <v>41</v>
      </c>
      <c r="K29" s="23">
        <v>33</v>
      </c>
      <c r="L29" s="23">
        <v>41</v>
      </c>
      <c r="M29" s="23">
        <v>33</v>
      </c>
      <c r="N29" s="23">
        <v>41</v>
      </c>
      <c r="O29" s="23">
        <v>33</v>
      </c>
      <c r="P29" s="23">
        <v>41</v>
      </c>
      <c r="Q29" s="23">
        <v>33</v>
      </c>
      <c r="R29" s="23">
        <v>41</v>
      </c>
      <c r="S29" s="23">
        <v>33</v>
      </c>
      <c r="T29" s="23">
        <v>41</v>
      </c>
      <c r="U29" s="23">
        <v>33</v>
      </c>
      <c r="V29" s="23">
        <v>41</v>
      </c>
      <c r="W29" s="23">
        <v>33</v>
      </c>
      <c r="X29" s="23">
        <v>41</v>
      </c>
      <c r="Y29" s="23">
        <v>33</v>
      </c>
      <c r="Z29" s="23">
        <v>41</v>
      </c>
      <c r="AA29" s="23">
        <v>33</v>
      </c>
      <c r="AB29" s="23">
        <v>41</v>
      </c>
      <c r="AC29" s="23">
        <v>33</v>
      </c>
      <c r="AD29" s="23">
        <v>41</v>
      </c>
      <c r="AE29" s="23">
        <v>33</v>
      </c>
      <c r="AF29" s="23">
        <v>41</v>
      </c>
      <c r="AG29" s="23">
        <v>33</v>
      </c>
      <c r="AH29" s="23">
        <v>41</v>
      </c>
      <c r="AI29" s="23">
        <v>33</v>
      </c>
      <c r="AJ29" s="23">
        <v>41</v>
      </c>
      <c r="AK29" s="23">
        <v>33</v>
      </c>
      <c r="AL29" s="23">
        <v>41</v>
      </c>
      <c r="AM29" s="23">
        <v>33</v>
      </c>
      <c r="AN29" s="23">
        <v>41</v>
      </c>
      <c r="AO29" s="23">
        <v>33</v>
      </c>
      <c r="AP29" s="23">
        <v>41</v>
      </c>
      <c r="AQ29" s="23">
        <v>33</v>
      </c>
      <c r="AR29" s="23">
        <v>41</v>
      </c>
      <c r="AS29" s="23">
        <v>33</v>
      </c>
      <c r="AT29" s="23">
        <v>41</v>
      </c>
      <c r="AU29" s="23">
        <v>33</v>
      </c>
      <c r="AV29" s="23">
        <v>41</v>
      </c>
      <c r="AW29" s="23">
        <v>33</v>
      </c>
      <c r="AX29" s="23">
        <v>41</v>
      </c>
      <c r="AY29" s="23">
        <v>33</v>
      </c>
      <c r="AZ29" s="23">
        <v>41</v>
      </c>
      <c r="BA29" s="23">
        <v>33</v>
      </c>
      <c r="BB29" s="23">
        <v>41</v>
      </c>
      <c r="BC29" s="23">
        <v>33</v>
      </c>
      <c r="BD29" s="23">
        <v>41</v>
      </c>
      <c r="BE29" s="23">
        <v>33</v>
      </c>
      <c r="BF29" s="88">
        <v>41</v>
      </c>
      <c r="BG29" s="12"/>
      <c r="BH29" s="152" t="s">
        <v>120</v>
      </c>
      <c r="BI29" s="153"/>
      <c r="BJ29" s="46">
        <f t="shared" ref="BJ29:BJ34" si="6">COUNTIF(F29:BF29,"&gt;"&amp;D29)</f>
        <v>27</v>
      </c>
      <c r="BK29" s="40" t="e">
        <f>SUM(#REF!)</f>
        <v>#REF!</v>
      </c>
      <c r="BL29" s="73">
        <f>'detail par semaine'!AZ26</f>
        <v>0</v>
      </c>
      <c r="BM29" s="73">
        <f>'detail par semaine'!BN26</f>
        <v>0</v>
      </c>
      <c r="BN29" s="73"/>
      <c r="BO29" s="73"/>
      <c r="BP29" s="73"/>
      <c r="BQ29" s="76"/>
      <c r="BR29" s="44"/>
      <c r="BT29" s="80">
        <f t="shared" si="4"/>
        <v>94</v>
      </c>
    </row>
    <row r="30" spans="1:72" s="1" customFormat="1" ht="25.25" customHeight="1" x14ac:dyDescent="0.2">
      <c r="A30" s="70" t="e">
        <f>IF(B30=#REF!,"OK","NON")</f>
        <v>#REF!</v>
      </c>
      <c r="B30" s="10" t="s">
        <v>121</v>
      </c>
      <c r="C30" s="49" t="s">
        <v>82</v>
      </c>
      <c r="D30" s="33">
        <v>37</v>
      </c>
      <c r="E30" s="45">
        <v>3.06</v>
      </c>
      <c r="F30" s="23">
        <v>41</v>
      </c>
      <c r="G30" s="23">
        <v>33</v>
      </c>
      <c r="H30" s="23">
        <v>41</v>
      </c>
      <c r="I30" s="23">
        <v>41</v>
      </c>
      <c r="J30" s="23">
        <v>33</v>
      </c>
      <c r="K30" s="23">
        <v>41</v>
      </c>
      <c r="L30" s="23">
        <v>33</v>
      </c>
      <c r="M30" s="23">
        <v>41</v>
      </c>
      <c r="N30" s="23">
        <v>33</v>
      </c>
      <c r="O30" s="23">
        <v>41</v>
      </c>
      <c r="P30" s="23">
        <v>33</v>
      </c>
      <c r="Q30" s="23">
        <v>41</v>
      </c>
      <c r="R30" s="23">
        <v>33</v>
      </c>
      <c r="S30" s="23">
        <v>41</v>
      </c>
      <c r="T30" s="23">
        <v>33</v>
      </c>
      <c r="U30" s="23">
        <v>41</v>
      </c>
      <c r="V30" s="23">
        <v>33</v>
      </c>
      <c r="W30" s="23">
        <v>41</v>
      </c>
      <c r="X30" s="23">
        <v>33</v>
      </c>
      <c r="Y30" s="23">
        <v>41</v>
      </c>
      <c r="Z30" s="23">
        <v>33</v>
      </c>
      <c r="AA30" s="23">
        <v>41</v>
      </c>
      <c r="AB30" s="23">
        <v>33</v>
      </c>
      <c r="AC30" s="23">
        <v>41</v>
      </c>
      <c r="AD30" s="23">
        <v>33</v>
      </c>
      <c r="AE30" s="23">
        <v>41</v>
      </c>
      <c r="AF30" s="23">
        <v>33</v>
      </c>
      <c r="AG30" s="23">
        <v>41</v>
      </c>
      <c r="AH30" s="23">
        <v>33</v>
      </c>
      <c r="AI30" s="23">
        <v>41</v>
      </c>
      <c r="AJ30" s="23">
        <v>33</v>
      </c>
      <c r="AK30" s="23">
        <v>41</v>
      </c>
      <c r="AL30" s="23">
        <v>33</v>
      </c>
      <c r="AM30" s="23">
        <v>41</v>
      </c>
      <c r="AN30" s="23">
        <v>33</v>
      </c>
      <c r="AO30" s="23">
        <v>41</v>
      </c>
      <c r="AP30" s="23">
        <v>33</v>
      </c>
      <c r="AQ30" s="23">
        <v>41</v>
      </c>
      <c r="AR30" s="23">
        <v>33</v>
      </c>
      <c r="AS30" s="23">
        <v>41</v>
      </c>
      <c r="AT30" s="23">
        <v>33</v>
      </c>
      <c r="AU30" s="23">
        <v>41</v>
      </c>
      <c r="AV30" s="23">
        <v>33</v>
      </c>
      <c r="AW30" s="23">
        <v>41</v>
      </c>
      <c r="AX30" s="23">
        <v>33</v>
      </c>
      <c r="AY30" s="23">
        <v>41</v>
      </c>
      <c r="AZ30" s="23">
        <v>33</v>
      </c>
      <c r="BA30" s="23">
        <v>41</v>
      </c>
      <c r="BB30" s="23">
        <v>33</v>
      </c>
      <c r="BC30" s="23">
        <v>41</v>
      </c>
      <c r="BD30" s="23">
        <v>33</v>
      </c>
      <c r="BE30" s="15">
        <v>41</v>
      </c>
      <c r="BF30" s="88">
        <v>41</v>
      </c>
      <c r="BG30" s="12"/>
      <c r="BH30" s="152" t="s">
        <v>121</v>
      </c>
      <c r="BI30" s="153"/>
      <c r="BJ30" s="41">
        <f t="shared" si="6"/>
        <v>28</v>
      </c>
      <c r="BK30" s="25" t="e">
        <f>SUM(#REF!)</f>
        <v>#REF!</v>
      </c>
      <c r="BL30" s="73">
        <f>'detail par semaine'!AZ27</f>
        <v>6.25</v>
      </c>
      <c r="BM30" s="73">
        <f>'detail par semaine'!BN27</f>
        <v>4.5</v>
      </c>
      <c r="BN30" s="73"/>
      <c r="BO30" s="73"/>
      <c r="BP30" s="73"/>
      <c r="BQ30" s="76"/>
      <c r="BR30" s="44"/>
      <c r="BT30" s="80">
        <f t="shared" si="4"/>
        <v>104.75</v>
      </c>
    </row>
    <row r="31" spans="1:72" s="1" customFormat="1" ht="25.25" customHeight="1" x14ac:dyDescent="0.2">
      <c r="A31" s="70" t="e">
        <f>IF(B31=#REF!,"OK","NON")</f>
        <v>#REF!</v>
      </c>
      <c r="B31" s="10" t="s">
        <v>77</v>
      </c>
      <c r="C31" s="49" t="s">
        <v>82</v>
      </c>
      <c r="D31" s="33">
        <v>37</v>
      </c>
      <c r="E31" s="45">
        <v>15.002499999999998</v>
      </c>
      <c r="F31" s="23">
        <v>33</v>
      </c>
      <c r="G31" s="23">
        <v>41</v>
      </c>
      <c r="H31" s="23">
        <v>33</v>
      </c>
      <c r="I31" s="23">
        <v>41</v>
      </c>
      <c r="J31" s="23">
        <v>33</v>
      </c>
      <c r="K31" s="23">
        <v>41</v>
      </c>
      <c r="L31" s="23">
        <v>33</v>
      </c>
      <c r="M31" s="23">
        <v>41</v>
      </c>
      <c r="N31" s="23">
        <v>33</v>
      </c>
      <c r="O31" s="23">
        <v>41</v>
      </c>
      <c r="P31" s="23">
        <v>33</v>
      </c>
      <c r="Q31" s="23">
        <v>41</v>
      </c>
      <c r="R31" s="23">
        <v>33</v>
      </c>
      <c r="S31" s="23">
        <v>41</v>
      </c>
      <c r="T31" s="23">
        <v>33</v>
      </c>
      <c r="U31" s="23">
        <v>41</v>
      </c>
      <c r="V31" s="23">
        <v>33</v>
      </c>
      <c r="W31" s="23">
        <v>41</v>
      </c>
      <c r="X31" s="23">
        <v>33</v>
      </c>
      <c r="Y31" s="23">
        <v>41</v>
      </c>
      <c r="Z31" s="23">
        <v>33</v>
      </c>
      <c r="AA31" s="23">
        <v>41</v>
      </c>
      <c r="AB31" s="23">
        <v>33</v>
      </c>
      <c r="AC31" s="23">
        <v>41</v>
      </c>
      <c r="AD31" s="23">
        <v>33</v>
      </c>
      <c r="AE31" s="23">
        <v>41</v>
      </c>
      <c r="AF31" s="23">
        <v>33</v>
      </c>
      <c r="AG31" s="23">
        <v>41</v>
      </c>
      <c r="AH31" s="23">
        <v>33</v>
      </c>
      <c r="AI31" s="23">
        <v>41</v>
      </c>
      <c r="AJ31" s="23">
        <v>33</v>
      </c>
      <c r="AK31" s="23">
        <v>41</v>
      </c>
      <c r="AL31" s="23">
        <v>33</v>
      </c>
      <c r="AM31" s="23">
        <v>41</v>
      </c>
      <c r="AN31" s="23">
        <v>33</v>
      </c>
      <c r="AO31" s="23">
        <v>41</v>
      </c>
      <c r="AP31" s="23">
        <v>33</v>
      </c>
      <c r="AQ31" s="23">
        <v>41</v>
      </c>
      <c r="AR31" s="23">
        <v>33</v>
      </c>
      <c r="AS31" s="23">
        <v>41</v>
      </c>
      <c r="AT31" s="23">
        <v>33</v>
      </c>
      <c r="AU31" s="23">
        <v>41</v>
      </c>
      <c r="AV31" s="23">
        <v>33</v>
      </c>
      <c r="AW31" s="23">
        <v>41</v>
      </c>
      <c r="AX31" s="23">
        <v>33</v>
      </c>
      <c r="AY31" s="23">
        <v>41</v>
      </c>
      <c r="AZ31" s="23">
        <v>33</v>
      </c>
      <c r="BA31" s="23">
        <v>41</v>
      </c>
      <c r="BB31" s="23">
        <v>33</v>
      </c>
      <c r="BC31" s="23">
        <v>41</v>
      </c>
      <c r="BD31" s="23">
        <v>33</v>
      </c>
      <c r="BE31" s="15">
        <v>41</v>
      </c>
      <c r="BF31" s="88">
        <v>33</v>
      </c>
      <c r="BG31" s="12"/>
      <c r="BH31" s="150" t="s">
        <v>77</v>
      </c>
      <c r="BI31" s="151"/>
      <c r="BJ31" s="46">
        <f t="shared" si="6"/>
        <v>26</v>
      </c>
      <c r="BK31" s="40" t="e">
        <f>SUM(#REF!)</f>
        <v>#REF!</v>
      </c>
      <c r="BL31" s="73">
        <f>'detail par semaine'!AZ28</f>
        <v>0</v>
      </c>
      <c r="BM31" s="73">
        <f>'detail par semaine'!BN28</f>
        <v>0</v>
      </c>
      <c r="BN31" s="73"/>
      <c r="BO31" s="73"/>
      <c r="BP31" s="73"/>
      <c r="BQ31" s="76"/>
      <c r="BR31" s="44"/>
      <c r="BT31" s="80">
        <f t="shared" si="4"/>
        <v>94</v>
      </c>
    </row>
    <row r="32" spans="1:72" s="1" customFormat="1" ht="25.25" customHeight="1" x14ac:dyDescent="0.2">
      <c r="A32" s="70" t="e">
        <f>IF(B32=#REF!,"OK","NON")</f>
        <v>#REF!</v>
      </c>
      <c r="B32" s="10" t="s">
        <v>136</v>
      </c>
      <c r="C32" s="49" t="s">
        <v>82</v>
      </c>
      <c r="D32" s="33">
        <v>37</v>
      </c>
      <c r="E32" s="45">
        <v>0</v>
      </c>
      <c r="F32" s="23">
        <v>33</v>
      </c>
      <c r="G32" s="23">
        <v>41</v>
      </c>
      <c r="H32" s="23">
        <v>33</v>
      </c>
      <c r="I32" s="23">
        <v>41</v>
      </c>
      <c r="J32" s="23">
        <v>33</v>
      </c>
      <c r="K32" s="23">
        <v>41</v>
      </c>
      <c r="L32" s="23">
        <v>33</v>
      </c>
      <c r="M32" s="23">
        <v>41</v>
      </c>
      <c r="N32" s="23">
        <v>33</v>
      </c>
      <c r="O32" s="23">
        <v>41</v>
      </c>
      <c r="P32" s="23">
        <v>33</v>
      </c>
      <c r="Q32" s="23">
        <v>41</v>
      </c>
      <c r="R32" s="23">
        <v>33</v>
      </c>
      <c r="S32" s="23">
        <v>41</v>
      </c>
      <c r="T32" s="23">
        <v>33</v>
      </c>
      <c r="U32" s="23">
        <v>41</v>
      </c>
      <c r="V32" s="23">
        <v>33</v>
      </c>
      <c r="W32" s="23">
        <v>41</v>
      </c>
      <c r="X32" s="23">
        <v>33</v>
      </c>
      <c r="Y32" s="23">
        <v>41</v>
      </c>
      <c r="Z32" s="23">
        <v>33</v>
      </c>
      <c r="AA32" s="23">
        <v>41</v>
      </c>
      <c r="AB32" s="23">
        <v>33</v>
      </c>
      <c r="AC32" s="23">
        <v>41</v>
      </c>
      <c r="AD32" s="23">
        <v>33</v>
      </c>
      <c r="AE32" s="23">
        <v>41</v>
      </c>
      <c r="AF32" s="23">
        <v>33</v>
      </c>
      <c r="AG32" s="23">
        <v>41</v>
      </c>
      <c r="AH32" s="23">
        <v>33</v>
      </c>
      <c r="AI32" s="23">
        <v>41</v>
      </c>
      <c r="AJ32" s="23">
        <v>33</v>
      </c>
      <c r="AK32" s="23">
        <v>41</v>
      </c>
      <c r="AL32" s="23">
        <v>33</v>
      </c>
      <c r="AM32" s="23">
        <v>41</v>
      </c>
      <c r="AN32" s="23">
        <v>33</v>
      </c>
      <c r="AO32" s="23">
        <v>41</v>
      </c>
      <c r="AP32" s="23">
        <v>33</v>
      </c>
      <c r="AQ32" s="23">
        <v>41</v>
      </c>
      <c r="AR32" s="23">
        <v>33</v>
      </c>
      <c r="AS32" s="23">
        <v>41</v>
      </c>
      <c r="AT32" s="23">
        <v>33</v>
      </c>
      <c r="AU32" s="23">
        <v>41</v>
      </c>
      <c r="AV32" s="23">
        <v>33</v>
      </c>
      <c r="AW32" s="23">
        <v>41</v>
      </c>
      <c r="AX32" s="23">
        <v>33</v>
      </c>
      <c r="AY32" s="23">
        <v>41</v>
      </c>
      <c r="AZ32" s="23">
        <v>33</v>
      </c>
      <c r="BA32" s="23">
        <v>41</v>
      </c>
      <c r="BB32" s="23">
        <v>33</v>
      </c>
      <c r="BC32" s="23">
        <v>41</v>
      </c>
      <c r="BD32" s="23">
        <v>33</v>
      </c>
      <c r="BE32" s="15">
        <v>41</v>
      </c>
      <c r="BF32" s="88">
        <v>33</v>
      </c>
      <c r="BG32" s="12"/>
      <c r="BH32" s="152" t="s">
        <v>136</v>
      </c>
      <c r="BI32" s="153"/>
      <c r="BJ32" s="46">
        <f t="shared" si="6"/>
        <v>26</v>
      </c>
      <c r="BK32" s="40" t="e">
        <f>SUM(#REF!)</f>
        <v>#REF!</v>
      </c>
      <c r="BL32" s="73">
        <f>'detail par semaine'!AZ29</f>
        <v>0</v>
      </c>
      <c r="BM32" s="73">
        <f>'detail par semaine'!BN29</f>
        <v>0</v>
      </c>
      <c r="BN32" s="73"/>
      <c r="BO32" s="73"/>
      <c r="BP32" s="73"/>
      <c r="BQ32" s="76"/>
      <c r="BR32" s="44"/>
      <c r="BT32" s="80"/>
    </row>
    <row r="33" spans="1:72" s="1" customFormat="1" ht="25.25" customHeight="1" x14ac:dyDescent="0.2">
      <c r="A33" s="70" t="e">
        <f>IF(B33=#REF!,"OK","NON")</f>
        <v>#REF!</v>
      </c>
      <c r="B33" s="10" t="s">
        <v>68</v>
      </c>
      <c r="C33" s="49" t="s">
        <v>82</v>
      </c>
      <c r="D33" s="33">
        <v>37</v>
      </c>
      <c r="E33" s="45">
        <v>15</v>
      </c>
      <c r="F33" s="23">
        <v>33</v>
      </c>
      <c r="G33" s="23">
        <v>41</v>
      </c>
      <c r="H33" s="23">
        <v>33</v>
      </c>
      <c r="I33" s="23">
        <v>41</v>
      </c>
      <c r="J33" s="23">
        <v>33</v>
      </c>
      <c r="K33" s="23">
        <v>41</v>
      </c>
      <c r="L33" s="23">
        <v>33</v>
      </c>
      <c r="M33" s="23">
        <v>41</v>
      </c>
      <c r="N33" s="23">
        <v>33</v>
      </c>
      <c r="O33" s="23">
        <v>41</v>
      </c>
      <c r="P33" s="23">
        <v>33</v>
      </c>
      <c r="Q33" s="23">
        <v>41</v>
      </c>
      <c r="R33" s="23">
        <v>33</v>
      </c>
      <c r="S33" s="23">
        <v>41</v>
      </c>
      <c r="T33" s="23">
        <v>33</v>
      </c>
      <c r="U33" s="23">
        <v>41</v>
      </c>
      <c r="V33" s="23">
        <v>33</v>
      </c>
      <c r="W33" s="23">
        <v>41</v>
      </c>
      <c r="X33" s="23">
        <v>33</v>
      </c>
      <c r="Y33" s="23">
        <v>41</v>
      </c>
      <c r="Z33" s="23">
        <v>33</v>
      </c>
      <c r="AA33" s="23">
        <v>41</v>
      </c>
      <c r="AB33" s="23">
        <v>33</v>
      </c>
      <c r="AC33" s="23">
        <v>41</v>
      </c>
      <c r="AD33" s="23">
        <v>33</v>
      </c>
      <c r="AE33" s="23">
        <v>41</v>
      </c>
      <c r="AF33" s="23">
        <v>33</v>
      </c>
      <c r="AG33" s="23">
        <v>41</v>
      </c>
      <c r="AH33" s="23">
        <v>33</v>
      </c>
      <c r="AI33" s="23">
        <v>41</v>
      </c>
      <c r="AJ33" s="23">
        <v>33</v>
      </c>
      <c r="AK33" s="23">
        <v>41</v>
      </c>
      <c r="AL33" s="23">
        <v>33</v>
      </c>
      <c r="AM33" s="23">
        <v>41</v>
      </c>
      <c r="AN33" s="23">
        <v>33</v>
      </c>
      <c r="AO33" s="23">
        <v>41</v>
      </c>
      <c r="AP33" s="23">
        <v>33</v>
      </c>
      <c r="AQ33" s="23">
        <v>41</v>
      </c>
      <c r="AR33" s="23">
        <v>33</v>
      </c>
      <c r="AS33" s="23">
        <v>41</v>
      </c>
      <c r="AT33" s="23">
        <v>33</v>
      </c>
      <c r="AU33" s="23">
        <v>41</v>
      </c>
      <c r="AV33" s="23">
        <v>33</v>
      </c>
      <c r="AW33" s="23">
        <v>41</v>
      </c>
      <c r="AX33" s="23">
        <v>33</v>
      </c>
      <c r="AY33" s="23">
        <v>41</v>
      </c>
      <c r="AZ33" s="23">
        <v>33</v>
      </c>
      <c r="BA33" s="23">
        <v>41</v>
      </c>
      <c r="BB33" s="23">
        <v>33</v>
      </c>
      <c r="BC33" s="23">
        <v>41</v>
      </c>
      <c r="BD33" s="23">
        <v>33</v>
      </c>
      <c r="BE33" s="15">
        <v>41</v>
      </c>
      <c r="BF33" s="88">
        <v>33</v>
      </c>
      <c r="BG33" s="12"/>
      <c r="BH33" s="150" t="s">
        <v>68</v>
      </c>
      <c r="BI33" s="151"/>
      <c r="BJ33" s="46">
        <f t="shared" si="6"/>
        <v>26</v>
      </c>
      <c r="BK33" s="40" t="e">
        <f>SUM(#REF!)</f>
        <v>#REF!</v>
      </c>
      <c r="BL33" s="73">
        <f>'detail par semaine'!AZ30</f>
        <v>0</v>
      </c>
      <c r="BM33" s="73">
        <f>'detail par semaine'!BN30</f>
        <v>0</v>
      </c>
      <c r="BN33" s="73"/>
      <c r="BO33" s="73"/>
      <c r="BP33" s="73"/>
      <c r="BQ33" s="76"/>
      <c r="BR33" s="44"/>
      <c r="BT33" s="80">
        <f t="shared" si="4"/>
        <v>94</v>
      </c>
    </row>
    <row r="34" spans="1:72" s="1" customFormat="1" ht="25.25" customHeight="1" x14ac:dyDescent="0.2">
      <c r="A34" s="70" t="e">
        <f>IF(B34=#REF!,"OK","NON")</f>
        <v>#REF!</v>
      </c>
      <c r="B34" s="10" t="s">
        <v>80</v>
      </c>
      <c r="C34" s="49" t="s">
        <v>82</v>
      </c>
      <c r="D34" s="33">
        <v>37</v>
      </c>
      <c r="E34" s="45">
        <v>2.0625</v>
      </c>
      <c r="F34" s="23">
        <v>33</v>
      </c>
      <c r="G34" s="68">
        <v>40</v>
      </c>
      <c r="H34" s="23">
        <v>33</v>
      </c>
      <c r="I34" s="23">
        <v>41</v>
      </c>
      <c r="J34" s="23">
        <v>33</v>
      </c>
      <c r="K34" s="23">
        <v>41</v>
      </c>
      <c r="L34" s="23">
        <v>33</v>
      </c>
      <c r="M34" s="23">
        <v>41</v>
      </c>
      <c r="N34" s="23">
        <v>33</v>
      </c>
      <c r="O34" s="23">
        <v>41</v>
      </c>
      <c r="P34" s="23">
        <v>33</v>
      </c>
      <c r="Q34" s="23">
        <v>41</v>
      </c>
      <c r="R34" s="23">
        <v>33</v>
      </c>
      <c r="S34" s="23">
        <v>41</v>
      </c>
      <c r="T34" s="23">
        <v>33</v>
      </c>
      <c r="U34" s="23">
        <v>41</v>
      </c>
      <c r="V34" s="23">
        <v>33</v>
      </c>
      <c r="W34" s="23">
        <v>41</v>
      </c>
      <c r="X34" s="23">
        <v>33</v>
      </c>
      <c r="Y34" s="23">
        <v>41</v>
      </c>
      <c r="Z34" s="23">
        <v>33</v>
      </c>
      <c r="AA34" s="23">
        <v>41</v>
      </c>
      <c r="AB34" s="23">
        <v>33</v>
      </c>
      <c r="AC34" s="23">
        <v>41</v>
      </c>
      <c r="AD34" s="23">
        <v>33</v>
      </c>
      <c r="AE34" s="23">
        <v>41</v>
      </c>
      <c r="AF34" s="23">
        <v>33</v>
      </c>
      <c r="AG34" s="23">
        <v>41</v>
      </c>
      <c r="AH34" s="23">
        <v>33</v>
      </c>
      <c r="AI34" s="23">
        <v>41</v>
      </c>
      <c r="AJ34" s="23">
        <v>33</v>
      </c>
      <c r="AK34" s="23">
        <v>41</v>
      </c>
      <c r="AL34" s="23">
        <v>33</v>
      </c>
      <c r="AM34" s="23">
        <v>41</v>
      </c>
      <c r="AN34" s="23">
        <v>33</v>
      </c>
      <c r="AO34" s="23">
        <v>41</v>
      </c>
      <c r="AP34" s="23">
        <v>33</v>
      </c>
      <c r="AQ34" s="23">
        <v>41</v>
      </c>
      <c r="AR34" s="23">
        <v>33</v>
      </c>
      <c r="AS34" s="23">
        <v>41</v>
      </c>
      <c r="AT34" s="23">
        <v>33</v>
      </c>
      <c r="AU34" s="23">
        <v>41</v>
      </c>
      <c r="AV34" s="23">
        <v>33</v>
      </c>
      <c r="AW34" s="23">
        <v>41</v>
      </c>
      <c r="AX34" s="23">
        <v>33</v>
      </c>
      <c r="AY34" s="23">
        <v>41</v>
      </c>
      <c r="AZ34" s="23">
        <v>33</v>
      </c>
      <c r="BA34" s="23">
        <v>41</v>
      </c>
      <c r="BB34" s="23">
        <v>33</v>
      </c>
      <c r="BC34" s="23">
        <v>41</v>
      </c>
      <c r="BD34" s="23">
        <v>33</v>
      </c>
      <c r="BE34" s="15">
        <v>41</v>
      </c>
      <c r="BF34" s="88">
        <v>33</v>
      </c>
      <c r="BG34" s="12"/>
      <c r="BH34" s="150" t="s">
        <v>80</v>
      </c>
      <c r="BI34" s="151"/>
      <c r="BJ34" s="46">
        <f t="shared" si="6"/>
        <v>26</v>
      </c>
      <c r="BK34" s="40" t="e">
        <f>SUM(#REF!)</f>
        <v>#REF!</v>
      </c>
      <c r="BL34" s="73">
        <f>'detail par semaine'!AZ31</f>
        <v>0</v>
      </c>
      <c r="BM34" s="73">
        <f>'detail par semaine'!BN31</f>
        <v>0</v>
      </c>
      <c r="BN34" s="73"/>
      <c r="BO34" s="73"/>
      <c r="BP34" s="73"/>
      <c r="BQ34" s="76"/>
      <c r="BR34" s="44"/>
      <c r="BT34" s="79">
        <f t="shared" si="4"/>
        <v>94</v>
      </c>
    </row>
    <row r="35" spans="1:72" s="1" customFormat="1" ht="25.25" customHeight="1" x14ac:dyDescent="0.2">
      <c r="A35" s="70" t="e">
        <f>IF(B35=#REF!,"OK","NON")</f>
        <v>#REF!</v>
      </c>
      <c r="B35" s="10" t="s">
        <v>130</v>
      </c>
      <c r="C35" s="49" t="s">
        <v>82</v>
      </c>
      <c r="D35" s="33">
        <v>37</v>
      </c>
      <c r="E35" s="45">
        <v>8.69</v>
      </c>
      <c r="F35" s="23">
        <v>33</v>
      </c>
      <c r="G35" s="23">
        <v>41</v>
      </c>
      <c r="H35" s="23">
        <v>33</v>
      </c>
      <c r="I35" s="23">
        <v>41</v>
      </c>
      <c r="J35" s="23">
        <v>33</v>
      </c>
      <c r="K35" s="23">
        <v>41</v>
      </c>
      <c r="L35" s="23">
        <v>33</v>
      </c>
      <c r="M35" s="23">
        <v>41</v>
      </c>
      <c r="N35" s="23">
        <v>33</v>
      </c>
      <c r="O35" s="23">
        <v>41</v>
      </c>
      <c r="P35" s="23">
        <v>33</v>
      </c>
      <c r="Q35" s="23">
        <v>41</v>
      </c>
      <c r="R35" s="23">
        <v>33</v>
      </c>
      <c r="S35" s="23">
        <v>41</v>
      </c>
      <c r="T35" s="23">
        <v>33</v>
      </c>
      <c r="U35" s="23">
        <v>41</v>
      </c>
      <c r="V35" s="23">
        <v>33</v>
      </c>
      <c r="W35" s="23">
        <v>41</v>
      </c>
      <c r="X35" s="23">
        <v>33</v>
      </c>
      <c r="Y35" s="23">
        <v>41</v>
      </c>
      <c r="Z35" s="23">
        <v>33</v>
      </c>
      <c r="AA35" s="23">
        <v>41</v>
      </c>
      <c r="AB35" s="23">
        <v>33</v>
      </c>
      <c r="AC35" s="23">
        <v>41</v>
      </c>
      <c r="AD35" s="23">
        <v>33</v>
      </c>
      <c r="AE35" s="23">
        <v>41</v>
      </c>
      <c r="AF35" s="23">
        <v>33</v>
      </c>
      <c r="AG35" s="23">
        <v>41</v>
      </c>
      <c r="AH35" s="23">
        <v>33</v>
      </c>
      <c r="AI35" s="23">
        <v>41</v>
      </c>
      <c r="AJ35" s="23">
        <v>33</v>
      </c>
      <c r="AK35" s="23">
        <v>41</v>
      </c>
      <c r="AL35" s="23">
        <v>33</v>
      </c>
      <c r="AM35" s="23">
        <v>41</v>
      </c>
      <c r="AN35" s="23">
        <v>33</v>
      </c>
      <c r="AO35" s="23">
        <v>41</v>
      </c>
      <c r="AP35" s="23">
        <v>33</v>
      </c>
      <c r="AQ35" s="23">
        <v>41</v>
      </c>
      <c r="AR35" s="23">
        <v>33</v>
      </c>
      <c r="AS35" s="23">
        <v>41</v>
      </c>
      <c r="AT35" s="23">
        <v>33</v>
      </c>
      <c r="AU35" s="23">
        <v>41</v>
      </c>
      <c r="AV35" s="23">
        <v>33</v>
      </c>
      <c r="AW35" s="23">
        <v>41</v>
      </c>
      <c r="AX35" s="23">
        <v>33</v>
      </c>
      <c r="AY35" s="23">
        <v>41</v>
      </c>
      <c r="AZ35" s="23">
        <v>33</v>
      </c>
      <c r="BA35" s="23">
        <v>41</v>
      </c>
      <c r="BB35" s="23">
        <v>33</v>
      </c>
      <c r="BC35" s="23">
        <v>41</v>
      </c>
      <c r="BD35" s="23">
        <v>33</v>
      </c>
      <c r="BE35" s="15">
        <v>41</v>
      </c>
      <c r="BF35" s="88">
        <v>33</v>
      </c>
      <c r="BG35" s="12"/>
      <c r="BH35" s="150" t="s">
        <v>130</v>
      </c>
      <c r="BI35" s="151"/>
      <c r="BJ35" s="46"/>
      <c r="BK35" s="40"/>
      <c r="BL35" s="73">
        <f>'detail par semaine'!AZ32</f>
        <v>0</v>
      </c>
      <c r="BM35" s="73">
        <f>'detail par semaine'!BN32</f>
        <v>0</v>
      </c>
      <c r="BN35" s="73"/>
      <c r="BO35" s="73"/>
      <c r="BP35" s="73"/>
      <c r="BQ35" s="76"/>
      <c r="BR35" s="44"/>
      <c r="BT35" s="79">
        <f t="shared" si="4"/>
        <v>94</v>
      </c>
    </row>
    <row r="36" spans="1:72" s="1" customFormat="1" ht="25.25" customHeight="1" x14ac:dyDescent="0.2">
      <c r="A36" s="70" t="e">
        <f>IF(B36=#REF!,"OK","NON")</f>
        <v>#REF!</v>
      </c>
      <c r="B36" s="10" t="s">
        <v>128</v>
      </c>
      <c r="C36" s="49" t="s">
        <v>82</v>
      </c>
      <c r="D36" s="33">
        <v>37</v>
      </c>
      <c r="E36" s="45">
        <v>5.69</v>
      </c>
      <c r="F36" s="23">
        <v>41</v>
      </c>
      <c r="G36" s="23">
        <v>39</v>
      </c>
      <c r="H36" s="23">
        <v>38</v>
      </c>
      <c r="I36" s="23">
        <v>40.75</v>
      </c>
      <c r="J36" s="23">
        <v>33</v>
      </c>
      <c r="K36" s="23">
        <v>41</v>
      </c>
      <c r="L36" s="23">
        <v>33</v>
      </c>
      <c r="M36" s="23">
        <v>41</v>
      </c>
      <c r="N36" s="23">
        <v>33</v>
      </c>
      <c r="O36" s="23">
        <v>41</v>
      </c>
      <c r="P36" s="23">
        <v>33</v>
      </c>
      <c r="Q36" s="23">
        <v>41</v>
      </c>
      <c r="R36" s="23">
        <v>33</v>
      </c>
      <c r="S36" s="23">
        <v>41</v>
      </c>
      <c r="T36" s="23">
        <v>33</v>
      </c>
      <c r="U36" s="23">
        <v>41</v>
      </c>
      <c r="V36" s="23">
        <v>33</v>
      </c>
      <c r="W36" s="23">
        <v>41</v>
      </c>
      <c r="X36" s="23">
        <v>33</v>
      </c>
      <c r="Y36" s="23">
        <v>41</v>
      </c>
      <c r="Z36" s="23">
        <v>33</v>
      </c>
      <c r="AA36" s="23">
        <v>41</v>
      </c>
      <c r="AB36" s="23">
        <v>33</v>
      </c>
      <c r="AC36" s="23">
        <v>41</v>
      </c>
      <c r="AD36" s="23">
        <v>33</v>
      </c>
      <c r="AE36" s="23">
        <v>41</v>
      </c>
      <c r="AF36" s="23">
        <v>33</v>
      </c>
      <c r="AG36" s="23">
        <v>41</v>
      </c>
      <c r="AH36" s="23">
        <v>33</v>
      </c>
      <c r="AI36" s="23">
        <v>41</v>
      </c>
      <c r="AJ36" s="23">
        <v>33</v>
      </c>
      <c r="AK36" s="23">
        <v>41</v>
      </c>
      <c r="AL36" s="23">
        <v>33</v>
      </c>
      <c r="AM36" s="23">
        <v>41</v>
      </c>
      <c r="AN36" s="23">
        <v>33</v>
      </c>
      <c r="AO36" s="23">
        <v>41</v>
      </c>
      <c r="AP36" s="23">
        <v>33</v>
      </c>
      <c r="AQ36" s="23">
        <v>41</v>
      </c>
      <c r="AR36" s="23">
        <v>33</v>
      </c>
      <c r="AS36" s="23">
        <v>41</v>
      </c>
      <c r="AT36" s="23">
        <v>33</v>
      </c>
      <c r="AU36" s="23">
        <v>41</v>
      </c>
      <c r="AV36" s="23">
        <v>33</v>
      </c>
      <c r="AW36" s="23">
        <v>41</v>
      </c>
      <c r="AX36" s="23">
        <v>33</v>
      </c>
      <c r="AY36" s="23">
        <v>41</v>
      </c>
      <c r="AZ36" s="23">
        <v>33</v>
      </c>
      <c r="BA36" s="23">
        <v>41</v>
      </c>
      <c r="BB36" s="23">
        <v>33</v>
      </c>
      <c r="BC36" s="23">
        <v>41</v>
      </c>
      <c r="BD36" s="23">
        <v>33</v>
      </c>
      <c r="BE36" s="15">
        <v>41</v>
      </c>
      <c r="BF36" s="88">
        <v>33</v>
      </c>
      <c r="BG36" s="12"/>
      <c r="BH36" s="150" t="s">
        <v>128</v>
      </c>
      <c r="BI36" s="151"/>
      <c r="BJ36" s="46"/>
      <c r="BK36" s="40"/>
      <c r="BL36" s="73">
        <f>'detail par semaine'!AZ33</f>
        <v>5.9375</v>
      </c>
      <c r="BM36" s="73">
        <f>'detail par semaine'!BN33</f>
        <v>0</v>
      </c>
      <c r="BN36" s="73"/>
      <c r="BO36" s="73"/>
      <c r="BP36" s="73"/>
      <c r="BQ36" s="76"/>
      <c r="BR36" s="44"/>
      <c r="BT36" s="79">
        <f t="shared" si="4"/>
        <v>99.9375</v>
      </c>
    </row>
    <row r="37" spans="1:72" s="1" customFormat="1" ht="25.25" customHeight="1" x14ac:dyDescent="0.2">
      <c r="A37" s="70" t="e">
        <f>IF(B37=#REF!,"OK","NON")</f>
        <v>#REF!</v>
      </c>
      <c r="B37" s="10" t="s">
        <v>35</v>
      </c>
      <c r="C37" s="49" t="s">
        <v>110</v>
      </c>
      <c r="D37" s="33">
        <v>39</v>
      </c>
      <c r="E37" s="45">
        <v>0</v>
      </c>
      <c r="F37" s="23">
        <v>39</v>
      </c>
      <c r="G37" s="23">
        <v>39</v>
      </c>
      <c r="H37" s="23">
        <v>39</v>
      </c>
      <c r="I37" s="23">
        <v>39</v>
      </c>
      <c r="J37" s="23">
        <v>39</v>
      </c>
      <c r="K37" s="23">
        <v>39</v>
      </c>
      <c r="L37" s="23">
        <v>39</v>
      </c>
      <c r="M37" s="23">
        <v>39</v>
      </c>
      <c r="N37" s="23">
        <v>39</v>
      </c>
      <c r="O37" s="23">
        <v>39</v>
      </c>
      <c r="P37" s="23">
        <v>39</v>
      </c>
      <c r="Q37" s="23">
        <v>39</v>
      </c>
      <c r="R37" s="23">
        <v>39</v>
      </c>
      <c r="S37" s="23">
        <v>39</v>
      </c>
      <c r="T37" s="23">
        <v>39</v>
      </c>
      <c r="U37" s="23">
        <v>39</v>
      </c>
      <c r="V37" s="23">
        <v>39</v>
      </c>
      <c r="W37" s="23">
        <v>39</v>
      </c>
      <c r="X37" s="23">
        <v>39</v>
      </c>
      <c r="Y37" s="23">
        <v>39</v>
      </c>
      <c r="Z37" s="23">
        <v>39</v>
      </c>
      <c r="AA37" s="23">
        <v>39</v>
      </c>
      <c r="AB37" s="23">
        <v>39</v>
      </c>
      <c r="AC37" s="23">
        <v>39</v>
      </c>
      <c r="AD37" s="23">
        <v>39</v>
      </c>
      <c r="AE37" s="23">
        <v>39</v>
      </c>
      <c r="AF37" s="23">
        <v>39</v>
      </c>
      <c r="AG37" s="23">
        <v>39</v>
      </c>
      <c r="AH37" s="23">
        <v>39</v>
      </c>
      <c r="AI37" s="23">
        <v>39</v>
      </c>
      <c r="AJ37" s="23">
        <v>39</v>
      </c>
      <c r="AK37" s="23">
        <v>39</v>
      </c>
      <c r="AL37" s="23">
        <v>39</v>
      </c>
      <c r="AM37" s="23">
        <v>39</v>
      </c>
      <c r="AN37" s="23">
        <v>39</v>
      </c>
      <c r="AO37" s="23">
        <v>39</v>
      </c>
      <c r="AP37" s="23">
        <v>39</v>
      </c>
      <c r="AQ37" s="23">
        <v>39</v>
      </c>
      <c r="AR37" s="23">
        <v>39</v>
      </c>
      <c r="AS37" s="23">
        <v>39</v>
      </c>
      <c r="AT37" s="23">
        <v>39</v>
      </c>
      <c r="AU37" s="23">
        <v>39</v>
      </c>
      <c r="AV37" s="23">
        <v>39</v>
      </c>
      <c r="AW37" s="23">
        <v>39</v>
      </c>
      <c r="AX37" s="23">
        <v>39</v>
      </c>
      <c r="AY37" s="23">
        <v>39</v>
      </c>
      <c r="AZ37" s="23">
        <v>39</v>
      </c>
      <c r="BA37" s="23">
        <v>39</v>
      </c>
      <c r="BB37" s="23">
        <v>39</v>
      </c>
      <c r="BC37" s="23">
        <v>39</v>
      </c>
      <c r="BD37" s="23">
        <v>39</v>
      </c>
      <c r="BE37" s="23">
        <v>39</v>
      </c>
      <c r="BF37" s="88">
        <v>39</v>
      </c>
      <c r="BG37" s="12"/>
      <c r="BH37" s="150" t="str">
        <f>+B37</f>
        <v>RECCHIA Laetitia</v>
      </c>
      <c r="BI37" s="151"/>
      <c r="BJ37" s="46">
        <f t="shared" ref="BJ37:BJ48" si="7">COUNTIF(F37:BF37,"&gt;"&amp;D37)</f>
        <v>0</v>
      </c>
      <c r="BK37" s="40" t="e">
        <f>SUM(#REF!)</f>
        <v>#REF!</v>
      </c>
      <c r="BL37" s="73">
        <f>'detail par semaine'!AZ34</f>
        <v>0</v>
      </c>
      <c r="BM37" s="73">
        <f>'detail par semaine'!BN34</f>
        <v>0</v>
      </c>
      <c r="BN37" s="73"/>
      <c r="BO37" s="73"/>
      <c r="BP37" s="73"/>
      <c r="BQ37" s="76"/>
      <c r="BR37" s="44"/>
      <c r="BT37" s="80">
        <f t="shared" si="4"/>
        <v>94</v>
      </c>
    </row>
    <row r="38" spans="1:72" s="1" customFormat="1" ht="25.25" customHeight="1" x14ac:dyDescent="0.2">
      <c r="A38" s="70" t="e">
        <f>IF(B38=#REF!,"OK","NON")</f>
        <v>#REF!</v>
      </c>
      <c r="B38" s="10" t="s">
        <v>69</v>
      </c>
      <c r="C38" s="49" t="s">
        <v>82</v>
      </c>
      <c r="D38" s="33">
        <v>37</v>
      </c>
      <c r="E38" s="45">
        <v>13.63</v>
      </c>
      <c r="F38" s="23">
        <v>41</v>
      </c>
      <c r="G38" s="23">
        <v>33</v>
      </c>
      <c r="H38" s="23">
        <v>41</v>
      </c>
      <c r="I38" s="23">
        <v>33</v>
      </c>
      <c r="J38" s="23">
        <v>41</v>
      </c>
      <c r="K38" s="23">
        <v>33</v>
      </c>
      <c r="L38" s="23">
        <v>41</v>
      </c>
      <c r="M38" s="23">
        <v>33</v>
      </c>
      <c r="N38" s="23">
        <v>41</v>
      </c>
      <c r="O38" s="23">
        <v>33</v>
      </c>
      <c r="P38" s="23">
        <v>41</v>
      </c>
      <c r="Q38" s="23">
        <v>33</v>
      </c>
      <c r="R38" s="23">
        <v>41</v>
      </c>
      <c r="S38" s="23">
        <v>33</v>
      </c>
      <c r="T38" s="23">
        <v>41</v>
      </c>
      <c r="U38" s="23">
        <v>33</v>
      </c>
      <c r="V38" s="23">
        <v>41</v>
      </c>
      <c r="W38" s="23">
        <v>33</v>
      </c>
      <c r="X38" s="23">
        <v>41</v>
      </c>
      <c r="Y38" s="23">
        <v>33</v>
      </c>
      <c r="Z38" s="23">
        <v>41</v>
      </c>
      <c r="AA38" s="23">
        <v>33</v>
      </c>
      <c r="AB38" s="23">
        <v>41</v>
      </c>
      <c r="AC38" s="23">
        <v>33</v>
      </c>
      <c r="AD38" s="23">
        <v>41</v>
      </c>
      <c r="AE38" s="23">
        <v>33</v>
      </c>
      <c r="AF38" s="23">
        <v>41</v>
      </c>
      <c r="AG38" s="23">
        <v>33</v>
      </c>
      <c r="AH38" s="23">
        <v>41</v>
      </c>
      <c r="AI38" s="23">
        <v>33</v>
      </c>
      <c r="AJ38" s="23">
        <v>41</v>
      </c>
      <c r="AK38" s="23">
        <v>33</v>
      </c>
      <c r="AL38" s="23">
        <v>41</v>
      </c>
      <c r="AM38" s="23">
        <v>33</v>
      </c>
      <c r="AN38" s="23">
        <v>41</v>
      </c>
      <c r="AO38" s="23">
        <v>33</v>
      </c>
      <c r="AP38" s="23">
        <v>41</v>
      </c>
      <c r="AQ38" s="23">
        <v>33</v>
      </c>
      <c r="AR38" s="23">
        <v>41</v>
      </c>
      <c r="AS38" s="23">
        <v>33</v>
      </c>
      <c r="AT38" s="23">
        <v>41</v>
      </c>
      <c r="AU38" s="23">
        <v>33</v>
      </c>
      <c r="AV38" s="23">
        <v>41</v>
      </c>
      <c r="AW38" s="23">
        <v>33</v>
      </c>
      <c r="AX38" s="23">
        <v>41</v>
      </c>
      <c r="AY38" s="23">
        <v>33</v>
      </c>
      <c r="AZ38" s="23">
        <v>41</v>
      </c>
      <c r="BA38" s="23">
        <v>33</v>
      </c>
      <c r="BB38" s="23">
        <v>41</v>
      </c>
      <c r="BC38" s="23">
        <v>33</v>
      </c>
      <c r="BD38" s="23">
        <v>41</v>
      </c>
      <c r="BE38" s="23">
        <v>33</v>
      </c>
      <c r="BF38" s="88">
        <v>41</v>
      </c>
      <c r="BG38" s="12"/>
      <c r="BH38" s="152" t="s">
        <v>69</v>
      </c>
      <c r="BI38" s="153"/>
      <c r="BJ38" s="46">
        <f t="shared" si="7"/>
        <v>27</v>
      </c>
      <c r="BK38" s="40" t="e">
        <f>SUM(#REF!)</f>
        <v>#REF!</v>
      </c>
      <c r="BL38" s="73">
        <f>'detail par semaine'!AZ35</f>
        <v>0</v>
      </c>
      <c r="BM38" s="73">
        <f>'detail par semaine'!BN35</f>
        <v>0</v>
      </c>
      <c r="BN38" s="73"/>
      <c r="BO38" s="73"/>
      <c r="BP38" s="73"/>
      <c r="BQ38" s="76"/>
      <c r="BR38" s="44"/>
      <c r="BT38" s="79">
        <f t="shared" si="4"/>
        <v>94</v>
      </c>
    </row>
    <row r="39" spans="1:72" s="1" customFormat="1" ht="25.25" customHeight="1" x14ac:dyDescent="0.2">
      <c r="A39" s="70" t="e">
        <f>IF(B39=#REF!,"OK","NON")</f>
        <v>#REF!</v>
      </c>
      <c r="B39" s="10" t="s">
        <v>70</v>
      </c>
      <c r="C39" s="49" t="s">
        <v>117</v>
      </c>
      <c r="D39" s="33">
        <v>39</v>
      </c>
      <c r="E39" s="45">
        <v>1.2400000000000047</v>
      </c>
      <c r="F39" s="23">
        <v>39</v>
      </c>
      <c r="G39" s="23">
        <v>39.75</v>
      </c>
      <c r="H39" s="23">
        <v>39.25</v>
      </c>
      <c r="I39" s="23">
        <v>39.75</v>
      </c>
      <c r="J39" s="23">
        <v>39</v>
      </c>
      <c r="K39" s="23">
        <v>39</v>
      </c>
      <c r="L39" s="23">
        <v>39</v>
      </c>
      <c r="M39" s="23">
        <v>39</v>
      </c>
      <c r="N39" s="23">
        <v>39</v>
      </c>
      <c r="O39" s="23">
        <v>39</v>
      </c>
      <c r="P39" s="23">
        <v>39</v>
      </c>
      <c r="Q39" s="23">
        <v>39</v>
      </c>
      <c r="R39" s="23">
        <v>39</v>
      </c>
      <c r="S39" s="23">
        <v>39</v>
      </c>
      <c r="T39" s="23">
        <v>39</v>
      </c>
      <c r="U39" s="23">
        <v>39</v>
      </c>
      <c r="V39" s="23">
        <v>39</v>
      </c>
      <c r="W39" s="23">
        <v>39</v>
      </c>
      <c r="X39" s="23">
        <v>39</v>
      </c>
      <c r="Y39" s="23">
        <v>39</v>
      </c>
      <c r="Z39" s="23">
        <v>39</v>
      </c>
      <c r="AA39" s="23">
        <v>39</v>
      </c>
      <c r="AB39" s="23">
        <v>39</v>
      </c>
      <c r="AC39" s="23">
        <v>39</v>
      </c>
      <c r="AD39" s="23">
        <v>39</v>
      </c>
      <c r="AE39" s="23">
        <v>39</v>
      </c>
      <c r="AF39" s="23">
        <v>39</v>
      </c>
      <c r="AG39" s="23">
        <v>39</v>
      </c>
      <c r="AH39" s="23">
        <v>39</v>
      </c>
      <c r="AI39" s="23">
        <v>39</v>
      </c>
      <c r="AJ39" s="23">
        <v>39</v>
      </c>
      <c r="AK39" s="23">
        <v>39</v>
      </c>
      <c r="AL39" s="23">
        <v>39</v>
      </c>
      <c r="AM39" s="23">
        <v>39</v>
      </c>
      <c r="AN39" s="23">
        <v>39</v>
      </c>
      <c r="AO39" s="23">
        <v>39</v>
      </c>
      <c r="AP39" s="23">
        <v>39</v>
      </c>
      <c r="AQ39" s="23">
        <v>39</v>
      </c>
      <c r="AR39" s="23">
        <v>39</v>
      </c>
      <c r="AS39" s="23">
        <v>39</v>
      </c>
      <c r="AT39" s="23">
        <v>39</v>
      </c>
      <c r="AU39" s="23">
        <v>39</v>
      </c>
      <c r="AV39" s="23">
        <v>39</v>
      </c>
      <c r="AW39" s="23">
        <v>39</v>
      </c>
      <c r="AX39" s="23">
        <v>39</v>
      </c>
      <c r="AY39" s="23">
        <v>39</v>
      </c>
      <c r="AZ39" s="23">
        <v>39</v>
      </c>
      <c r="BA39" s="23">
        <v>39</v>
      </c>
      <c r="BB39" s="23">
        <v>39</v>
      </c>
      <c r="BC39" s="23">
        <v>39</v>
      </c>
      <c r="BD39" s="23">
        <v>39</v>
      </c>
      <c r="BE39" s="23">
        <v>39</v>
      </c>
      <c r="BF39" s="88">
        <v>39</v>
      </c>
      <c r="BG39" s="12"/>
      <c r="BH39" s="152" t="s">
        <v>70</v>
      </c>
      <c r="BI39" s="153"/>
      <c r="BJ39" s="46">
        <f t="shared" si="7"/>
        <v>3</v>
      </c>
      <c r="BK39" s="40" t="e">
        <f>SUM(#REF!)</f>
        <v>#REF!</v>
      </c>
      <c r="BL39" s="73">
        <f>'detail par semaine'!AZ36</f>
        <v>1.25</v>
      </c>
      <c r="BM39" s="73">
        <f>'detail par semaine'!BN36</f>
        <v>0</v>
      </c>
      <c r="BN39" s="73"/>
      <c r="BO39" s="73"/>
      <c r="BP39" s="73"/>
      <c r="BQ39" s="76"/>
      <c r="BR39" s="44"/>
      <c r="BT39" s="80">
        <f t="shared" si="4"/>
        <v>95.25</v>
      </c>
    </row>
    <row r="40" spans="1:72" s="1" customFormat="1" ht="25.25" customHeight="1" x14ac:dyDescent="0.2">
      <c r="A40" s="70" t="e">
        <f>IF(B40=#REF!,"OK","NON")</f>
        <v>#REF!</v>
      </c>
      <c r="B40" s="10" t="s">
        <v>75</v>
      </c>
      <c r="C40" s="49" t="s">
        <v>82</v>
      </c>
      <c r="D40" s="33">
        <v>37</v>
      </c>
      <c r="E40" s="45">
        <v>13.999999999999996</v>
      </c>
      <c r="F40" s="23">
        <v>33</v>
      </c>
      <c r="G40" s="23">
        <v>39</v>
      </c>
      <c r="H40" s="23">
        <v>39</v>
      </c>
      <c r="I40" s="23">
        <v>39</v>
      </c>
      <c r="J40" s="23">
        <v>33</v>
      </c>
      <c r="K40" s="23">
        <v>41</v>
      </c>
      <c r="L40" s="23">
        <v>33</v>
      </c>
      <c r="M40" s="23">
        <v>41</v>
      </c>
      <c r="N40" s="23">
        <v>33</v>
      </c>
      <c r="O40" s="23">
        <v>41</v>
      </c>
      <c r="P40" s="23">
        <v>33</v>
      </c>
      <c r="Q40" s="23">
        <v>41</v>
      </c>
      <c r="R40" s="23">
        <v>33</v>
      </c>
      <c r="S40" s="23">
        <v>41</v>
      </c>
      <c r="T40" s="23">
        <v>33</v>
      </c>
      <c r="U40" s="23">
        <v>41</v>
      </c>
      <c r="V40" s="23">
        <v>33</v>
      </c>
      <c r="W40" s="23">
        <v>41</v>
      </c>
      <c r="X40" s="23">
        <v>33</v>
      </c>
      <c r="Y40" s="23">
        <v>41</v>
      </c>
      <c r="Z40" s="23">
        <v>33</v>
      </c>
      <c r="AA40" s="23">
        <v>41</v>
      </c>
      <c r="AB40" s="23">
        <v>33</v>
      </c>
      <c r="AC40" s="23">
        <v>41</v>
      </c>
      <c r="AD40" s="23">
        <v>33</v>
      </c>
      <c r="AE40" s="23">
        <v>41</v>
      </c>
      <c r="AF40" s="23">
        <v>33</v>
      </c>
      <c r="AG40" s="23">
        <v>41</v>
      </c>
      <c r="AH40" s="23">
        <v>33</v>
      </c>
      <c r="AI40" s="23">
        <v>41</v>
      </c>
      <c r="AJ40" s="23">
        <v>33</v>
      </c>
      <c r="AK40" s="23">
        <v>41</v>
      </c>
      <c r="AL40" s="23">
        <v>33</v>
      </c>
      <c r="AM40" s="23">
        <v>41</v>
      </c>
      <c r="AN40" s="23">
        <v>33</v>
      </c>
      <c r="AO40" s="23">
        <v>41</v>
      </c>
      <c r="AP40" s="23">
        <v>33</v>
      </c>
      <c r="AQ40" s="23">
        <v>41</v>
      </c>
      <c r="AR40" s="23">
        <v>33</v>
      </c>
      <c r="AS40" s="23">
        <v>41</v>
      </c>
      <c r="AT40" s="23">
        <v>33</v>
      </c>
      <c r="AU40" s="23">
        <v>41</v>
      </c>
      <c r="AV40" s="23">
        <v>33</v>
      </c>
      <c r="AW40" s="23">
        <v>41</v>
      </c>
      <c r="AX40" s="23">
        <v>33</v>
      </c>
      <c r="AY40" s="23">
        <v>41</v>
      </c>
      <c r="AZ40" s="23">
        <v>33</v>
      </c>
      <c r="BA40" s="23">
        <v>41</v>
      </c>
      <c r="BB40" s="23">
        <v>33</v>
      </c>
      <c r="BC40" s="23">
        <v>41</v>
      </c>
      <c r="BD40" s="23">
        <v>33</v>
      </c>
      <c r="BE40" s="15">
        <v>41</v>
      </c>
      <c r="BF40" s="88">
        <v>33</v>
      </c>
      <c r="BG40" s="12"/>
      <c r="BH40" s="150" t="s">
        <v>75</v>
      </c>
      <c r="BI40" s="151"/>
      <c r="BJ40" s="46">
        <f t="shared" si="7"/>
        <v>27</v>
      </c>
      <c r="BK40" s="40" t="e">
        <f>SUM(#REF!)</f>
        <v>#REF!</v>
      </c>
      <c r="BL40" s="73">
        <f>'detail par semaine'!AZ37</f>
        <v>5</v>
      </c>
      <c r="BM40" s="73">
        <f>'detail par semaine'!BN37</f>
        <v>0</v>
      </c>
      <c r="BN40" s="73"/>
      <c r="BO40" s="73"/>
      <c r="BP40" s="73"/>
      <c r="BQ40" s="76"/>
      <c r="BR40" s="44"/>
      <c r="BT40" s="80">
        <f t="shared" si="4"/>
        <v>99</v>
      </c>
    </row>
    <row r="41" spans="1:72" s="1" customFormat="1" ht="25.25" customHeight="1" x14ac:dyDescent="0.2">
      <c r="A41" s="70" t="e">
        <f>IF(B41=#REF!,"OK","NON")</f>
        <v>#REF!</v>
      </c>
      <c r="B41" s="10" t="s">
        <v>37</v>
      </c>
      <c r="C41" s="49" t="s">
        <v>82</v>
      </c>
      <c r="D41" s="33">
        <v>37</v>
      </c>
      <c r="E41" s="45">
        <v>13.56</v>
      </c>
      <c r="F41" s="23">
        <v>41</v>
      </c>
      <c r="G41" s="23">
        <v>33</v>
      </c>
      <c r="H41" s="23">
        <v>41</v>
      </c>
      <c r="I41" s="23">
        <v>33</v>
      </c>
      <c r="J41" s="23">
        <v>41</v>
      </c>
      <c r="K41" s="23">
        <v>33</v>
      </c>
      <c r="L41" s="23">
        <v>41</v>
      </c>
      <c r="M41" s="23">
        <v>33</v>
      </c>
      <c r="N41" s="23">
        <v>41</v>
      </c>
      <c r="O41" s="23">
        <v>33</v>
      </c>
      <c r="P41" s="23">
        <v>41</v>
      </c>
      <c r="Q41" s="23">
        <v>33</v>
      </c>
      <c r="R41" s="23">
        <v>41</v>
      </c>
      <c r="S41" s="23">
        <v>33</v>
      </c>
      <c r="T41" s="23">
        <v>41</v>
      </c>
      <c r="U41" s="23">
        <v>33</v>
      </c>
      <c r="V41" s="23">
        <v>41</v>
      </c>
      <c r="W41" s="23">
        <v>33</v>
      </c>
      <c r="X41" s="23">
        <v>41</v>
      </c>
      <c r="Y41" s="23">
        <v>33</v>
      </c>
      <c r="Z41" s="23">
        <v>41</v>
      </c>
      <c r="AA41" s="23">
        <v>33</v>
      </c>
      <c r="AB41" s="23">
        <v>41</v>
      </c>
      <c r="AC41" s="23">
        <v>33</v>
      </c>
      <c r="AD41" s="23">
        <v>41</v>
      </c>
      <c r="AE41" s="23">
        <v>33</v>
      </c>
      <c r="AF41" s="23">
        <v>41</v>
      </c>
      <c r="AG41" s="23">
        <v>33</v>
      </c>
      <c r="AH41" s="23">
        <v>41</v>
      </c>
      <c r="AI41" s="23">
        <v>33</v>
      </c>
      <c r="AJ41" s="23">
        <v>41</v>
      </c>
      <c r="AK41" s="23">
        <v>33</v>
      </c>
      <c r="AL41" s="23">
        <v>41</v>
      </c>
      <c r="AM41" s="23">
        <v>33</v>
      </c>
      <c r="AN41" s="23">
        <v>41</v>
      </c>
      <c r="AO41" s="23">
        <v>33</v>
      </c>
      <c r="AP41" s="23">
        <v>41</v>
      </c>
      <c r="AQ41" s="23">
        <v>33</v>
      </c>
      <c r="AR41" s="23">
        <v>41</v>
      </c>
      <c r="AS41" s="23">
        <v>33</v>
      </c>
      <c r="AT41" s="23">
        <v>41</v>
      </c>
      <c r="AU41" s="23">
        <v>33</v>
      </c>
      <c r="AV41" s="23">
        <v>41</v>
      </c>
      <c r="AW41" s="23">
        <v>33</v>
      </c>
      <c r="AX41" s="23">
        <v>41</v>
      </c>
      <c r="AY41" s="23">
        <v>33</v>
      </c>
      <c r="AZ41" s="23">
        <v>41</v>
      </c>
      <c r="BA41" s="23">
        <v>33</v>
      </c>
      <c r="BB41" s="23">
        <v>41</v>
      </c>
      <c r="BC41" s="23">
        <v>33</v>
      </c>
      <c r="BD41" s="23">
        <v>41</v>
      </c>
      <c r="BE41" s="23">
        <v>33</v>
      </c>
      <c r="BF41" s="88">
        <v>41</v>
      </c>
      <c r="BG41" s="12"/>
      <c r="BH41" s="152" t="s">
        <v>37</v>
      </c>
      <c r="BI41" s="153"/>
      <c r="BJ41" s="41">
        <f t="shared" si="7"/>
        <v>27</v>
      </c>
      <c r="BK41" s="25" t="e">
        <f>SUM(#REF!)</f>
        <v>#REF!</v>
      </c>
      <c r="BL41" s="73">
        <f>'detail par semaine'!AZ38</f>
        <v>0</v>
      </c>
      <c r="BM41" s="73">
        <f>'detail par semaine'!BN38</f>
        <v>0</v>
      </c>
      <c r="BN41" s="73"/>
      <c r="BO41" s="73"/>
      <c r="BP41" s="73"/>
      <c r="BQ41" s="76"/>
      <c r="BR41" s="44"/>
      <c r="BT41" s="80">
        <f t="shared" si="4"/>
        <v>94</v>
      </c>
    </row>
    <row r="42" spans="1:72" s="1" customFormat="1" ht="25.25" customHeight="1" x14ac:dyDescent="0.2">
      <c r="A42" s="70" t="e">
        <f>IF(B42=#REF!,"OK","NON")</f>
        <v>#REF!</v>
      </c>
      <c r="B42" s="10" t="s">
        <v>73</v>
      </c>
      <c r="C42" s="49" t="s">
        <v>82</v>
      </c>
      <c r="D42" s="33">
        <v>37</v>
      </c>
      <c r="E42" s="45">
        <v>15</v>
      </c>
      <c r="F42" s="23">
        <v>33</v>
      </c>
      <c r="G42" s="23">
        <v>41.25</v>
      </c>
      <c r="H42" s="23">
        <v>33</v>
      </c>
      <c r="I42" s="23">
        <v>41</v>
      </c>
      <c r="J42" s="23">
        <v>33</v>
      </c>
      <c r="K42" s="23">
        <v>41</v>
      </c>
      <c r="L42" s="23">
        <v>33</v>
      </c>
      <c r="M42" s="23">
        <v>41</v>
      </c>
      <c r="N42" s="23">
        <v>33</v>
      </c>
      <c r="O42" s="23">
        <v>41</v>
      </c>
      <c r="P42" s="23">
        <v>33</v>
      </c>
      <c r="Q42" s="23">
        <v>41</v>
      </c>
      <c r="R42" s="23">
        <v>33</v>
      </c>
      <c r="S42" s="23">
        <v>41</v>
      </c>
      <c r="T42" s="23">
        <v>33</v>
      </c>
      <c r="U42" s="23">
        <v>41</v>
      </c>
      <c r="V42" s="23">
        <v>33</v>
      </c>
      <c r="W42" s="23">
        <v>41</v>
      </c>
      <c r="X42" s="23">
        <v>33</v>
      </c>
      <c r="Y42" s="23">
        <v>41</v>
      </c>
      <c r="Z42" s="23">
        <v>33</v>
      </c>
      <c r="AA42" s="23">
        <v>41</v>
      </c>
      <c r="AB42" s="23">
        <v>33</v>
      </c>
      <c r="AC42" s="23">
        <v>41</v>
      </c>
      <c r="AD42" s="23">
        <v>33</v>
      </c>
      <c r="AE42" s="23">
        <v>41</v>
      </c>
      <c r="AF42" s="23">
        <v>33</v>
      </c>
      <c r="AG42" s="23">
        <v>41</v>
      </c>
      <c r="AH42" s="23">
        <v>33</v>
      </c>
      <c r="AI42" s="23">
        <v>41</v>
      </c>
      <c r="AJ42" s="23">
        <v>33</v>
      </c>
      <c r="AK42" s="23">
        <v>41</v>
      </c>
      <c r="AL42" s="23">
        <v>33</v>
      </c>
      <c r="AM42" s="23">
        <v>41</v>
      </c>
      <c r="AN42" s="23">
        <v>33</v>
      </c>
      <c r="AO42" s="23">
        <v>41</v>
      </c>
      <c r="AP42" s="23">
        <v>33</v>
      </c>
      <c r="AQ42" s="23">
        <v>41</v>
      </c>
      <c r="AR42" s="23">
        <v>33</v>
      </c>
      <c r="AS42" s="23">
        <v>41</v>
      </c>
      <c r="AT42" s="23">
        <v>33</v>
      </c>
      <c r="AU42" s="23">
        <v>41</v>
      </c>
      <c r="AV42" s="23">
        <v>33</v>
      </c>
      <c r="AW42" s="23">
        <v>41</v>
      </c>
      <c r="AX42" s="23">
        <v>33</v>
      </c>
      <c r="AY42" s="23">
        <v>41</v>
      </c>
      <c r="AZ42" s="23">
        <v>33</v>
      </c>
      <c r="BA42" s="23">
        <v>41</v>
      </c>
      <c r="BB42" s="23">
        <v>33</v>
      </c>
      <c r="BC42" s="23">
        <v>41</v>
      </c>
      <c r="BD42" s="23">
        <v>33</v>
      </c>
      <c r="BE42" s="15">
        <v>41</v>
      </c>
      <c r="BF42" s="88">
        <v>33</v>
      </c>
      <c r="BG42" s="12"/>
      <c r="BH42" s="150" t="s">
        <v>73</v>
      </c>
      <c r="BI42" s="151"/>
      <c r="BJ42" s="41">
        <f t="shared" si="7"/>
        <v>26</v>
      </c>
      <c r="BK42" s="25" t="e">
        <f>SUM(#REF!)</f>
        <v>#REF!</v>
      </c>
      <c r="BL42" s="73">
        <f>'detail par semaine'!AZ39</f>
        <v>0</v>
      </c>
      <c r="BM42" s="73">
        <f>'detail par semaine'!BN39</f>
        <v>0</v>
      </c>
      <c r="BN42" s="73"/>
      <c r="BO42" s="73"/>
      <c r="BP42" s="73"/>
      <c r="BQ42" s="76"/>
      <c r="BR42" s="44"/>
      <c r="BT42" s="80">
        <f t="shared" si="4"/>
        <v>94</v>
      </c>
    </row>
    <row r="43" spans="1:72" s="1" customFormat="1" ht="25.25" customHeight="1" x14ac:dyDescent="0.2">
      <c r="A43" s="70" t="e">
        <f>IF(B43=#REF!,"OK","NON")</f>
        <v>#REF!</v>
      </c>
      <c r="B43" s="10" t="s">
        <v>48</v>
      </c>
      <c r="C43" s="49" t="s">
        <v>82</v>
      </c>
      <c r="D43" s="33">
        <v>37</v>
      </c>
      <c r="E43" s="45">
        <v>13.42</v>
      </c>
      <c r="F43" s="23">
        <v>33</v>
      </c>
      <c r="G43" s="23">
        <v>41</v>
      </c>
      <c r="H43" s="23">
        <v>33</v>
      </c>
      <c r="I43" s="23">
        <v>41</v>
      </c>
      <c r="J43" s="23">
        <v>33</v>
      </c>
      <c r="K43" s="23">
        <v>41</v>
      </c>
      <c r="L43" s="23">
        <v>33</v>
      </c>
      <c r="M43" s="23">
        <v>41</v>
      </c>
      <c r="N43" s="23">
        <v>33</v>
      </c>
      <c r="O43" s="23">
        <v>41</v>
      </c>
      <c r="P43" s="23">
        <v>33</v>
      </c>
      <c r="Q43" s="23">
        <v>41</v>
      </c>
      <c r="R43" s="23">
        <v>33</v>
      </c>
      <c r="S43" s="23">
        <v>41</v>
      </c>
      <c r="T43" s="23">
        <v>33</v>
      </c>
      <c r="U43" s="23">
        <v>41</v>
      </c>
      <c r="V43" s="23">
        <v>33</v>
      </c>
      <c r="W43" s="23">
        <v>41</v>
      </c>
      <c r="X43" s="23">
        <v>33</v>
      </c>
      <c r="Y43" s="23">
        <v>41</v>
      </c>
      <c r="Z43" s="23">
        <v>33</v>
      </c>
      <c r="AA43" s="23">
        <v>41</v>
      </c>
      <c r="AB43" s="23">
        <v>33</v>
      </c>
      <c r="AC43" s="23">
        <v>41</v>
      </c>
      <c r="AD43" s="23">
        <v>33</v>
      </c>
      <c r="AE43" s="23">
        <v>41</v>
      </c>
      <c r="AF43" s="23">
        <v>33</v>
      </c>
      <c r="AG43" s="23">
        <v>41</v>
      </c>
      <c r="AH43" s="23">
        <v>33</v>
      </c>
      <c r="AI43" s="23">
        <v>41</v>
      </c>
      <c r="AJ43" s="23">
        <v>33</v>
      </c>
      <c r="AK43" s="23">
        <v>41</v>
      </c>
      <c r="AL43" s="23">
        <v>33</v>
      </c>
      <c r="AM43" s="23">
        <v>41</v>
      </c>
      <c r="AN43" s="23">
        <v>33</v>
      </c>
      <c r="AO43" s="23">
        <v>41</v>
      </c>
      <c r="AP43" s="23">
        <v>33</v>
      </c>
      <c r="AQ43" s="23">
        <v>41</v>
      </c>
      <c r="AR43" s="23">
        <v>33</v>
      </c>
      <c r="AS43" s="23">
        <v>41</v>
      </c>
      <c r="AT43" s="23">
        <v>33</v>
      </c>
      <c r="AU43" s="23">
        <v>41</v>
      </c>
      <c r="AV43" s="23">
        <v>33</v>
      </c>
      <c r="AW43" s="23">
        <v>41</v>
      </c>
      <c r="AX43" s="23">
        <v>33</v>
      </c>
      <c r="AY43" s="23">
        <v>41</v>
      </c>
      <c r="AZ43" s="23">
        <v>33</v>
      </c>
      <c r="BA43" s="23">
        <v>41</v>
      </c>
      <c r="BB43" s="23">
        <v>33</v>
      </c>
      <c r="BC43" s="23">
        <v>41</v>
      </c>
      <c r="BD43" s="23">
        <v>33</v>
      </c>
      <c r="BE43" s="15">
        <v>41</v>
      </c>
      <c r="BF43" s="88">
        <v>33</v>
      </c>
      <c r="BG43" s="12"/>
      <c r="BH43" s="150" t="s">
        <v>48</v>
      </c>
      <c r="BI43" s="151"/>
      <c r="BJ43" s="41">
        <f t="shared" si="7"/>
        <v>26</v>
      </c>
      <c r="BK43" s="25" t="e">
        <f>SUM(#REF!)</f>
        <v>#REF!</v>
      </c>
      <c r="BL43" s="73">
        <f>'detail par semaine'!AZ40</f>
        <v>0</v>
      </c>
      <c r="BM43" s="73">
        <f>'detail par semaine'!BN40</f>
        <v>0</v>
      </c>
      <c r="BN43" s="73"/>
      <c r="BO43" s="73"/>
      <c r="BP43" s="73"/>
      <c r="BQ43" s="76"/>
      <c r="BR43" s="44"/>
      <c r="BT43" s="80">
        <f t="shared" si="4"/>
        <v>94</v>
      </c>
    </row>
    <row r="44" spans="1:72" s="1" customFormat="1" ht="25.25" customHeight="1" x14ac:dyDescent="0.2">
      <c r="A44" s="70" t="e">
        <f>IF(B44=#REF!,"OK","NON")</f>
        <v>#REF!</v>
      </c>
      <c r="B44" s="10" t="s">
        <v>42</v>
      </c>
      <c r="C44" s="49" t="s">
        <v>82</v>
      </c>
      <c r="D44" s="33">
        <v>37</v>
      </c>
      <c r="E44" s="45">
        <v>5.4824999999999973</v>
      </c>
      <c r="F44" s="23">
        <v>33</v>
      </c>
      <c r="G44" s="23">
        <v>41</v>
      </c>
      <c r="H44" s="23">
        <v>33</v>
      </c>
      <c r="I44" s="23">
        <v>41</v>
      </c>
      <c r="J44" s="23">
        <v>33</v>
      </c>
      <c r="K44" s="23">
        <v>41</v>
      </c>
      <c r="L44" s="23">
        <v>33</v>
      </c>
      <c r="M44" s="23">
        <v>41</v>
      </c>
      <c r="N44" s="23">
        <v>33</v>
      </c>
      <c r="O44" s="23">
        <v>41</v>
      </c>
      <c r="P44" s="23">
        <v>33</v>
      </c>
      <c r="Q44" s="23">
        <v>41</v>
      </c>
      <c r="R44" s="23">
        <v>33</v>
      </c>
      <c r="S44" s="23">
        <v>41</v>
      </c>
      <c r="T44" s="23">
        <v>33</v>
      </c>
      <c r="U44" s="23">
        <v>41</v>
      </c>
      <c r="V44" s="23">
        <v>33</v>
      </c>
      <c r="W44" s="23">
        <v>41</v>
      </c>
      <c r="X44" s="23">
        <v>33</v>
      </c>
      <c r="Y44" s="23">
        <v>41</v>
      </c>
      <c r="Z44" s="23">
        <v>33</v>
      </c>
      <c r="AA44" s="23">
        <v>41</v>
      </c>
      <c r="AB44" s="23">
        <v>33</v>
      </c>
      <c r="AC44" s="23">
        <v>41</v>
      </c>
      <c r="AD44" s="23">
        <v>33</v>
      </c>
      <c r="AE44" s="23">
        <v>41</v>
      </c>
      <c r="AF44" s="23">
        <v>33</v>
      </c>
      <c r="AG44" s="23">
        <v>41</v>
      </c>
      <c r="AH44" s="23">
        <v>33</v>
      </c>
      <c r="AI44" s="23">
        <v>41</v>
      </c>
      <c r="AJ44" s="23">
        <v>33</v>
      </c>
      <c r="AK44" s="23">
        <v>41</v>
      </c>
      <c r="AL44" s="23">
        <v>33</v>
      </c>
      <c r="AM44" s="23">
        <v>41</v>
      </c>
      <c r="AN44" s="23">
        <v>33</v>
      </c>
      <c r="AO44" s="23">
        <v>41</v>
      </c>
      <c r="AP44" s="23">
        <v>33</v>
      </c>
      <c r="AQ44" s="23">
        <v>41</v>
      </c>
      <c r="AR44" s="23">
        <v>33</v>
      </c>
      <c r="AS44" s="23">
        <v>41</v>
      </c>
      <c r="AT44" s="23">
        <v>33</v>
      </c>
      <c r="AU44" s="23">
        <v>41</v>
      </c>
      <c r="AV44" s="23">
        <v>33</v>
      </c>
      <c r="AW44" s="23">
        <v>41</v>
      </c>
      <c r="AX44" s="23">
        <v>33</v>
      </c>
      <c r="AY44" s="23">
        <v>41</v>
      </c>
      <c r="AZ44" s="23">
        <v>33</v>
      </c>
      <c r="BA44" s="23">
        <v>41</v>
      </c>
      <c r="BB44" s="23">
        <v>33</v>
      </c>
      <c r="BC44" s="23">
        <v>41</v>
      </c>
      <c r="BD44" s="23">
        <v>33</v>
      </c>
      <c r="BE44" s="15">
        <v>41</v>
      </c>
      <c r="BF44" s="88">
        <v>33</v>
      </c>
      <c r="BG44" s="12"/>
      <c r="BH44" s="150" t="s">
        <v>42</v>
      </c>
      <c r="BI44" s="151"/>
      <c r="BJ44" s="46">
        <f t="shared" si="7"/>
        <v>26</v>
      </c>
      <c r="BK44" s="40" t="e">
        <f>SUM(#REF!)</f>
        <v>#REF!</v>
      </c>
      <c r="BL44" s="73">
        <f>'detail par semaine'!AZ41</f>
        <v>0</v>
      </c>
      <c r="BM44" s="73">
        <f>'detail par semaine'!BN41</f>
        <v>0</v>
      </c>
      <c r="BN44" s="73"/>
      <c r="BO44" s="73"/>
      <c r="BP44" s="73"/>
      <c r="BQ44" s="76"/>
      <c r="BR44" s="44"/>
      <c r="BT44" s="80">
        <f t="shared" si="4"/>
        <v>94</v>
      </c>
    </row>
    <row r="45" spans="1:72" s="1" customFormat="1" ht="25.25" customHeight="1" x14ac:dyDescent="0.2">
      <c r="A45" s="70" t="e">
        <f>IF(B45=#REF!,"OK","NON")</f>
        <v>#REF!</v>
      </c>
      <c r="B45" s="10" t="s">
        <v>79</v>
      </c>
      <c r="C45" s="49" t="s">
        <v>82</v>
      </c>
      <c r="D45" s="33">
        <v>37</v>
      </c>
      <c r="E45" s="45">
        <v>0</v>
      </c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84"/>
      <c r="AL45" s="84"/>
      <c r="AM45" s="23"/>
      <c r="AN45" s="23"/>
      <c r="AO45" s="15"/>
      <c r="AP45" s="23"/>
      <c r="AQ45" s="23"/>
      <c r="AR45" s="23"/>
      <c r="AS45" s="23"/>
      <c r="AT45" s="23"/>
      <c r="AU45" s="23"/>
      <c r="AV45" s="15"/>
      <c r="AW45" s="23"/>
      <c r="AX45" s="23"/>
      <c r="AY45" s="23"/>
      <c r="AZ45" s="23"/>
      <c r="BA45" s="23"/>
      <c r="BB45" s="23"/>
      <c r="BC45" s="15"/>
      <c r="BD45" s="15"/>
      <c r="BE45" s="15"/>
      <c r="BF45" s="88"/>
      <c r="BG45" s="12"/>
      <c r="BH45" s="150" t="s">
        <v>79</v>
      </c>
      <c r="BI45" s="151"/>
      <c r="BJ45" s="46">
        <f t="shared" si="7"/>
        <v>0</v>
      </c>
      <c r="BK45" s="40" t="e">
        <f>SUM(#REF!)</f>
        <v>#REF!</v>
      </c>
      <c r="BL45" s="73">
        <f>'detail par semaine'!AZ42</f>
        <v>0</v>
      </c>
      <c r="BM45" s="73">
        <f>'detail par semaine'!BN42</f>
        <v>0</v>
      </c>
      <c r="BN45" s="73"/>
      <c r="BO45" s="73"/>
      <c r="BP45" s="73"/>
      <c r="BQ45" s="76"/>
      <c r="BR45" s="44"/>
      <c r="BT45" s="79">
        <f t="shared" si="4"/>
        <v>94</v>
      </c>
    </row>
    <row r="46" spans="1:72" s="1" customFormat="1" ht="25.25" customHeight="1" x14ac:dyDescent="0.2">
      <c r="A46" s="70" t="e">
        <f>IF(B46=#REF!,"OK","NON")</f>
        <v>#REF!</v>
      </c>
      <c r="B46" s="10" t="s">
        <v>84</v>
      </c>
      <c r="C46" s="49" t="s">
        <v>82</v>
      </c>
      <c r="D46" s="33">
        <v>37</v>
      </c>
      <c r="E46" s="45">
        <v>9.35</v>
      </c>
      <c r="F46" s="23">
        <v>33</v>
      </c>
      <c r="G46" s="23">
        <v>38</v>
      </c>
      <c r="H46" s="23">
        <v>38</v>
      </c>
      <c r="I46" s="23">
        <v>33</v>
      </c>
      <c r="J46" s="23">
        <v>41</v>
      </c>
      <c r="K46" s="23">
        <v>33</v>
      </c>
      <c r="L46" s="23">
        <v>41</v>
      </c>
      <c r="M46" s="23">
        <v>33</v>
      </c>
      <c r="N46" s="23">
        <v>41</v>
      </c>
      <c r="O46" s="23">
        <v>33</v>
      </c>
      <c r="P46" s="23">
        <v>41</v>
      </c>
      <c r="Q46" s="23">
        <v>33</v>
      </c>
      <c r="R46" s="23">
        <v>41</v>
      </c>
      <c r="S46" s="23">
        <v>33</v>
      </c>
      <c r="T46" s="23">
        <v>41</v>
      </c>
      <c r="U46" s="23">
        <v>33</v>
      </c>
      <c r="V46" s="23">
        <v>41</v>
      </c>
      <c r="W46" s="23">
        <v>33</v>
      </c>
      <c r="X46" s="23">
        <v>41</v>
      </c>
      <c r="Y46" s="23">
        <v>33</v>
      </c>
      <c r="Z46" s="23">
        <v>41</v>
      </c>
      <c r="AA46" s="23">
        <v>33</v>
      </c>
      <c r="AB46" s="23">
        <v>41</v>
      </c>
      <c r="AC46" s="23">
        <v>33</v>
      </c>
      <c r="AD46" s="23">
        <v>41</v>
      </c>
      <c r="AE46" s="23">
        <v>33</v>
      </c>
      <c r="AF46" s="23">
        <v>41</v>
      </c>
      <c r="AG46" s="23">
        <v>33</v>
      </c>
      <c r="AH46" s="23">
        <v>41</v>
      </c>
      <c r="AI46" s="23">
        <v>33</v>
      </c>
      <c r="AJ46" s="23">
        <v>41</v>
      </c>
      <c r="AK46" s="23">
        <v>33</v>
      </c>
      <c r="AL46" s="23">
        <v>41</v>
      </c>
      <c r="AM46" s="23">
        <v>33</v>
      </c>
      <c r="AN46" s="23">
        <v>41</v>
      </c>
      <c r="AO46" s="23">
        <v>33</v>
      </c>
      <c r="AP46" s="23">
        <v>41</v>
      </c>
      <c r="AQ46" s="23">
        <v>33</v>
      </c>
      <c r="AR46" s="23">
        <v>41</v>
      </c>
      <c r="AS46" s="23">
        <v>33</v>
      </c>
      <c r="AT46" s="23">
        <v>41</v>
      </c>
      <c r="AU46" s="23">
        <v>33</v>
      </c>
      <c r="AV46" s="23">
        <v>41</v>
      </c>
      <c r="AW46" s="23">
        <v>33</v>
      </c>
      <c r="AX46" s="23">
        <v>41</v>
      </c>
      <c r="AY46" s="23">
        <v>33</v>
      </c>
      <c r="AZ46" s="23">
        <v>41</v>
      </c>
      <c r="BA46" s="23">
        <v>33</v>
      </c>
      <c r="BB46" s="23">
        <v>41</v>
      </c>
      <c r="BC46" s="23">
        <v>33</v>
      </c>
      <c r="BD46" s="23">
        <v>41</v>
      </c>
      <c r="BE46" s="23">
        <v>33</v>
      </c>
      <c r="BF46" s="88">
        <v>41</v>
      </c>
      <c r="BG46" s="12"/>
      <c r="BH46" s="150" t="s">
        <v>84</v>
      </c>
      <c r="BI46" s="151"/>
      <c r="BJ46" s="46">
        <f t="shared" si="7"/>
        <v>27</v>
      </c>
      <c r="BK46" s="40" t="e">
        <f>SUM(#REF!)</f>
        <v>#REF!</v>
      </c>
      <c r="BL46" s="73">
        <f>'detail par semaine'!AZ43</f>
        <v>0</v>
      </c>
      <c r="BM46" s="73">
        <f>'detail par semaine'!BN43</f>
        <v>0</v>
      </c>
      <c r="BN46" s="73"/>
      <c r="BO46" s="73"/>
      <c r="BP46" s="73"/>
      <c r="BQ46" s="76"/>
      <c r="BR46" s="44"/>
      <c r="BT46" s="80">
        <f t="shared" si="4"/>
        <v>94</v>
      </c>
    </row>
    <row r="47" spans="1:72" s="1" customFormat="1" ht="25.25" customHeight="1" x14ac:dyDescent="0.2">
      <c r="A47" s="70" t="e">
        <f>IF(B47=#REF!,"OK","NON")</f>
        <v>#REF!</v>
      </c>
      <c r="B47" s="10" t="s">
        <v>71</v>
      </c>
      <c r="C47" s="49" t="s">
        <v>82</v>
      </c>
      <c r="D47" s="33">
        <v>37</v>
      </c>
      <c r="E47" s="45">
        <v>0</v>
      </c>
      <c r="F47" s="23">
        <v>41</v>
      </c>
      <c r="G47" s="23">
        <v>33</v>
      </c>
      <c r="H47" s="23">
        <v>41</v>
      </c>
      <c r="I47" s="23">
        <v>33</v>
      </c>
      <c r="J47" s="23">
        <v>41</v>
      </c>
      <c r="K47" s="23">
        <v>33</v>
      </c>
      <c r="L47" s="23">
        <v>41</v>
      </c>
      <c r="M47" s="23">
        <v>33</v>
      </c>
      <c r="N47" s="23">
        <v>41</v>
      </c>
      <c r="O47" s="23">
        <v>33</v>
      </c>
      <c r="P47" s="23">
        <v>41</v>
      </c>
      <c r="Q47" s="23">
        <v>33</v>
      </c>
      <c r="R47" s="23">
        <v>41</v>
      </c>
      <c r="S47" s="23">
        <v>33</v>
      </c>
      <c r="T47" s="23">
        <v>41</v>
      </c>
      <c r="U47" s="23">
        <v>33</v>
      </c>
      <c r="V47" s="23">
        <v>41</v>
      </c>
      <c r="W47" s="23">
        <v>33</v>
      </c>
      <c r="X47" s="23">
        <v>41</v>
      </c>
      <c r="Y47" s="23">
        <v>33</v>
      </c>
      <c r="Z47" s="23">
        <v>41</v>
      </c>
      <c r="AA47" s="23">
        <v>33</v>
      </c>
      <c r="AB47" s="23">
        <v>41</v>
      </c>
      <c r="AC47" s="23">
        <v>33</v>
      </c>
      <c r="AD47" s="23">
        <v>41</v>
      </c>
      <c r="AE47" s="23">
        <v>33</v>
      </c>
      <c r="AF47" s="23">
        <v>41</v>
      </c>
      <c r="AG47" s="23">
        <v>33</v>
      </c>
      <c r="AH47" s="23">
        <v>41</v>
      </c>
      <c r="AI47" s="23">
        <v>33</v>
      </c>
      <c r="AJ47" s="23">
        <v>41</v>
      </c>
      <c r="AK47" s="23">
        <v>33</v>
      </c>
      <c r="AL47" s="23">
        <v>41</v>
      </c>
      <c r="AM47" s="23">
        <v>33</v>
      </c>
      <c r="AN47" s="23">
        <v>41</v>
      </c>
      <c r="AO47" s="23">
        <v>33</v>
      </c>
      <c r="AP47" s="23">
        <v>41</v>
      </c>
      <c r="AQ47" s="23">
        <v>33</v>
      </c>
      <c r="AR47" s="23">
        <v>41</v>
      </c>
      <c r="AS47" s="23">
        <v>33</v>
      </c>
      <c r="AT47" s="23">
        <v>41</v>
      </c>
      <c r="AU47" s="23">
        <v>33</v>
      </c>
      <c r="AV47" s="23">
        <v>41</v>
      </c>
      <c r="AW47" s="23">
        <v>33</v>
      </c>
      <c r="AX47" s="23">
        <v>41</v>
      </c>
      <c r="AY47" s="23">
        <v>33</v>
      </c>
      <c r="AZ47" s="23">
        <v>41</v>
      </c>
      <c r="BA47" s="23">
        <v>33</v>
      </c>
      <c r="BB47" s="23">
        <v>41</v>
      </c>
      <c r="BC47" s="23">
        <v>33</v>
      </c>
      <c r="BD47" s="23">
        <v>41</v>
      </c>
      <c r="BE47" s="23">
        <v>33</v>
      </c>
      <c r="BF47" s="88">
        <v>41</v>
      </c>
      <c r="BG47" s="12"/>
      <c r="BH47" s="150" t="s">
        <v>71</v>
      </c>
      <c r="BI47" s="151"/>
      <c r="BJ47" s="41">
        <f t="shared" si="7"/>
        <v>27</v>
      </c>
      <c r="BK47" s="25" t="e">
        <f>SUM(#REF!)</f>
        <v>#REF!</v>
      </c>
      <c r="BL47" s="73">
        <f>'detail par semaine'!AZ44</f>
        <v>0</v>
      </c>
      <c r="BM47" s="73">
        <f>'detail par semaine'!BN44</f>
        <v>0</v>
      </c>
      <c r="BN47" s="73"/>
      <c r="BO47" s="73"/>
      <c r="BP47" s="73"/>
      <c r="BQ47" s="76"/>
      <c r="BR47" s="44"/>
      <c r="BT47" s="80">
        <f t="shared" si="4"/>
        <v>94</v>
      </c>
    </row>
    <row r="48" spans="1:72" s="1" customFormat="1" ht="25.25" customHeight="1" thickBot="1" x14ac:dyDescent="0.25">
      <c r="A48" s="70" t="e">
        <f>IF(B48=#REF!,"OK","NON")</f>
        <v>#REF!</v>
      </c>
      <c r="B48" s="11" t="s">
        <v>72</v>
      </c>
      <c r="C48" s="55" t="s">
        <v>82</v>
      </c>
      <c r="D48" s="35">
        <v>37</v>
      </c>
      <c r="E48" s="86">
        <v>11.81</v>
      </c>
      <c r="F48" s="23">
        <v>33</v>
      </c>
      <c r="G48" s="23">
        <v>33</v>
      </c>
      <c r="H48" s="23">
        <v>41</v>
      </c>
      <c r="I48" s="23">
        <v>33</v>
      </c>
      <c r="J48" s="23">
        <v>33</v>
      </c>
      <c r="K48" s="23">
        <v>41</v>
      </c>
      <c r="L48" s="23">
        <v>33</v>
      </c>
      <c r="M48" s="23">
        <v>41</v>
      </c>
      <c r="N48" s="23">
        <v>33</v>
      </c>
      <c r="O48" s="23">
        <v>41</v>
      </c>
      <c r="P48" s="23">
        <v>33</v>
      </c>
      <c r="Q48" s="23">
        <v>41</v>
      </c>
      <c r="R48" s="23">
        <v>33</v>
      </c>
      <c r="S48" s="23">
        <v>41</v>
      </c>
      <c r="T48" s="23">
        <v>33</v>
      </c>
      <c r="U48" s="23">
        <v>41</v>
      </c>
      <c r="V48" s="23">
        <v>33</v>
      </c>
      <c r="W48" s="23">
        <v>41</v>
      </c>
      <c r="X48" s="23">
        <v>33</v>
      </c>
      <c r="Y48" s="23">
        <v>41</v>
      </c>
      <c r="Z48" s="23">
        <v>33</v>
      </c>
      <c r="AA48" s="23">
        <v>41</v>
      </c>
      <c r="AB48" s="23">
        <v>33</v>
      </c>
      <c r="AC48" s="23">
        <v>41</v>
      </c>
      <c r="AD48" s="23">
        <v>33</v>
      </c>
      <c r="AE48" s="23">
        <v>41</v>
      </c>
      <c r="AF48" s="23">
        <v>33</v>
      </c>
      <c r="AG48" s="23">
        <v>41</v>
      </c>
      <c r="AH48" s="23">
        <v>33</v>
      </c>
      <c r="AI48" s="23">
        <v>41</v>
      </c>
      <c r="AJ48" s="23">
        <v>33</v>
      </c>
      <c r="AK48" s="23">
        <v>41</v>
      </c>
      <c r="AL48" s="23">
        <v>33</v>
      </c>
      <c r="AM48" s="23">
        <v>41</v>
      </c>
      <c r="AN48" s="23">
        <v>33</v>
      </c>
      <c r="AO48" s="23">
        <v>41</v>
      </c>
      <c r="AP48" s="23">
        <v>33</v>
      </c>
      <c r="AQ48" s="23">
        <v>41</v>
      </c>
      <c r="AR48" s="23">
        <v>33</v>
      </c>
      <c r="AS48" s="23">
        <v>41</v>
      </c>
      <c r="AT48" s="23">
        <v>33</v>
      </c>
      <c r="AU48" s="23">
        <v>41</v>
      </c>
      <c r="AV48" s="23">
        <v>33</v>
      </c>
      <c r="AW48" s="23">
        <v>41</v>
      </c>
      <c r="AX48" s="23">
        <v>33</v>
      </c>
      <c r="AY48" s="23">
        <v>41</v>
      </c>
      <c r="AZ48" s="23">
        <v>33</v>
      </c>
      <c r="BA48" s="23">
        <v>41</v>
      </c>
      <c r="BB48" s="23">
        <v>33</v>
      </c>
      <c r="BC48" s="23">
        <v>41</v>
      </c>
      <c r="BD48" s="23">
        <v>33</v>
      </c>
      <c r="BE48" s="15">
        <v>41</v>
      </c>
      <c r="BF48" s="88">
        <v>33</v>
      </c>
      <c r="BG48" s="12"/>
      <c r="BH48" s="136" t="s">
        <v>72</v>
      </c>
      <c r="BI48" s="137"/>
      <c r="BJ48" s="42">
        <f t="shared" si="7"/>
        <v>25</v>
      </c>
      <c r="BK48" s="43" t="e">
        <f>SUM(#REF!)</f>
        <v>#REF!</v>
      </c>
      <c r="BL48" s="73">
        <f>'detail par semaine'!AZ45</f>
        <v>0</v>
      </c>
      <c r="BM48" s="73">
        <f>'detail par semaine'!BN45</f>
        <v>0</v>
      </c>
      <c r="BN48" s="74"/>
      <c r="BO48" s="74"/>
      <c r="BP48" s="73"/>
      <c r="BQ48" s="77"/>
      <c r="BR48" s="44"/>
      <c r="BT48" s="81">
        <f t="shared" si="4"/>
        <v>94</v>
      </c>
    </row>
    <row r="49" spans="1:72" s="1" customFormat="1" ht="25.25" customHeight="1" thickBot="1" x14ac:dyDescent="0.2">
      <c r="A49" s="69"/>
      <c r="B49"/>
      <c r="C49"/>
      <c r="D49"/>
      <c r="E49" s="51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 s="7"/>
      <c r="AY49"/>
      <c r="AZ49"/>
      <c r="BA49"/>
      <c r="BB49"/>
      <c r="BC49"/>
      <c r="BD49"/>
      <c r="BE49"/>
      <c r="BF49"/>
      <c r="BH49"/>
      <c r="BI49"/>
      <c r="BO49" s="36"/>
    </row>
    <row r="50" spans="1:72" ht="25.25" customHeight="1" thickTop="1" x14ac:dyDescent="0.2">
      <c r="B50" s="12"/>
      <c r="C50" s="12"/>
      <c r="D50" s="12"/>
      <c r="E50" s="26"/>
      <c r="F50" s="22" t="s">
        <v>139</v>
      </c>
      <c r="G50" s="57"/>
      <c r="H50" s="57"/>
      <c r="I50" s="57"/>
      <c r="J50" s="57"/>
      <c r="K50" s="57"/>
      <c r="L50" s="57"/>
      <c r="M50" s="57"/>
      <c r="N50" s="58"/>
      <c r="O50" s="65"/>
      <c r="P50" s="65"/>
      <c r="Q50" s="65"/>
      <c r="R50" s="65"/>
      <c r="S50" s="65"/>
      <c r="T50" s="65"/>
      <c r="U50" s="65"/>
      <c r="V50" s="65"/>
      <c r="W50" s="65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3"/>
      <c r="AJ50" s="3"/>
      <c r="AK50" s="3"/>
      <c r="AL50" s="3"/>
      <c r="AM50" s="3"/>
      <c r="AN50" s="3"/>
      <c r="AO50" s="3"/>
      <c r="AP50" s="8"/>
      <c r="AQ50" s="3"/>
      <c r="AR50" s="3"/>
      <c r="AS50" s="3"/>
      <c r="AT50" s="3"/>
      <c r="AU50" s="3"/>
      <c r="AV50" s="3"/>
      <c r="AW50" s="3"/>
      <c r="AX50" s="6"/>
      <c r="AY50" s="3"/>
      <c r="AZ50" s="3"/>
      <c r="BA50" s="3"/>
      <c r="BB50" s="3"/>
      <c r="BC50" s="3"/>
      <c r="BD50" s="3"/>
      <c r="BE50" s="3"/>
      <c r="BF50" s="1"/>
    </row>
    <row r="51" spans="1:72" s="1" customFormat="1" ht="25.25" customHeight="1" x14ac:dyDescent="0.15">
      <c r="A51" s="69"/>
      <c r="B51" s="16"/>
      <c r="C51" s="16"/>
      <c r="D51" s="16"/>
      <c r="E51" s="52"/>
      <c r="F51" s="59"/>
      <c r="G51" s="21" t="s">
        <v>134</v>
      </c>
      <c r="H51" s="28"/>
      <c r="I51" s="28"/>
      <c r="J51" s="28"/>
      <c r="K51" s="28"/>
      <c r="L51" s="28"/>
      <c r="M51" s="28"/>
      <c r="N51" s="60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9"/>
      <c r="AY51" s="16"/>
      <c r="AZ51" s="16"/>
      <c r="BA51" s="16"/>
      <c r="BB51" s="16"/>
      <c r="BC51" s="16"/>
      <c r="BD51" s="16"/>
      <c r="BE51" s="16"/>
      <c r="BF51" s="16"/>
      <c r="BG51" s="5"/>
      <c r="BO51" s="36"/>
    </row>
    <row r="52" spans="1:72" s="16" customFormat="1" ht="25.25" customHeight="1" x14ac:dyDescent="0.15">
      <c r="A52" s="69"/>
      <c r="E52" s="52"/>
      <c r="F52" s="59"/>
      <c r="G52" s="21" t="s">
        <v>135</v>
      </c>
      <c r="H52" s="28"/>
      <c r="I52" s="28"/>
      <c r="J52" s="28"/>
      <c r="K52" s="28"/>
      <c r="L52" s="28"/>
      <c r="M52" s="28"/>
      <c r="N52" s="60"/>
      <c r="AX52" s="19"/>
      <c r="BG52" s="19"/>
      <c r="BO52" s="18"/>
    </row>
    <row r="53" spans="1:72" s="16" customFormat="1" ht="25.25" customHeight="1" x14ac:dyDescent="0.2">
      <c r="A53" s="69"/>
      <c r="E53" s="52"/>
      <c r="F53" s="59"/>
      <c r="G53" s="21" t="s">
        <v>49</v>
      </c>
      <c r="H53" s="28"/>
      <c r="I53" s="28"/>
      <c r="J53" s="28"/>
      <c r="K53" s="28"/>
      <c r="L53" s="28"/>
      <c r="M53" s="28"/>
      <c r="N53" s="60"/>
      <c r="T53" s="1"/>
      <c r="U53" s="1"/>
      <c r="V53" s="1"/>
      <c r="W53" s="1"/>
      <c r="X53" s="1"/>
      <c r="AH53" s="12"/>
      <c r="AI53" s="3"/>
      <c r="AO53" s="3"/>
      <c r="AP53" s="3"/>
      <c r="AQ53" s="3"/>
      <c r="AR53" s="3"/>
      <c r="AS53" s="3"/>
      <c r="AT53" s="3"/>
      <c r="AU53" s="3"/>
      <c r="AV53" s="3"/>
      <c r="AW53" s="3"/>
      <c r="AX53" s="6"/>
      <c r="AY53" s="3"/>
      <c r="AZ53" s="3"/>
      <c r="BA53" s="3"/>
      <c r="BB53" s="3"/>
      <c r="BC53" s="3"/>
      <c r="BD53" s="3"/>
      <c r="BE53" s="3"/>
      <c r="BF53" s="1"/>
      <c r="BG53" s="19"/>
      <c r="BO53" s="18"/>
    </row>
    <row r="54" spans="1:72" s="1" customFormat="1" ht="25.25" customHeight="1" thickBot="1" x14ac:dyDescent="0.25">
      <c r="A54" s="69"/>
      <c r="B54" s="16"/>
      <c r="C54" s="16"/>
      <c r="D54" s="16"/>
      <c r="E54" s="52"/>
      <c r="F54" s="59"/>
      <c r="G54" s="21"/>
      <c r="H54" s="28"/>
      <c r="I54" s="28"/>
      <c r="J54" s="28"/>
      <c r="K54" s="28"/>
      <c r="L54" s="28"/>
      <c r="M54" s="28"/>
      <c r="N54" s="60"/>
      <c r="AH54" s="12"/>
      <c r="AJ54" s="16"/>
      <c r="AK54" s="16"/>
      <c r="AL54" s="16"/>
      <c r="AM54" s="16"/>
      <c r="AN54" s="16"/>
      <c r="AO54" s="3"/>
      <c r="AP54" s="3"/>
      <c r="AQ54" s="3"/>
      <c r="AR54" s="3"/>
      <c r="AS54" s="3"/>
      <c r="AT54" s="3"/>
      <c r="AU54" s="3"/>
      <c r="AV54" s="3"/>
      <c r="AW54" s="3"/>
      <c r="AX54" s="6"/>
      <c r="AY54" s="3"/>
      <c r="AZ54" s="3"/>
      <c r="BA54" s="3"/>
      <c r="BB54" s="3"/>
      <c r="BC54" s="3"/>
      <c r="BD54" s="3"/>
      <c r="BE54" s="3"/>
      <c r="BG54" s="5"/>
      <c r="BO54" s="36"/>
    </row>
    <row r="55" spans="1:72" s="1" customFormat="1" ht="25.25" customHeight="1" x14ac:dyDescent="0.2">
      <c r="A55" s="69"/>
      <c r="B55" s="16"/>
      <c r="C55" s="16"/>
      <c r="D55" s="16"/>
      <c r="E55" s="52"/>
      <c r="F55" s="59"/>
      <c r="G55" s="21" t="s">
        <v>123</v>
      </c>
      <c r="H55" s="21"/>
      <c r="I55" s="21"/>
      <c r="J55" s="28"/>
      <c r="K55" s="28"/>
      <c r="L55" s="28"/>
      <c r="M55" s="28"/>
      <c r="N55" s="60"/>
      <c r="AH55" s="12"/>
      <c r="AJ55" s="16"/>
      <c r="AK55" s="16"/>
      <c r="AL55" s="16"/>
      <c r="AM55" s="16"/>
      <c r="AN55" s="16"/>
      <c r="BG55" s="5"/>
      <c r="BO55" s="36"/>
      <c r="BR55" s="138" t="s">
        <v>127</v>
      </c>
      <c r="BS55" s="139"/>
      <c r="BT55" s="139"/>
    </row>
    <row r="56" spans="1:72" s="1" customFormat="1" ht="25.25" customHeight="1" x14ac:dyDescent="0.2">
      <c r="A56" s="69"/>
      <c r="B56" s="16"/>
      <c r="C56" s="16"/>
      <c r="D56" s="16"/>
      <c r="E56" s="52"/>
      <c r="F56" s="59"/>
      <c r="G56" s="21" t="s">
        <v>53</v>
      </c>
      <c r="H56" s="21"/>
      <c r="I56" s="21"/>
      <c r="J56" s="28"/>
      <c r="K56" s="28"/>
      <c r="L56" s="28"/>
      <c r="M56" s="28"/>
      <c r="N56" s="60"/>
      <c r="AH56" s="12"/>
      <c r="AJ56" s="16"/>
      <c r="AK56" s="16"/>
      <c r="AL56" s="16"/>
      <c r="AM56" s="16"/>
      <c r="AN56" s="16"/>
      <c r="BI56" s="2"/>
      <c r="BO56" s="36"/>
      <c r="BR56" s="140"/>
      <c r="BS56" s="141"/>
      <c r="BT56" s="141"/>
    </row>
    <row r="57" spans="1:72" s="1" customFormat="1" ht="25.25" customHeight="1" thickBot="1" x14ac:dyDescent="0.25">
      <c r="A57" s="69"/>
      <c r="B57" s="16"/>
      <c r="C57" s="16"/>
      <c r="D57" s="16"/>
      <c r="E57" s="52"/>
      <c r="F57" s="61"/>
      <c r="G57" s="62"/>
      <c r="H57" s="62"/>
      <c r="I57" s="62"/>
      <c r="J57" s="62"/>
      <c r="K57" s="62"/>
      <c r="L57" s="62"/>
      <c r="M57" s="62"/>
      <c r="N57" s="63"/>
      <c r="AH57" s="12"/>
      <c r="AI57" s="3"/>
      <c r="AJ57" s="16"/>
      <c r="AK57" s="16"/>
      <c r="AL57" s="16"/>
      <c r="AM57" s="16"/>
      <c r="AN57" s="16"/>
      <c r="AO57" s="3"/>
      <c r="AR57" s="3"/>
      <c r="AS57" s="3"/>
      <c r="AT57" s="3"/>
      <c r="AU57" s="3"/>
      <c r="AV57" s="3"/>
      <c r="AW57" s="3"/>
      <c r="AX57" s="6"/>
      <c r="AY57" s="3"/>
      <c r="AZ57" s="3"/>
      <c r="BA57" s="3"/>
      <c r="BB57" s="3"/>
      <c r="BC57" s="3"/>
      <c r="BD57" s="3"/>
      <c r="BE57" s="3"/>
      <c r="BI57" s="2"/>
      <c r="BO57" s="36"/>
      <c r="BR57" s="142"/>
      <c r="BS57" s="143"/>
      <c r="BT57" s="143"/>
    </row>
    <row r="58" spans="1:72" s="1" customFormat="1" ht="25.25" customHeight="1" thickTop="1" thickBot="1" x14ac:dyDescent="0.25">
      <c r="A58" s="69"/>
      <c r="B58" s="16"/>
      <c r="C58" s="16"/>
      <c r="D58" s="16"/>
      <c r="E58" s="52"/>
      <c r="AH58" s="12"/>
      <c r="AI58" s="3"/>
      <c r="AJ58" s="16"/>
      <c r="AK58" s="16"/>
      <c r="AL58" s="16"/>
      <c r="AM58" s="16"/>
      <c r="AN58" s="16"/>
      <c r="AO58" s="3"/>
      <c r="AP58" s="3"/>
      <c r="AQ58" s="3"/>
      <c r="AR58" s="3"/>
      <c r="AS58" s="3"/>
      <c r="AT58" s="3"/>
      <c r="AU58" s="3"/>
      <c r="AV58" s="3"/>
      <c r="AW58" s="3"/>
      <c r="AX58" s="6"/>
      <c r="AY58" s="3"/>
      <c r="AZ58" s="3"/>
      <c r="BA58" s="3"/>
      <c r="BB58" s="3"/>
      <c r="BC58" s="3"/>
      <c r="BD58" s="3"/>
      <c r="BE58" s="3"/>
      <c r="BG58" s="5"/>
      <c r="BO58" s="36"/>
    </row>
    <row r="59" spans="1:72" s="1" customFormat="1" ht="25.25" customHeight="1" thickTop="1" x14ac:dyDescent="0.2">
      <c r="A59" s="69"/>
      <c r="B59" s="16"/>
      <c r="C59" s="16"/>
      <c r="D59" s="16"/>
      <c r="E59" s="52"/>
      <c r="F59" s="144" t="s">
        <v>131</v>
      </c>
      <c r="G59" s="145"/>
      <c r="H59" s="145"/>
      <c r="I59" s="145"/>
      <c r="J59" s="145"/>
      <c r="K59" s="145"/>
      <c r="L59" s="145"/>
      <c r="M59" s="145"/>
      <c r="N59" s="145"/>
      <c r="O59" s="145"/>
      <c r="P59" s="146"/>
      <c r="AH59" s="12"/>
      <c r="AI59" s="3"/>
      <c r="AJ59" s="16"/>
      <c r="AK59" s="16"/>
      <c r="AL59" s="16"/>
      <c r="AM59" s="16"/>
      <c r="AN59" s="16"/>
      <c r="AO59" s="3"/>
      <c r="AR59" s="3"/>
      <c r="AS59" s="3"/>
      <c r="AT59" s="3"/>
      <c r="AU59" s="3"/>
      <c r="AV59" s="3"/>
      <c r="AW59" s="3"/>
      <c r="AX59" s="6"/>
      <c r="AY59" s="3"/>
      <c r="AZ59" s="3"/>
      <c r="BA59" s="3"/>
      <c r="BB59" s="3"/>
      <c r="BC59" s="3"/>
      <c r="BD59" s="3"/>
      <c r="BE59" s="3"/>
      <c r="BG59" s="5"/>
      <c r="BO59" s="36"/>
    </row>
    <row r="60" spans="1:72" s="1" customFormat="1" ht="25.25" customHeight="1" thickBot="1" x14ac:dyDescent="0.25">
      <c r="A60" s="69"/>
      <c r="B60" s="16"/>
      <c r="C60" s="16"/>
      <c r="D60" s="16"/>
      <c r="E60" s="52"/>
      <c r="F60" s="147"/>
      <c r="G60" s="148"/>
      <c r="H60" s="148"/>
      <c r="I60" s="148"/>
      <c r="J60" s="148"/>
      <c r="K60" s="148"/>
      <c r="L60" s="148"/>
      <c r="M60" s="148"/>
      <c r="N60" s="148"/>
      <c r="O60" s="148"/>
      <c r="P60" s="149"/>
      <c r="AH60" s="12"/>
      <c r="AI60" s="3"/>
      <c r="AJ60" s="16"/>
      <c r="AK60" s="16"/>
      <c r="AL60" s="16"/>
      <c r="AM60" s="16"/>
      <c r="AN60" s="16"/>
      <c r="AO60" s="3"/>
      <c r="AR60" s="3"/>
      <c r="AS60" s="3"/>
      <c r="AT60" s="3"/>
      <c r="AU60" s="3"/>
      <c r="AV60" s="3"/>
      <c r="AW60" s="3"/>
      <c r="AX60" s="6"/>
      <c r="AY60" s="3"/>
      <c r="AZ60" s="3"/>
      <c r="BA60" s="3"/>
      <c r="BB60" s="3"/>
      <c r="BC60" s="3"/>
      <c r="BD60" s="3"/>
      <c r="BE60" s="3"/>
      <c r="BG60" s="5"/>
      <c r="BO60" s="36"/>
    </row>
    <row r="61" spans="1:72" s="1" customFormat="1" ht="25.25" customHeight="1" thickTop="1" x14ac:dyDescent="0.2">
      <c r="A61" s="69"/>
      <c r="B61" s="16"/>
      <c r="C61" s="16"/>
      <c r="D61" s="16"/>
      <c r="E61" s="52"/>
      <c r="AH61" s="12"/>
      <c r="AI61" s="3"/>
      <c r="AJ61" s="16"/>
      <c r="AK61" s="16"/>
      <c r="AL61" s="16"/>
      <c r="AM61" s="16"/>
      <c r="AN61" s="16"/>
      <c r="AO61" s="3"/>
      <c r="AP61" s="3"/>
      <c r="AQ61" s="3"/>
      <c r="AR61" s="3"/>
      <c r="AS61" s="3"/>
      <c r="AT61" s="3"/>
      <c r="AU61" s="3"/>
      <c r="AV61" s="3"/>
      <c r="AW61" s="3"/>
      <c r="AX61" s="6"/>
      <c r="AY61" s="3"/>
      <c r="AZ61" s="3"/>
      <c r="BA61" s="3"/>
      <c r="BB61" s="3"/>
      <c r="BC61" s="3"/>
      <c r="BD61" s="3"/>
      <c r="BE61" s="3"/>
      <c r="BG61" s="5"/>
      <c r="BO61" s="36"/>
    </row>
    <row r="62" spans="1:72" s="1" customFormat="1" ht="25.25" customHeight="1" x14ac:dyDescent="0.2">
      <c r="A62" s="69"/>
      <c r="B62" s="16"/>
      <c r="C62" s="16"/>
      <c r="D62" s="16"/>
      <c r="E62" s="52"/>
      <c r="AH62" s="12"/>
      <c r="AI62" s="3"/>
      <c r="AJ62" s="16"/>
      <c r="AK62" s="16"/>
      <c r="AL62" s="16"/>
      <c r="AM62" s="16"/>
      <c r="AN62" s="16"/>
      <c r="AO62" s="3"/>
      <c r="AP62" s="3"/>
      <c r="AQ62" s="3"/>
      <c r="AR62" s="3"/>
      <c r="AS62" s="3"/>
      <c r="AT62" s="3"/>
      <c r="AU62" s="3"/>
      <c r="AV62" s="3"/>
      <c r="AW62" s="3"/>
      <c r="AX62" s="6"/>
      <c r="AY62" s="3"/>
      <c r="AZ62" s="3"/>
      <c r="BA62" s="3"/>
      <c r="BB62" s="3"/>
      <c r="BC62" s="3"/>
      <c r="BD62" s="3"/>
      <c r="BE62" s="3"/>
      <c r="BG62" s="5"/>
      <c r="BO62" s="36"/>
    </row>
    <row r="63" spans="1:72" s="1" customFormat="1" ht="25.25" customHeight="1" x14ac:dyDescent="0.2">
      <c r="A63" s="69"/>
      <c r="B63" s="16"/>
      <c r="C63" s="16"/>
      <c r="D63" s="16"/>
      <c r="E63" s="52"/>
      <c r="AH63" s="12"/>
      <c r="AI63" s="3"/>
      <c r="AJ63" s="16"/>
      <c r="AK63" s="16"/>
      <c r="AL63" s="16"/>
      <c r="AM63" s="16"/>
      <c r="AN63" s="16"/>
      <c r="AO63" s="3"/>
      <c r="AP63" s="3"/>
      <c r="AQ63" s="3"/>
      <c r="AR63" s="3"/>
      <c r="AS63" s="3"/>
      <c r="AT63" s="3"/>
      <c r="AU63" s="3"/>
      <c r="AV63" s="3"/>
      <c r="AW63" s="3"/>
      <c r="AX63" s="6"/>
      <c r="AY63" s="3"/>
      <c r="AZ63" s="3"/>
      <c r="BA63" s="3"/>
      <c r="BB63" s="3"/>
      <c r="BC63" s="3"/>
      <c r="BD63" s="3"/>
      <c r="BE63" s="3"/>
      <c r="BG63" s="5"/>
      <c r="BO63" s="36"/>
    </row>
    <row r="64" spans="1:72" s="1" customFormat="1" ht="25.25" customHeight="1" x14ac:dyDescent="0.2">
      <c r="A64" s="69"/>
      <c r="B64" s="16"/>
      <c r="C64" s="16"/>
      <c r="D64" s="16"/>
      <c r="E64" s="52"/>
      <c r="AH64" s="12"/>
      <c r="AI64" s="3"/>
      <c r="AJ64" s="16"/>
      <c r="AK64" s="16"/>
      <c r="AL64" s="16"/>
      <c r="AM64" s="16"/>
      <c r="AN64" s="16"/>
      <c r="AO64" s="3"/>
      <c r="AP64" s="3"/>
      <c r="AQ64" s="3"/>
      <c r="AR64" s="3"/>
      <c r="AS64" s="3"/>
      <c r="AT64" s="3"/>
      <c r="AU64" s="3"/>
      <c r="AV64" s="3"/>
      <c r="AW64" s="3"/>
      <c r="AX64" s="6"/>
      <c r="AY64" s="3"/>
      <c r="AZ64" s="3"/>
      <c r="BA64" s="3"/>
      <c r="BB64" s="3"/>
      <c r="BC64" s="3"/>
      <c r="BD64" s="3"/>
      <c r="BE64" s="3"/>
      <c r="BG64" s="5"/>
      <c r="BO64" s="36"/>
    </row>
    <row r="65" spans="1:67" s="1" customFormat="1" ht="25.25" customHeight="1" x14ac:dyDescent="0.2">
      <c r="A65" s="69"/>
      <c r="B65" s="16"/>
      <c r="C65" s="16"/>
      <c r="D65" s="16"/>
      <c r="E65" s="52"/>
      <c r="AH65" s="12"/>
      <c r="AI65" s="3"/>
      <c r="AJ65" s="16"/>
      <c r="AK65" s="16"/>
      <c r="AL65" s="16"/>
      <c r="AM65" s="16"/>
      <c r="AN65" s="16"/>
      <c r="AO65" s="3"/>
      <c r="AP65" s="3"/>
      <c r="AQ65" s="3"/>
      <c r="AR65" s="3"/>
      <c r="AS65" s="3"/>
      <c r="AT65" s="3"/>
      <c r="AU65" s="3"/>
      <c r="AV65" s="3"/>
      <c r="AW65" s="3"/>
      <c r="AX65" s="6"/>
      <c r="AY65" s="3"/>
      <c r="AZ65" s="3"/>
      <c r="BA65" s="3"/>
      <c r="BB65" s="3"/>
      <c r="BC65" s="3"/>
      <c r="BD65" s="3"/>
      <c r="BE65" s="3"/>
      <c r="BG65" s="5"/>
      <c r="BO65" s="36"/>
    </row>
    <row r="66" spans="1:67" s="1" customFormat="1" ht="25.25" customHeight="1" x14ac:dyDescent="0.2">
      <c r="A66" s="69"/>
      <c r="B66" s="16"/>
      <c r="C66" s="16"/>
      <c r="D66" s="16"/>
      <c r="E66" s="52"/>
      <c r="AH66" s="12"/>
      <c r="AI66" s="3"/>
      <c r="AJ66" s="16"/>
      <c r="AK66" s="16"/>
      <c r="AL66" s="16"/>
      <c r="AM66" s="16"/>
      <c r="AN66" s="16"/>
      <c r="AO66" s="3"/>
      <c r="AP66" s="3"/>
      <c r="AQ66" s="3"/>
      <c r="AR66" s="3"/>
      <c r="AS66" s="3"/>
      <c r="AT66" s="3"/>
      <c r="AU66" s="3"/>
      <c r="AV66" s="3"/>
      <c r="AW66" s="3"/>
      <c r="AX66" s="6"/>
      <c r="AY66" s="3"/>
      <c r="AZ66" s="3"/>
      <c r="BA66" s="3"/>
      <c r="BB66" s="3"/>
      <c r="BC66" s="3"/>
      <c r="BD66" s="3"/>
      <c r="BE66" s="3"/>
      <c r="BG66" s="5"/>
      <c r="BO66" s="36"/>
    </row>
    <row r="67" spans="1:67" s="1" customFormat="1" ht="25.25" customHeight="1" x14ac:dyDescent="0.2">
      <c r="A67" s="69"/>
      <c r="B67" s="16"/>
      <c r="C67" s="16"/>
      <c r="D67" s="16"/>
      <c r="E67" s="52"/>
      <c r="AH67" s="12"/>
      <c r="AI67" s="3"/>
      <c r="AJ67" s="16"/>
      <c r="AK67" s="16"/>
      <c r="AL67" s="16"/>
      <c r="AM67" s="16"/>
      <c r="AN67" s="16"/>
      <c r="AO67" s="3"/>
      <c r="AP67" s="3"/>
      <c r="AQ67" s="3"/>
      <c r="AR67" s="3"/>
      <c r="AS67" s="3"/>
      <c r="AT67" s="3"/>
      <c r="AU67" s="3"/>
      <c r="AV67" s="3"/>
      <c r="AW67" s="3"/>
      <c r="AX67" s="6"/>
      <c r="AY67" s="3"/>
      <c r="AZ67" s="3"/>
      <c r="BA67" s="3"/>
      <c r="BB67" s="3"/>
      <c r="BC67" s="3"/>
      <c r="BD67" s="3"/>
      <c r="BE67" s="3"/>
      <c r="BG67" s="5"/>
      <c r="BO67" s="36"/>
    </row>
    <row r="68" spans="1:67" s="1" customFormat="1" ht="25.25" customHeight="1" x14ac:dyDescent="0.2">
      <c r="A68" s="69"/>
      <c r="B68" s="16"/>
      <c r="C68" s="16"/>
      <c r="D68" s="16"/>
      <c r="E68" s="52"/>
      <c r="AH68" s="12"/>
      <c r="AI68" s="3"/>
      <c r="AJ68" s="16"/>
      <c r="AK68" s="16"/>
      <c r="AL68" s="16"/>
      <c r="AM68" s="16"/>
      <c r="AN68" s="16"/>
      <c r="AO68" s="3"/>
      <c r="AP68" s="3"/>
      <c r="AQ68" s="3"/>
      <c r="AR68" s="3"/>
      <c r="AS68" s="3"/>
      <c r="AT68" s="3"/>
      <c r="AU68" s="3"/>
      <c r="AV68" s="3"/>
      <c r="AW68" s="3"/>
      <c r="AX68" s="6"/>
      <c r="AY68" s="3"/>
      <c r="AZ68" s="3"/>
      <c r="BA68" s="3"/>
      <c r="BB68" s="3"/>
      <c r="BC68" s="3"/>
      <c r="BD68" s="3"/>
      <c r="BE68" s="3"/>
      <c r="BG68" s="5"/>
      <c r="BO68" s="36"/>
    </row>
    <row r="69" spans="1:67" s="1" customFormat="1" ht="25.25" customHeight="1" x14ac:dyDescent="0.2">
      <c r="A69" s="69"/>
      <c r="B69" s="16"/>
      <c r="C69" s="16"/>
      <c r="D69" s="16"/>
      <c r="E69" s="52"/>
      <c r="AH69" s="12"/>
      <c r="AI69" s="3"/>
      <c r="AJ69" s="16"/>
      <c r="AK69" s="16"/>
      <c r="AL69" s="16"/>
      <c r="AM69" s="16"/>
      <c r="AN69" s="16"/>
      <c r="AO69" s="3"/>
      <c r="AP69" s="3"/>
      <c r="AQ69" s="3"/>
      <c r="AR69" s="3"/>
      <c r="AS69" s="3"/>
      <c r="AT69" s="3"/>
      <c r="AU69" s="3"/>
      <c r="AV69" s="3"/>
      <c r="AW69" s="3"/>
      <c r="AX69" s="6"/>
      <c r="AY69" s="3"/>
      <c r="AZ69" s="3"/>
      <c r="BA69" s="3"/>
      <c r="BB69" s="3"/>
      <c r="BC69" s="3"/>
      <c r="BD69" s="3"/>
      <c r="BE69" s="3"/>
      <c r="BG69" s="5"/>
      <c r="BO69" s="36"/>
    </row>
    <row r="70" spans="1:67" s="1" customFormat="1" ht="25.25" customHeight="1" x14ac:dyDescent="0.2">
      <c r="A70" s="69"/>
      <c r="B70" s="16"/>
      <c r="C70" s="16"/>
      <c r="D70" s="16"/>
      <c r="E70" s="52"/>
      <c r="AH70" s="12"/>
      <c r="AI70" s="3"/>
      <c r="AJ70" s="16"/>
      <c r="AK70" s="16"/>
      <c r="AL70" s="16"/>
      <c r="AM70" s="16"/>
      <c r="AN70" s="16"/>
      <c r="AO70" s="3"/>
      <c r="AP70" s="3"/>
      <c r="AQ70" s="3"/>
      <c r="AR70" s="3"/>
      <c r="AS70" s="3"/>
      <c r="AT70" s="3"/>
      <c r="AU70" s="3"/>
      <c r="AV70" s="3"/>
      <c r="AW70" s="3"/>
      <c r="AX70" s="6"/>
      <c r="AY70" s="3"/>
      <c r="AZ70" s="3"/>
      <c r="BA70" s="3"/>
      <c r="BB70" s="3"/>
      <c r="BC70" s="3"/>
      <c r="BD70" s="3"/>
      <c r="BE70" s="3"/>
      <c r="BG70" s="5"/>
      <c r="BO70" s="36"/>
    </row>
    <row r="71" spans="1:67" s="1" customFormat="1" ht="25.25" customHeight="1" x14ac:dyDescent="0.2">
      <c r="A71" s="69"/>
      <c r="B71" s="16"/>
      <c r="C71" s="16"/>
      <c r="D71" s="16"/>
      <c r="E71" s="52"/>
      <c r="AH71" s="12"/>
      <c r="AI71" s="3"/>
      <c r="AJ71" s="16"/>
      <c r="AK71" s="16"/>
      <c r="AL71" s="16"/>
      <c r="AM71" s="16"/>
      <c r="AN71" s="16"/>
      <c r="AO71" s="3"/>
      <c r="AP71" s="3"/>
      <c r="AQ71" s="3"/>
      <c r="AR71" s="3"/>
      <c r="AS71" s="3"/>
      <c r="AT71" s="3"/>
      <c r="AU71" s="3"/>
      <c r="AV71" s="3"/>
      <c r="AW71" s="3"/>
      <c r="AX71" s="6"/>
      <c r="AY71" s="3"/>
      <c r="AZ71" s="3"/>
      <c r="BA71" s="3"/>
      <c r="BB71" s="3"/>
      <c r="BC71" s="3"/>
      <c r="BD71" s="3"/>
      <c r="BE71" s="3"/>
      <c r="BG71" s="5"/>
      <c r="BO71" s="36"/>
    </row>
    <row r="72" spans="1:67" s="1" customFormat="1" ht="25.25" customHeight="1" x14ac:dyDescent="0.2">
      <c r="A72" s="69"/>
      <c r="B72" s="16"/>
      <c r="C72" s="16"/>
      <c r="D72" s="16"/>
      <c r="E72" s="52"/>
      <c r="AH72" s="12"/>
      <c r="AI72" s="3"/>
      <c r="AJ72" s="16"/>
      <c r="AK72" s="16"/>
      <c r="AL72" s="16"/>
      <c r="AM72" s="16"/>
      <c r="AN72" s="16"/>
      <c r="AO72" s="3"/>
      <c r="AP72" s="3"/>
      <c r="AQ72" s="3"/>
      <c r="AR72" s="3"/>
      <c r="AS72" s="3"/>
      <c r="AT72" s="3"/>
      <c r="AU72" s="3"/>
      <c r="AV72" s="3"/>
      <c r="AW72" s="3"/>
      <c r="AX72" s="6"/>
      <c r="AY72" s="3"/>
      <c r="AZ72" s="3"/>
      <c r="BA72" s="3"/>
      <c r="BB72" s="3"/>
      <c r="BC72" s="3"/>
      <c r="BD72" s="3"/>
      <c r="BE72" s="3"/>
      <c r="BG72" s="5"/>
      <c r="BO72" s="36"/>
    </row>
    <row r="73" spans="1:67" s="1" customFormat="1" ht="25.25" customHeight="1" x14ac:dyDescent="0.2">
      <c r="A73" s="69"/>
      <c r="B73" s="16"/>
      <c r="C73" s="16"/>
      <c r="D73" s="16"/>
      <c r="E73" s="52"/>
      <c r="AH73" s="12"/>
      <c r="AI73" s="3"/>
      <c r="AJ73" s="16"/>
      <c r="AK73" s="16"/>
      <c r="AL73" s="16"/>
      <c r="AM73" s="16"/>
      <c r="AN73" s="16"/>
      <c r="AO73" s="3"/>
      <c r="AP73" s="3"/>
      <c r="AQ73" s="3"/>
      <c r="AR73" s="3"/>
      <c r="AS73" s="3"/>
      <c r="AT73" s="3"/>
      <c r="AU73" s="3"/>
      <c r="AV73" s="3"/>
      <c r="AW73" s="3"/>
      <c r="AX73" s="6"/>
      <c r="AY73" s="3"/>
      <c r="AZ73" s="3"/>
      <c r="BA73" s="3"/>
      <c r="BB73" s="3"/>
      <c r="BC73" s="3"/>
      <c r="BD73" s="3"/>
      <c r="BE73" s="3"/>
      <c r="BG73" s="5"/>
      <c r="BO73" s="36"/>
    </row>
    <row r="74" spans="1:67" s="1" customFormat="1" ht="25.25" customHeight="1" x14ac:dyDescent="0.2">
      <c r="A74" s="69"/>
      <c r="B74" s="16"/>
      <c r="C74" s="16"/>
      <c r="D74" s="16"/>
      <c r="E74" s="52"/>
      <c r="AH74" s="12"/>
      <c r="AI74" s="3"/>
      <c r="AJ74" s="16"/>
      <c r="AK74" s="16"/>
      <c r="AL74" s="16"/>
      <c r="AM74" s="16"/>
      <c r="AN74" s="16"/>
      <c r="AO74" s="3"/>
      <c r="AP74" s="3"/>
      <c r="AQ74" s="3"/>
      <c r="AR74" s="3"/>
      <c r="AS74" s="3"/>
      <c r="AT74" s="3"/>
      <c r="AU74" s="3"/>
      <c r="AV74" s="3"/>
      <c r="AW74" s="3"/>
      <c r="AX74" s="6"/>
      <c r="AY74" s="3"/>
      <c r="AZ74" s="3"/>
      <c r="BA74" s="3"/>
      <c r="BB74" s="3"/>
      <c r="BC74" s="3"/>
      <c r="BD74" s="3"/>
      <c r="BE74" s="3"/>
      <c r="BG74" s="5"/>
      <c r="BO74" s="36"/>
    </row>
    <row r="75" spans="1:67" s="1" customFormat="1" ht="25.25" customHeight="1" x14ac:dyDescent="0.2">
      <c r="A75" s="69"/>
      <c r="B75" s="16"/>
      <c r="C75" s="16"/>
      <c r="D75" s="16"/>
      <c r="E75" s="52"/>
      <c r="AH75" s="12"/>
      <c r="AI75" s="3"/>
      <c r="AJ75" s="16"/>
      <c r="AK75" s="16"/>
      <c r="AL75" s="16"/>
      <c r="AM75" s="16"/>
      <c r="AN75" s="16"/>
      <c r="AO75" s="3"/>
      <c r="AP75" s="3"/>
      <c r="AQ75" s="3"/>
      <c r="AR75" s="3"/>
      <c r="AS75" s="3"/>
      <c r="AT75" s="3"/>
      <c r="AU75" s="3"/>
      <c r="AV75" s="3"/>
      <c r="AW75" s="3"/>
      <c r="AX75" s="6"/>
      <c r="AY75" s="3"/>
      <c r="AZ75" s="3"/>
      <c r="BA75" s="3"/>
      <c r="BB75" s="3"/>
      <c r="BC75" s="3"/>
      <c r="BD75" s="3"/>
      <c r="BE75" s="3"/>
      <c r="BG75" s="5"/>
      <c r="BO75" s="36"/>
    </row>
    <row r="76" spans="1:67" s="1" customFormat="1" ht="25.25" customHeight="1" x14ac:dyDescent="0.2">
      <c r="A76" s="69"/>
      <c r="B76" s="16"/>
      <c r="C76" s="16"/>
      <c r="D76" s="16"/>
      <c r="E76" s="52"/>
      <c r="AH76" s="12"/>
      <c r="AI76" s="3"/>
      <c r="AJ76" s="16"/>
      <c r="AK76" s="16"/>
      <c r="AL76" s="16"/>
      <c r="AM76" s="16"/>
      <c r="AN76" s="16"/>
      <c r="AO76" s="3"/>
      <c r="AP76" s="3"/>
      <c r="AQ76" s="3"/>
      <c r="AR76" s="3"/>
      <c r="AS76" s="3"/>
      <c r="AT76" s="3"/>
      <c r="AU76" s="3"/>
      <c r="AV76" s="3"/>
      <c r="AW76" s="3"/>
      <c r="AX76" s="6"/>
      <c r="AY76" s="3"/>
      <c r="AZ76" s="3"/>
      <c r="BA76" s="3"/>
      <c r="BB76" s="3"/>
      <c r="BC76" s="3"/>
      <c r="BD76" s="3"/>
      <c r="BE76" s="3"/>
      <c r="BG76" s="5"/>
      <c r="BO76" s="36"/>
    </row>
    <row r="77" spans="1:67" s="1" customFormat="1" ht="25.25" customHeight="1" x14ac:dyDescent="0.2">
      <c r="A77" s="69"/>
      <c r="B77" s="16"/>
      <c r="C77" s="16"/>
      <c r="D77" s="16"/>
      <c r="E77" s="52"/>
      <c r="AH77" s="12"/>
      <c r="AI77" s="3"/>
      <c r="AJ77" s="16"/>
      <c r="AK77" s="16"/>
      <c r="AL77" s="16"/>
      <c r="AM77" s="16"/>
      <c r="AN77" s="16"/>
      <c r="AO77" s="3"/>
      <c r="AP77" s="3"/>
      <c r="AQ77" s="3"/>
      <c r="AR77" s="3"/>
      <c r="AS77" s="3"/>
      <c r="AT77" s="3"/>
      <c r="AU77" s="3"/>
      <c r="AV77" s="3"/>
      <c r="AW77" s="3"/>
      <c r="AX77" s="6"/>
      <c r="AY77" s="3"/>
      <c r="AZ77" s="3"/>
      <c r="BA77" s="3"/>
      <c r="BB77" s="3"/>
      <c r="BC77" s="3"/>
      <c r="BD77" s="3"/>
      <c r="BE77" s="3"/>
      <c r="BG77" s="5"/>
      <c r="BO77" s="36"/>
    </row>
    <row r="78" spans="1:67" s="1" customFormat="1" ht="25.25" customHeight="1" x14ac:dyDescent="0.2">
      <c r="A78" s="69"/>
      <c r="B78" s="16"/>
      <c r="C78" s="16"/>
      <c r="D78" s="16"/>
      <c r="E78" s="52"/>
      <c r="AH78" s="12"/>
      <c r="AI78" s="3"/>
      <c r="AJ78" s="16"/>
      <c r="AK78" s="16"/>
      <c r="AL78" s="16"/>
      <c r="AM78" s="16"/>
      <c r="AN78" s="16"/>
      <c r="AO78" s="3"/>
      <c r="AP78" s="3"/>
      <c r="AQ78" s="3"/>
      <c r="AR78" s="3"/>
      <c r="AS78" s="3"/>
      <c r="AT78" s="3"/>
      <c r="AU78" s="3"/>
      <c r="AV78" s="3"/>
      <c r="AW78" s="3"/>
      <c r="AX78" s="6"/>
      <c r="AY78" s="3"/>
      <c r="AZ78" s="3"/>
      <c r="BA78" s="3"/>
      <c r="BB78" s="3"/>
      <c r="BC78" s="3"/>
      <c r="BD78" s="3"/>
      <c r="BE78" s="3"/>
      <c r="BG78" s="5"/>
      <c r="BO78" s="36"/>
    </row>
    <row r="79" spans="1:67" s="1" customFormat="1" ht="25.25" customHeight="1" x14ac:dyDescent="0.2">
      <c r="A79" s="69"/>
      <c r="B79" s="16"/>
      <c r="C79" s="16"/>
      <c r="D79" s="16"/>
      <c r="E79" s="52"/>
      <c r="AH79" s="12"/>
      <c r="AI79" s="3"/>
      <c r="AJ79" s="16"/>
      <c r="AK79" s="16"/>
      <c r="AL79" s="16"/>
      <c r="AM79" s="16"/>
      <c r="AN79" s="16"/>
      <c r="AO79" s="3"/>
      <c r="AP79" s="3"/>
      <c r="AQ79" s="3"/>
      <c r="AR79" s="3"/>
      <c r="AS79" s="3"/>
      <c r="AT79" s="3"/>
      <c r="AU79" s="3"/>
      <c r="AV79" s="3"/>
      <c r="AW79" s="3"/>
      <c r="AX79" s="6"/>
      <c r="AY79" s="3"/>
      <c r="AZ79" s="3"/>
      <c r="BA79" s="3"/>
      <c r="BB79" s="3"/>
      <c r="BC79" s="3"/>
      <c r="BD79" s="3"/>
      <c r="BE79" s="3"/>
      <c r="BG79" s="5"/>
      <c r="BO79" s="36"/>
    </row>
    <row r="80" spans="1:67" s="1" customFormat="1" ht="25.25" customHeight="1" x14ac:dyDescent="0.2">
      <c r="A80" s="69"/>
      <c r="B80" s="16"/>
      <c r="C80" s="16"/>
      <c r="D80" s="16"/>
      <c r="E80" s="52"/>
      <c r="AH80" s="12"/>
      <c r="AI80" s="3"/>
      <c r="AJ80" s="16"/>
      <c r="AK80" s="16"/>
      <c r="AL80" s="16"/>
      <c r="AM80" s="16"/>
      <c r="AN80" s="16"/>
      <c r="AO80" s="3"/>
      <c r="AP80" s="3"/>
      <c r="AQ80" s="3"/>
      <c r="AR80" s="3"/>
      <c r="AS80" s="3"/>
      <c r="AT80" s="3"/>
      <c r="AU80" s="3"/>
      <c r="AV80" s="3"/>
      <c r="AW80" s="3"/>
      <c r="AX80" s="6"/>
      <c r="AY80" s="3"/>
      <c r="AZ80" s="3"/>
      <c r="BA80" s="3"/>
      <c r="BB80" s="3"/>
      <c r="BC80" s="3"/>
      <c r="BD80" s="3"/>
      <c r="BE80" s="3"/>
      <c r="BG80" s="5"/>
      <c r="BO80" s="36"/>
    </row>
    <row r="81" spans="1:67" s="1" customFormat="1" ht="25.25" customHeight="1" x14ac:dyDescent="0.2">
      <c r="A81" s="69"/>
      <c r="B81" s="16"/>
      <c r="C81" s="16"/>
      <c r="D81" s="16"/>
      <c r="E81" s="52"/>
      <c r="AH81" s="12"/>
      <c r="AI81" s="3"/>
      <c r="AJ81" s="16"/>
      <c r="AK81" s="16"/>
      <c r="AL81" s="16"/>
      <c r="AM81" s="16"/>
      <c r="AN81" s="16"/>
      <c r="AO81" s="3"/>
      <c r="AP81" s="3"/>
      <c r="AQ81" s="3"/>
      <c r="AR81" s="3"/>
      <c r="AS81" s="3"/>
      <c r="AT81" s="3"/>
      <c r="AU81" s="3"/>
      <c r="AV81" s="3"/>
      <c r="AW81" s="3"/>
      <c r="AX81" s="6"/>
      <c r="AY81" s="3"/>
      <c r="AZ81" s="3"/>
      <c r="BA81" s="3"/>
      <c r="BB81" s="3"/>
      <c r="BC81" s="3"/>
      <c r="BD81" s="3"/>
      <c r="BE81" s="3"/>
      <c r="BG81" s="5"/>
      <c r="BO81" s="36"/>
    </row>
    <row r="82" spans="1:67" s="1" customFormat="1" ht="25.25" customHeight="1" x14ac:dyDescent="0.2">
      <c r="A82" s="69"/>
      <c r="B82" s="16"/>
      <c r="C82" s="16"/>
      <c r="D82" s="16"/>
      <c r="E82" s="52"/>
      <c r="AH82" s="12"/>
      <c r="AI82" s="3"/>
      <c r="AJ82" s="16"/>
      <c r="AK82" s="16"/>
      <c r="AL82" s="16"/>
      <c r="AM82" s="16"/>
      <c r="AN82" s="16"/>
      <c r="AO82" s="3"/>
      <c r="AP82" s="3"/>
      <c r="AQ82" s="3"/>
      <c r="AR82" s="3"/>
      <c r="AS82" s="3"/>
      <c r="AT82" s="3"/>
      <c r="AU82" s="3"/>
      <c r="AV82" s="3"/>
      <c r="AW82" s="3"/>
      <c r="AX82" s="6"/>
      <c r="AY82" s="3"/>
      <c r="AZ82" s="3"/>
      <c r="BA82" s="3"/>
      <c r="BB82" s="3"/>
      <c r="BC82" s="3"/>
      <c r="BD82" s="3"/>
      <c r="BE82" s="3"/>
      <c r="BG82" s="5"/>
      <c r="BO82" s="36"/>
    </row>
    <row r="83" spans="1:67" s="1" customFormat="1" ht="25.25" customHeight="1" x14ac:dyDescent="0.2">
      <c r="A83" s="69"/>
      <c r="B83" s="16"/>
      <c r="C83" s="16"/>
      <c r="D83" s="16"/>
      <c r="E83" s="52"/>
      <c r="AH83" s="12"/>
      <c r="AI83" s="3"/>
      <c r="AJ83" s="16"/>
      <c r="AK83" s="16"/>
      <c r="AL83" s="16"/>
      <c r="AM83" s="16"/>
      <c r="AN83" s="16"/>
      <c r="AO83" s="3"/>
      <c r="AP83" s="3"/>
      <c r="AQ83" s="3"/>
      <c r="AR83" s="3"/>
      <c r="AS83" s="3"/>
      <c r="AT83" s="3"/>
      <c r="AU83" s="3"/>
      <c r="AV83" s="3"/>
      <c r="AW83" s="3"/>
      <c r="AX83" s="6"/>
      <c r="AY83" s="3"/>
      <c r="AZ83" s="3"/>
      <c r="BA83" s="3"/>
      <c r="BB83" s="3"/>
      <c r="BC83" s="3"/>
      <c r="BD83" s="3"/>
      <c r="BE83" s="3"/>
      <c r="BG83" s="5"/>
      <c r="BO83" s="36"/>
    </row>
    <row r="84" spans="1:67" s="1" customFormat="1" ht="25.25" customHeight="1" x14ac:dyDescent="0.2">
      <c r="A84" s="69"/>
      <c r="B84" s="16"/>
      <c r="C84" s="16"/>
      <c r="D84" s="16"/>
      <c r="E84" s="16"/>
      <c r="AH84" s="12"/>
      <c r="AI84" s="3"/>
      <c r="AJ84" s="16"/>
      <c r="AK84" s="16"/>
      <c r="AL84" s="16"/>
      <c r="AM84" s="16"/>
      <c r="AN84" s="16"/>
      <c r="AO84" s="3"/>
      <c r="AP84" s="3"/>
      <c r="AQ84" s="3"/>
      <c r="AR84" s="3"/>
      <c r="AS84" s="3"/>
      <c r="AT84" s="3"/>
      <c r="AU84" s="3"/>
      <c r="AV84" s="3"/>
      <c r="AW84" s="3"/>
      <c r="AX84" s="6"/>
      <c r="AY84" s="3"/>
      <c r="AZ84" s="3"/>
      <c r="BA84" s="3"/>
      <c r="BB84" s="3"/>
      <c r="BC84" s="3"/>
      <c r="BD84" s="3"/>
      <c r="BE84" s="3"/>
      <c r="BG84" s="5"/>
      <c r="BO84" s="36"/>
    </row>
    <row r="85" spans="1:67" s="1" customFormat="1" ht="25.25" customHeight="1" x14ac:dyDescent="0.2">
      <c r="A85" s="69"/>
      <c r="B85" s="16"/>
      <c r="C85" s="16"/>
      <c r="D85" s="16"/>
      <c r="E85" s="16"/>
      <c r="AH85" s="12"/>
      <c r="AI85" s="3"/>
      <c r="AJ85" s="16"/>
      <c r="AK85" s="16"/>
      <c r="AL85" s="16"/>
      <c r="AM85" s="16"/>
      <c r="AN85" s="16"/>
      <c r="AO85" s="3"/>
      <c r="AP85" s="3"/>
      <c r="AQ85" s="3"/>
      <c r="AR85" s="3"/>
      <c r="AS85" s="3"/>
      <c r="AT85" s="3"/>
      <c r="AU85" s="3"/>
      <c r="AV85" s="3"/>
      <c r="AW85" s="3"/>
      <c r="AX85" s="6"/>
      <c r="AY85" s="3"/>
      <c r="AZ85" s="3"/>
      <c r="BA85" s="3"/>
      <c r="BB85" s="3"/>
      <c r="BC85" s="3"/>
      <c r="BD85" s="3"/>
      <c r="BE85" s="3"/>
      <c r="BG85" s="5"/>
      <c r="BO85" s="36"/>
    </row>
    <row r="86" spans="1:67" s="1" customFormat="1" ht="25.25" customHeight="1" x14ac:dyDescent="0.15">
      <c r="A86" s="69"/>
      <c r="B86" s="16"/>
      <c r="C86" s="16"/>
      <c r="D86" s="16"/>
      <c r="E86" s="1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16"/>
      <c r="AK86" s="16"/>
      <c r="AL86" s="16"/>
      <c r="AM86" s="16"/>
      <c r="AN86" s="16"/>
      <c r="AO86" s="3"/>
      <c r="AP86" s="3"/>
      <c r="AQ86" s="3"/>
      <c r="AR86" s="3"/>
      <c r="AS86" s="3"/>
      <c r="AT86" s="3"/>
      <c r="AU86" s="3"/>
      <c r="AV86" s="3"/>
      <c r="AW86" s="3"/>
      <c r="AX86" s="6"/>
      <c r="AY86" s="3"/>
      <c r="AZ86" s="3"/>
      <c r="BA86" s="3"/>
      <c r="BB86" s="3"/>
      <c r="BC86" s="3"/>
      <c r="BD86" s="3"/>
      <c r="BE86" s="3"/>
      <c r="BG86" s="5"/>
      <c r="BO86" s="36"/>
    </row>
    <row r="87" spans="1:67" s="1" customFormat="1" x14ac:dyDescent="0.15">
      <c r="A87" s="69"/>
      <c r="B87" s="16"/>
      <c r="C87" s="16"/>
      <c r="D87" s="16"/>
      <c r="E87" s="16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 s="16"/>
      <c r="AK87" s="16"/>
      <c r="AL87" s="16"/>
      <c r="AM87" s="16"/>
      <c r="AN87" s="16"/>
      <c r="AO87"/>
      <c r="AP87"/>
      <c r="AQ87"/>
      <c r="AR87"/>
      <c r="AS87"/>
      <c r="AT87"/>
      <c r="AU87"/>
      <c r="AV87"/>
      <c r="AW87"/>
      <c r="AX87" s="7"/>
      <c r="AY87"/>
      <c r="AZ87"/>
      <c r="BA87"/>
      <c r="BB87"/>
      <c r="BC87"/>
      <c r="BD87"/>
      <c r="BE87"/>
      <c r="BF87"/>
      <c r="BG87" s="5"/>
      <c r="BO87" s="36"/>
    </row>
    <row r="88" spans="1:67" x14ac:dyDescent="0.15">
      <c r="B88" s="16"/>
      <c r="C88" s="16"/>
      <c r="D88" s="16"/>
      <c r="E88" s="16"/>
    </row>
    <row r="89" spans="1:67" ht="25" customHeight="1" x14ac:dyDescent="0.3">
      <c r="B89" s="20"/>
      <c r="C89" s="20"/>
      <c r="D89" s="20"/>
    </row>
    <row r="90" spans="1:67" ht="25" customHeight="1" x14ac:dyDescent="0.3">
      <c r="B90" s="20"/>
      <c r="C90" s="20"/>
      <c r="D90" s="20"/>
    </row>
    <row r="91" spans="1:67" ht="25" customHeight="1" x14ac:dyDescent="0.15"/>
  </sheetData>
  <mergeCells count="48">
    <mergeCell ref="B1:B2"/>
    <mergeCell ref="D1:AM2"/>
    <mergeCell ref="BJ2:BQ2"/>
    <mergeCell ref="BR2:BR6"/>
    <mergeCell ref="BH10:BI10"/>
    <mergeCell ref="BH11:BI11"/>
    <mergeCell ref="BJ3:BQ6"/>
    <mergeCell ref="BH8:BI8"/>
    <mergeCell ref="BH9:BI9"/>
    <mergeCell ref="BH17:BI17"/>
    <mergeCell ref="BH18:BI18"/>
    <mergeCell ref="BH19:BI19"/>
    <mergeCell ref="BH20:BI20"/>
    <mergeCell ref="BH12:BI12"/>
    <mergeCell ref="BH13:BI13"/>
    <mergeCell ref="BH14:BI14"/>
    <mergeCell ref="BH15:BI15"/>
    <mergeCell ref="BH16:BI16"/>
    <mergeCell ref="BH26:BI26"/>
    <mergeCell ref="BH27:BI27"/>
    <mergeCell ref="BH21:BI21"/>
    <mergeCell ref="BH22:BI22"/>
    <mergeCell ref="BH23:BI23"/>
    <mergeCell ref="BH24:BI24"/>
    <mergeCell ref="BH25:BI25"/>
    <mergeCell ref="BH37:BI37"/>
    <mergeCell ref="BH28:BI28"/>
    <mergeCell ref="BH29:BI29"/>
    <mergeCell ref="BH30:BI30"/>
    <mergeCell ref="BH31:BI31"/>
    <mergeCell ref="BH32:BI32"/>
    <mergeCell ref="BH33:BI33"/>
    <mergeCell ref="BH34:BI34"/>
    <mergeCell ref="BH35:BI35"/>
    <mergeCell ref="BH36:BI36"/>
    <mergeCell ref="BH38:BI38"/>
    <mergeCell ref="BH39:BI39"/>
    <mergeCell ref="BH40:BI40"/>
    <mergeCell ref="BH41:BI41"/>
    <mergeCell ref="BH42:BI42"/>
    <mergeCell ref="BH48:BI48"/>
    <mergeCell ref="BR55:BT57"/>
    <mergeCell ref="F59:P60"/>
    <mergeCell ref="BH43:BI43"/>
    <mergeCell ref="BH44:BI44"/>
    <mergeCell ref="BH45:BI45"/>
    <mergeCell ref="BH46:BI46"/>
    <mergeCell ref="BH47:BI47"/>
  </mergeCells>
  <conditionalFormatting sqref="E7:BF7">
    <cfRule type="expression" dxfId="21" priority="18" stopIfTrue="1">
      <formula>E6=1</formula>
    </cfRule>
  </conditionalFormatting>
  <conditionalFormatting sqref="E8:E83">
    <cfRule type="expression" dxfId="20" priority="15" stopIfTrue="1">
      <formula>$E8&lt;0</formula>
    </cfRule>
  </conditionalFormatting>
  <conditionalFormatting sqref="F82:BF83 F74:J81 T74:BF81 F67:BF73 T51:BF51 T60:BF66 T52:X59 AH52:BF59 F61:J66 F59 F8:BF50">
    <cfRule type="expression" dxfId="19" priority="16" stopIfTrue="1">
      <formula>F8&gt;$D8</formula>
    </cfRule>
    <cfRule type="expression" dxfId="18" priority="17" stopIfTrue="1">
      <formula>F8&lt;$D8</formula>
    </cfRule>
  </conditionalFormatting>
  <conditionalFormatting sqref="F50:N57">
    <cfRule type="expression" dxfId="17" priority="19" stopIfTrue="1">
      <formula>F50&gt;$D74</formula>
    </cfRule>
    <cfRule type="expression" dxfId="16" priority="20" stopIfTrue="1">
      <formula>F50&lt;$D74</formula>
    </cfRule>
  </conditionalFormatting>
  <conditionalFormatting sqref="F50:N53 F54:J57">
    <cfRule type="expression" dxfId="15" priority="21" stopIfTrue="1">
      <formula>F50&gt;$D51</formula>
    </cfRule>
    <cfRule type="expression" dxfId="14" priority="22" stopIfTrue="1">
      <formula>F50&lt;$D51</formula>
    </cfRule>
  </conditionalFormatting>
  <conditionalFormatting sqref="F54:N57">
    <cfRule type="expression" dxfId="13" priority="23" stopIfTrue="1">
      <formula>F54&gt;$D63</formula>
    </cfRule>
    <cfRule type="expression" dxfId="12" priority="24" stopIfTrue="1">
      <formula>F54&lt;$D63</formula>
    </cfRule>
  </conditionalFormatting>
  <conditionalFormatting sqref="F50:N57">
    <cfRule type="expression" dxfId="11" priority="25" stopIfTrue="1">
      <formula>F50&gt;$D52</formula>
    </cfRule>
    <cfRule type="expression" dxfId="10" priority="26" stopIfTrue="1">
      <formula>F50&lt;$D52</formula>
    </cfRule>
  </conditionalFormatting>
  <conditionalFormatting sqref="F59">
    <cfRule type="expression" dxfId="9" priority="3" stopIfTrue="1">
      <formula>F59&gt;$D83</formula>
    </cfRule>
    <cfRule type="expression" dxfId="8" priority="4" stopIfTrue="1">
      <formula>F59&lt;$D83</formula>
    </cfRule>
  </conditionalFormatting>
  <conditionalFormatting sqref="F59">
    <cfRule type="expression" dxfId="7" priority="5" stopIfTrue="1">
      <formula>F59&gt;$D60</formula>
    </cfRule>
    <cfRule type="expression" dxfId="6" priority="6" stopIfTrue="1">
      <formula>F59&lt;$D60</formula>
    </cfRule>
  </conditionalFormatting>
  <conditionalFormatting sqref="F59">
    <cfRule type="expression" dxfId="5" priority="7" stopIfTrue="1">
      <formula>F59&gt;$D61</formula>
    </cfRule>
    <cfRule type="expression" dxfId="4" priority="8" stopIfTrue="1">
      <formula>F59&lt;$D61</formula>
    </cfRule>
  </conditionalFormatting>
  <conditionalFormatting sqref="BT8:BT48">
    <cfRule type="cellIs" dxfId="3" priority="272" stopIfTrue="1" operator="greaterThan">
      <formula>#REF!</formula>
    </cfRule>
    <cfRule type="cellIs" dxfId="2" priority="273" stopIfTrue="1" operator="between">
      <formula>#REF!</formula>
      <formula>#REF!</formula>
    </cfRule>
    <cfRule type="cellIs" dxfId="1" priority="274" stopIfTrue="1" operator="between">
      <formula>#REF!</formula>
      <formula>#REF!</formula>
    </cfRule>
    <cfRule type="cellIs" dxfId="0" priority="275" stopIfTrue="1" operator="between">
      <formula>#REF!</formula>
      <formula>#REF!</formula>
    </cfRule>
  </conditionalFormatting>
  <pageMargins left="0.25" right="0.25" top="0.75" bottom="0.75" header="0.3" footer="0.3"/>
  <pageSetup paperSize="8" scale="5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REGLES</vt:lpstr>
      <vt:lpstr>paramètres</vt:lpstr>
      <vt:lpstr>detail par semaine</vt:lpstr>
      <vt:lpstr>MODU 2025</vt:lpstr>
      <vt:lpstr>'MODU 2025'!Print_Area</vt:lpstr>
      <vt:lpstr>'MODU 2025'!Print_Titles</vt:lpstr>
    </vt:vector>
  </TitlesOfParts>
  <Company>SOBAL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EBT</dc:creator>
  <cp:lastModifiedBy>da Silva, Arnaud</cp:lastModifiedBy>
  <cp:lastPrinted>2024-12-13T17:02:17Z</cp:lastPrinted>
  <dcterms:created xsi:type="dcterms:W3CDTF">2009-01-09T13:17:25Z</dcterms:created>
  <dcterms:modified xsi:type="dcterms:W3CDTF">2025-02-06T00:19:57Z</dcterms:modified>
</cp:coreProperties>
</file>