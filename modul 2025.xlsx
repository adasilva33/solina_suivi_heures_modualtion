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dslv/Documents/zeta/auto_entrepreneur/solina/solina_suivi_heures_modualtion/"/>
    </mc:Choice>
  </mc:AlternateContent>
  <xr:revisionPtr revIDLastSave="0" documentId="8_{D4E35435-43DD-FC49-94A0-3568F1342D26}" xr6:coauthVersionLast="47" xr6:coauthVersionMax="47" xr10:uidLastSave="{00000000-0000-0000-0000-000000000000}"/>
  <bookViews>
    <workbookView xWindow="0" yWindow="760" windowWidth="30240" windowHeight="17580" activeTab="3" xr2:uid="{837C05E8-56EF-4E1E-B95F-5007036FEB5F}"/>
  </bookViews>
  <sheets>
    <sheet name="REGLES" sheetId="179" r:id="rId1"/>
    <sheet name="paramètres" sheetId="184" r:id="rId2"/>
    <sheet name="detail par semaine" sheetId="185" r:id="rId3"/>
    <sheet name="MODU 2025" sheetId="182" r:id="rId4"/>
  </sheets>
  <externalReferences>
    <externalReference r:id="rId5"/>
  </externalReferences>
  <definedNames>
    <definedName name="_xlnm._FilterDatabase" localSheetId="2" hidden="1">'detail par semaine'!#REF!</definedName>
    <definedName name="_xlnm._FilterDatabase" localSheetId="3" hidden="1">'MODU 2025'!$B$7:$BI$49</definedName>
    <definedName name="INTERIM">[1]Interim!$A$3:$A$37</definedName>
    <definedName name="_xlnm.Print_Area" localSheetId="3">'MODU 2025'!$B$1:$BO$49</definedName>
    <definedName name="_xlnm.Print_Titles" localSheetId="3">'MODU 2025'!$B:$B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J5" i="185" l="1" a="1"/>
  <c r="FJ5" i="185" s="1"/>
  <c r="HL5" i="185" s="1"/>
  <c r="H33" i="185"/>
  <c r="I33" i="185"/>
  <c r="FJ6" i="185" a="1"/>
  <c r="FJ6" i="185" s="1"/>
  <c r="FK6" i="185" a="1"/>
  <c r="FK6" i="185" s="1"/>
  <c r="FL6" i="185" a="1"/>
  <c r="FL6" i="185" s="1"/>
  <c r="FM6" i="185" a="1"/>
  <c r="FM6" i="185" s="1"/>
  <c r="FN6" i="185" a="1"/>
  <c r="FN6" i="185" s="1"/>
  <c r="FO6" i="185" a="1"/>
  <c r="FO6" i="185" s="1"/>
  <c r="FP6" i="185" a="1"/>
  <c r="FP6" i="185"/>
  <c r="FQ6" i="185" a="1"/>
  <c r="FQ6" i="185"/>
  <c r="FR6" i="185" a="1"/>
  <c r="FR6" i="185"/>
  <c r="FS6" i="185" a="1"/>
  <c r="FS6" i="185"/>
  <c r="FT6" i="185" a="1"/>
  <c r="FT6" i="185"/>
  <c r="FU6" i="185" a="1"/>
  <c r="FU6" i="185"/>
  <c r="FV6" i="185" a="1"/>
  <c r="FV6" i="185"/>
  <c r="FW6" i="185" a="1"/>
  <c r="FW6" i="185"/>
  <c r="FX6" i="185" a="1"/>
  <c r="FX6" i="185" s="1"/>
  <c r="FY6" i="185" a="1"/>
  <c r="FY6" i="185" s="1"/>
  <c r="FZ6" i="185" a="1"/>
  <c r="FZ6" i="185" s="1"/>
  <c r="GA6" i="185" a="1"/>
  <c r="GA6" i="185" s="1"/>
  <c r="GB6" i="185" a="1"/>
  <c r="GB6" i="185" s="1"/>
  <c r="GC6" i="185" a="1"/>
  <c r="GC6" i="185" s="1"/>
  <c r="GD6" i="185" a="1"/>
  <c r="GD6" i="185"/>
  <c r="GE6" i="185" a="1"/>
  <c r="GE6" i="185"/>
  <c r="GF6" i="185" a="1"/>
  <c r="GF6" i="185"/>
  <c r="GG6" i="185" a="1"/>
  <c r="GG6" i="185" s="1"/>
  <c r="GH6" i="185" a="1"/>
  <c r="GH6" i="185" s="1"/>
  <c r="GI6" i="185" a="1"/>
  <c r="GI6" i="185" s="1"/>
  <c r="GJ6" i="185" a="1"/>
  <c r="GJ6" i="185"/>
  <c r="GK6" i="185" a="1"/>
  <c r="GK6" i="185"/>
  <c r="GL6" i="185" a="1"/>
  <c r="GL6" i="185" s="1"/>
  <c r="GM6" i="185" a="1"/>
  <c r="GM6" i="185" s="1"/>
  <c r="GN6" i="185" a="1"/>
  <c r="GN6" i="185" s="1"/>
  <c r="GO6" i="185" a="1"/>
  <c r="GO6" i="185" s="1"/>
  <c r="GP6" i="185" a="1"/>
  <c r="GP6" i="185" s="1"/>
  <c r="GQ6" i="185" a="1"/>
  <c r="GQ6" i="185" s="1"/>
  <c r="GR6" i="185" a="1"/>
  <c r="GR6" i="185"/>
  <c r="GS6" i="185" a="1"/>
  <c r="GS6" i="185"/>
  <c r="GT6" i="185" a="1"/>
  <c r="GT6" i="185"/>
  <c r="GU6" i="185" a="1"/>
  <c r="GU6" i="185" s="1"/>
  <c r="GV6" i="185" a="1"/>
  <c r="GV6" i="185" s="1"/>
  <c r="GW6" i="185" a="1"/>
  <c r="GW6" i="185" s="1"/>
  <c r="GX6" i="185" a="1"/>
  <c r="GX6" i="185" s="1"/>
  <c r="GY6" i="185" a="1"/>
  <c r="GY6" i="185" s="1"/>
  <c r="GZ6" i="185" a="1"/>
  <c r="GZ6" i="185" s="1"/>
  <c r="HA6" i="185" a="1"/>
  <c r="HA6" i="185" s="1"/>
  <c r="HB6" i="185" a="1"/>
  <c r="HB6" i="185" s="1"/>
  <c r="HC6" i="185" a="1"/>
  <c r="HC6" i="185" s="1"/>
  <c r="HD6" i="185" a="1"/>
  <c r="HD6" i="185" s="1"/>
  <c r="HE6" i="185" a="1"/>
  <c r="HE6" i="185" s="1"/>
  <c r="HF6" i="185" a="1"/>
  <c r="HF6" i="185"/>
  <c r="HG6" i="185" a="1"/>
  <c r="HG6" i="185"/>
  <c r="HH6" i="185" a="1"/>
  <c r="HH6" i="185"/>
  <c r="HI6" i="185" a="1"/>
  <c r="HI6" i="185"/>
  <c r="FJ7" i="185" a="1"/>
  <c r="FJ7" i="185"/>
  <c r="FK7" i="185" a="1"/>
  <c r="FK7" i="185"/>
  <c r="FL7" i="185" a="1"/>
  <c r="FL7" i="185" s="1"/>
  <c r="FM7" i="185" a="1"/>
  <c r="FM7" i="185" s="1"/>
  <c r="FN7" i="185" a="1"/>
  <c r="FN7" i="185" s="1"/>
  <c r="FO7" i="185" a="1"/>
  <c r="FO7" i="185" s="1"/>
  <c r="FP7" i="185" a="1"/>
  <c r="FP7" i="185" s="1"/>
  <c r="FQ7" i="185" a="1"/>
  <c r="FQ7" i="185" s="1"/>
  <c r="FR7" i="185" a="1"/>
  <c r="FR7" i="185" s="1"/>
  <c r="FS7" i="185" a="1"/>
  <c r="FS7" i="185" s="1"/>
  <c r="FT7" i="185" a="1"/>
  <c r="FT7" i="185"/>
  <c r="FU7" i="185" a="1"/>
  <c r="FU7" i="185"/>
  <c r="FV7" i="185" a="1"/>
  <c r="FV7" i="185"/>
  <c r="FW7" i="185" a="1"/>
  <c r="FW7" i="185"/>
  <c r="FX7" i="185" a="1"/>
  <c r="FX7" i="185"/>
  <c r="FY7" i="185" a="1"/>
  <c r="FY7" i="185"/>
  <c r="FZ7" i="185" a="1"/>
  <c r="FZ7" i="185"/>
  <c r="GA7" i="185" a="1"/>
  <c r="GA7" i="185"/>
  <c r="GB7" i="185" a="1"/>
  <c r="GB7" i="185" s="1"/>
  <c r="GC7" i="185" a="1"/>
  <c r="GC7" i="185" s="1"/>
  <c r="GD7" i="185" a="1"/>
  <c r="GD7" i="185" s="1"/>
  <c r="GE7" i="185" a="1"/>
  <c r="GE7" i="185" s="1"/>
  <c r="GF7" i="185" a="1"/>
  <c r="GF7" i="185" s="1"/>
  <c r="GG7" i="185" a="1"/>
  <c r="GG7" i="185" s="1"/>
  <c r="GH7" i="185" a="1"/>
  <c r="GH7" i="185"/>
  <c r="GI7" i="185" a="1"/>
  <c r="GI7" i="185"/>
  <c r="GJ7" i="185" a="1"/>
  <c r="GJ7" i="185"/>
  <c r="GK7" i="185" a="1"/>
  <c r="GK7" i="185" s="1"/>
  <c r="GL7" i="185" a="1"/>
  <c r="GL7" i="185"/>
  <c r="GM7" i="185" a="1"/>
  <c r="GM7" i="185"/>
  <c r="GN7" i="185" a="1"/>
  <c r="GN7" i="185"/>
  <c r="GO7" i="185" a="1"/>
  <c r="GO7" i="185"/>
  <c r="GP7" i="185" a="1"/>
  <c r="GP7" i="185" s="1"/>
  <c r="GQ7" i="185" a="1"/>
  <c r="GQ7" i="185" s="1"/>
  <c r="GR7" i="185" a="1"/>
  <c r="GR7" i="185" s="1"/>
  <c r="GS7" i="185" a="1"/>
  <c r="GS7" i="185" s="1"/>
  <c r="GT7" i="185" a="1"/>
  <c r="GT7" i="185" s="1"/>
  <c r="GU7" i="185" a="1"/>
  <c r="GU7" i="185" s="1"/>
  <c r="GV7" i="185" a="1"/>
  <c r="GV7" i="185"/>
  <c r="GW7" i="185" a="1"/>
  <c r="GW7" i="185"/>
  <c r="GX7" i="185" a="1"/>
  <c r="GX7" i="185"/>
  <c r="GY7" i="185" a="1"/>
  <c r="GY7" i="185" s="1"/>
  <c r="GZ7" i="185" a="1"/>
  <c r="GZ7" i="185" s="1"/>
  <c r="HA7" i="185" a="1"/>
  <c r="HA7" i="185" s="1"/>
  <c r="HB7" i="185" a="1"/>
  <c r="HB7" i="185" s="1"/>
  <c r="HC7" i="185" a="1"/>
  <c r="HC7" i="185"/>
  <c r="HD7" i="185" a="1"/>
  <c r="HD7" i="185" s="1"/>
  <c r="HE7" i="185" a="1"/>
  <c r="HE7" i="185" s="1"/>
  <c r="HF7" i="185" a="1"/>
  <c r="HF7" i="185" s="1"/>
  <c r="HG7" i="185" a="1"/>
  <c r="HG7" i="185" s="1"/>
  <c r="HH7" i="185" a="1"/>
  <c r="HH7" i="185" s="1"/>
  <c r="HI7" i="185" a="1"/>
  <c r="HI7" i="185" s="1"/>
  <c r="FJ8" i="185" a="1"/>
  <c r="FJ8" i="185"/>
  <c r="FK8" i="185" a="1"/>
  <c r="FK8" i="185"/>
  <c r="FL8" i="185" a="1"/>
  <c r="FL8" i="185"/>
  <c r="FM8" i="185" a="1"/>
  <c r="FM8" i="185"/>
  <c r="FN8" i="185" a="1"/>
  <c r="FN8" i="185" s="1"/>
  <c r="FO8" i="185" a="1"/>
  <c r="FO8" i="185" s="1"/>
  <c r="FP8" i="185" a="1"/>
  <c r="FP8" i="185" s="1"/>
  <c r="FQ8" i="185" a="1"/>
  <c r="FQ8" i="185" s="1"/>
  <c r="FR8" i="185" a="1"/>
  <c r="FR8" i="185" s="1"/>
  <c r="FS8" i="185" a="1"/>
  <c r="FS8" i="185" s="1"/>
  <c r="FT8" i="185" a="1"/>
  <c r="FT8" i="185" s="1"/>
  <c r="FU8" i="185" a="1"/>
  <c r="FU8" i="185" s="1"/>
  <c r="FV8" i="185" a="1"/>
  <c r="FV8" i="185" s="1"/>
  <c r="FW8" i="185" a="1"/>
  <c r="FW8" i="185" s="1"/>
  <c r="FX8" i="185" a="1"/>
  <c r="FX8" i="185"/>
  <c r="FY8" i="185" a="1"/>
  <c r="FY8" i="185"/>
  <c r="FZ8" i="185" a="1"/>
  <c r="FZ8" i="185"/>
  <c r="GA8" i="185" a="1"/>
  <c r="GA8" i="185"/>
  <c r="GB8" i="185" a="1"/>
  <c r="GB8" i="185"/>
  <c r="GC8" i="185" a="1"/>
  <c r="GC8" i="185"/>
  <c r="GD8" i="185" a="1"/>
  <c r="GD8" i="185"/>
  <c r="GE8" i="185" a="1"/>
  <c r="GE8" i="185" s="1"/>
  <c r="GF8" i="185" a="1"/>
  <c r="GF8" i="185" s="1"/>
  <c r="GG8" i="185" a="1"/>
  <c r="GG8" i="185" s="1"/>
  <c r="GH8" i="185" a="1"/>
  <c r="GH8" i="185" s="1"/>
  <c r="GI8" i="185" a="1"/>
  <c r="GI8" i="185" s="1"/>
  <c r="GJ8" i="185" a="1"/>
  <c r="GJ8" i="185" s="1"/>
  <c r="GK8" i="185" a="1"/>
  <c r="GK8" i="185" s="1"/>
  <c r="GL8" i="185" a="1"/>
  <c r="GL8" i="185"/>
  <c r="GM8" i="185" a="1"/>
  <c r="GM8" i="185"/>
  <c r="GN8" i="185" a="1"/>
  <c r="GN8" i="185"/>
  <c r="GO8" i="185" a="1"/>
  <c r="GO8" i="185"/>
  <c r="GP8" i="185" a="1"/>
  <c r="GP8" i="185"/>
  <c r="GQ8" i="185" a="1"/>
  <c r="GQ8" i="185"/>
  <c r="GR8" i="185" a="1"/>
  <c r="GR8" i="185"/>
  <c r="GS8" i="185" a="1"/>
  <c r="GS8" i="185"/>
  <c r="GT8" i="185" a="1"/>
  <c r="GT8" i="185" s="1"/>
  <c r="GU8" i="185" a="1"/>
  <c r="GU8" i="185" s="1"/>
  <c r="GV8" i="185" a="1"/>
  <c r="GV8" i="185" s="1"/>
  <c r="GW8" i="185" a="1"/>
  <c r="GW8" i="185" s="1"/>
  <c r="GX8" i="185" a="1"/>
  <c r="GX8" i="185" s="1"/>
  <c r="GY8" i="185" a="1"/>
  <c r="GY8" i="185" s="1"/>
  <c r="GZ8" i="185" a="1"/>
  <c r="GZ8" i="185"/>
  <c r="HA8" i="185" a="1"/>
  <c r="HA8" i="185" s="1"/>
  <c r="HB8" i="185" a="1"/>
  <c r="HB8" i="185"/>
  <c r="HC8" i="185" a="1"/>
  <c r="HC8" i="185"/>
  <c r="HD8" i="185" a="1"/>
  <c r="HD8" i="185" s="1"/>
  <c r="HE8" i="185" a="1"/>
  <c r="HE8" i="185" s="1"/>
  <c r="HF8" i="185" a="1"/>
  <c r="HF8" i="185" s="1"/>
  <c r="HG8" i="185" a="1"/>
  <c r="HG8" i="185"/>
  <c r="HH8" i="185" a="1"/>
  <c r="HH8" i="185" s="1"/>
  <c r="HI8" i="185" a="1"/>
  <c r="HI8" i="185" s="1"/>
  <c r="FJ9" i="185" a="1"/>
  <c r="FJ9" i="185" s="1"/>
  <c r="FK9" i="185" a="1"/>
  <c r="FK9" i="185" s="1"/>
  <c r="FL9" i="185" a="1"/>
  <c r="FL9" i="185" s="1"/>
  <c r="FM9" i="185" a="1"/>
  <c r="FM9" i="185" s="1"/>
  <c r="FN9" i="185" a="1"/>
  <c r="FN9" i="185"/>
  <c r="FO9" i="185" a="1"/>
  <c r="FO9" i="185" s="1"/>
  <c r="FP9" i="185" a="1"/>
  <c r="FP9" i="185"/>
  <c r="FQ9" i="185" a="1"/>
  <c r="FQ9" i="185" s="1"/>
  <c r="FR9" i="185" a="1"/>
  <c r="FR9" i="185" s="1"/>
  <c r="FS9" i="185" a="1"/>
  <c r="FS9" i="185" s="1"/>
  <c r="FT9" i="185" a="1"/>
  <c r="FT9" i="185" s="1"/>
  <c r="FU9" i="185" a="1"/>
  <c r="FU9" i="185"/>
  <c r="FV9" i="185" a="1"/>
  <c r="FV9" i="185" s="1"/>
  <c r="FW9" i="185" a="1"/>
  <c r="FW9" i="185" s="1"/>
  <c r="FX9" i="185" a="1"/>
  <c r="FX9" i="185" s="1"/>
  <c r="FY9" i="185" a="1"/>
  <c r="FY9" i="185" s="1"/>
  <c r="FZ9" i="185" a="1"/>
  <c r="FZ9" i="185" s="1"/>
  <c r="GA9" i="185" a="1"/>
  <c r="GA9" i="185" s="1"/>
  <c r="GB9" i="185" a="1"/>
  <c r="GB9" i="185"/>
  <c r="GC9" i="185" a="1"/>
  <c r="GC9" i="185" s="1"/>
  <c r="GD9" i="185" a="1"/>
  <c r="GD9" i="185"/>
  <c r="GE9" i="185" a="1"/>
  <c r="GE9" i="185" s="1"/>
  <c r="GF9" i="185" a="1"/>
  <c r="GF9" i="185"/>
  <c r="GG9" i="185" a="1"/>
  <c r="GG9" i="185"/>
  <c r="GH9" i="185" a="1"/>
  <c r="GH9" i="185" s="1"/>
  <c r="GI9" i="185" a="1"/>
  <c r="GI9" i="185" s="1"/>
  <c r="GJ9" i="185" a="1"/>
  <c r="GJ9" i="185" s="1"/>
  <c r="GK9" i="185" a="1"/>
  <c r="GK9" i="185" s="1"/>
  <c r="GL9" i="185" a="1"/>
  <c r="GL9" i="185" s="1"/>
  <c r="GM9" i="185" a="1"/>
  <c r="GM9" i="185" s="1"/>
  <c r="GN9" i="185" a="1"/>
  <c r="GN9" i="185" s="1"/>
  <c r="GO9" i="185" a="1"/>
  <c r="GO9" i="185" s="1"/>
  <c r="GP9" i="185" a="1"/>
  <c r="GP9" i="185"/>
  <c r="GQ9" i="185" a="1"/>
  <c r="GQ9" i="185" s="1"/>
  <c r="GR9" i="185" a="1"/>
  <c r="GR9" i="185"/>
  <c r="GS9" i="185" a="1"/>
  <c r="GS9" i="185"/>
  <c r="GT9" i="185" a="1"/>
  <c r="GT9" i="185"/>
  <c r="GU9" i="185" a="1"/>
  <c r="GU9" i="185"/>
  <c r="GV9" i="185" a="1"/>
  <c r="GV9" i="185"/>
  <c r="GW9" i="185" a="1"/>
  <c r="GW9" i="185"/>
  <c r="GX9" i="185" a="1"/>
  <c r="GX9" i="185" s="1"/>
  <c r="GY9" i="185" a="1"/>
  <c r="GY9" i="185" s="1"/>
  <c r="GZ9" i="185" a="1"/>
  <c r="GZ9" i="185" s="1"/>
  <c r="HA9" i="185" a="1"/>
  <c r="HA9" i="185" s="1"/>
  <c r="HB9" i="185" a="1"/>
  <c r="HB9" i="185" s="1"/>
  <c r="HC9" i="185" a="1"/>
  <c r="HC9" i="185" s="1"/>
  <c r="HD9" i="185" a="1"/>
  <c r="HD9" i="185"/>
  <c r="HE9" i="185" a="1"/>
  <c r="HE9" i="185" s="1"/>
  <c r="HF9" i="185" a="1"/>
  <c r="HF9" i="185" s="1"/>
  <c r="HG9" i="185" a="1"/>
  <c r="HG9" i="185"/>
  <c r="HH9" i="185" a="1"/>
  <c r="HH9" i="185" s="1"/>
  <c r="HI9" i="185" a="1"/>
  <c r="HI9" i="185" s="1"/>
  <c r="FJ10" i="185" a="1"/>
  <c r="FJ10" i="185" s="1"/>
  <c r="FK10" i="185" a="1"/>
  <c r="FK10" i="185"/>
  <c r="FL10" i="185" a="1"/>
  <c r="FL10" i="185" s="1"/>
  <c r="FM10" i="185" a="1"/>
  <c r="FM10" i="185" s="1"/>
  <c r="FN10" i="185" a="1"/>
  <c r="FN10" i="185" s="1"/>
  <c r="FO10" i="185" a="1"/>
  <c r="FO10" i="185" s="1"/>
  <c r="FP10" i="185" a="1"/>
  <c r="FP10" i="185" s="1"/>
  <c r="FQ10" i="185" a="1"/>
  <c r="FQ10" i="185" s="1"/>
  <c r="FR10" i="185" a="1"/>
  <c r="FR10" i="185"/>
  <c r="FS10" i="185" a="1"/>
  <c r="FS10" i="185" s="1"/>
  <c r="FT10" i="185" a="1"/>
  <c r="FT10" i="185"/>
  <c r="FU10" i="185" a="1"/>
  <c r="FU10" i="185" s="1"/>
  <c r="FV10" i="185" a="1"/>
  <c r="FV10" i="185" s="1"/>
  <c r="FW10" i="185" a="1"/>
  <c r="FW10" i="185"/>
  <c r="FX10" i="185" a="1"/>
  <c r="FX10" i="185" s="1"/>
  <c r="FY10" i="185" a="1"/>
  <c r="FY10" i="185"/>
  <c r="FZ10" i="185" a="1"/>
  <c r="FZ10" i="185" s="1"/>
  <c r="GA10" i="185" a="1"/>
  <c r="GA10" i="185" s="1"/>
  <c r="GB10" i="185" a="1"/>
  <c r="GB10" i="185" s="1"/>
  <c r="GC10" i="185" a="1"/>
  <c r="GC10" i="185" s="1"/>
  <c r="GD10" i="185" a="1"/>
  <c r="GD10" i="185" s="1"/>
  <c r="GE10" i="185" a="1"/>
  <c r="GE10" i="185" s="1"/>
  <c r="GF10" i="185" a="1"/>
  <c r="GF10" i="185"/>
  <c r="GG10" i="185" a="1"/>
  <c r="GG10" i="185" s="1"/>
  <c r="GH10" i="185" a="1"/>
  <c r="GH10" i="185"/>
  <c r="GI10" i="185" a="1"/>
  <c r="GI10" i="185" s="1"/>
  <c r="GJ10" i="185" a="1"/>
  <c r="GJ10" i="185"/>
  <c r="GK10" i="185" a="1"/>
  <c r="GK10" i="185"/>
  <c r="GL10" i="185" a="1"/>
  <c r="GL10" i="185" s="1"/>
  <c r="GM10" i="185" a="1"/>
  <c r="GM10" i="185" s="1"/>
  <c r="GN10" i="185" a="1"/>
  <c r="GN10" i="185" s="1"/>
  <c r="GO10" i="185" a="1"/>
  <c r="GO10" i="185" s="1"/>
  <c r="GP10" i="185" a="1"/>
  <c r="GP10" i="185" s="1"/>
  <c r="GQ10" i="185" a="1"/>
  <c r="GQ10" i="185" s="1"/>
  <c r="GR10" i="185" a="1"/>
  <c r="GR10" i="185" s="1"/>
  <c r="GS10" i="185" a="1"/>
  <c r="GS10" i="185" s="1"/>
  <c r="GT10" i="185" a="1"/>
  <c r="GT10" i="185"/>
  <c r="GU10" i="185" a="1"/>
  <c r="GU10" i="185" s="1"/>
  <c r="GV10" i="185" a="1"/>
  <c r="GV10" i="185"/>
  <c r="GW10" i="185" a="1"/>
  <c r="GW10" i="185"/>
  <c r="GX10" i="185" a="1"/>
  <c r="GX10" i="185"/>
  <c r="GY10" i="185" a="1"/>
  <c r="GY10" i="185"/>
  <c r="GZ10" i="185" a="1"/>
  <c r="GZ10" i="185"/>
  <c r="HA10" i="185" a="1"/>
  <c r="HA10" i="185"/>
  <c r="HB10" i="185" a="1"/>
  <c r="HB10" i="185" s="1"/>
  <c r="HC10" i="185" a="1"/>
  <c r="HC10" i="185" s="1"/>
  <c r="HD10" i="185" a="1"/>
  <c r="HD10" i="185" s="1"/>
  <c r="HE10" i="185" a="1"/>
  <c r="HE10" i="185" s="1"/>
  <c r="HF10" i="185" a="1"/>
  <c r="HF10" i="185" s="1"/>
  <c r="HG10" i="185" a="1"/>
  <c r="HG10" i="185" s="1"/>
  <c r="HH10" i="185" a="1"/>
  <c r="HH10" i="185"/>
  <c r="HI10" i="185" a="1"/>
  <c r="HI10" i="185" s="1"/>
  <c r="FJ11" i="185" a="1"/>
  <c r="FJ11" i="185" s="1"/>
  <c r="FK11" i="185" a="1"/>
  <c r="FK11" i="185"/>
  <c r="FL11" i="185" a="1"/>
  <c r="FL11" i="185" s="1"/>
  <c r="FM11" i="185" a="1"/>
  <c r="FM11" i="185" s="1"/>
  <c r="FN11" i="185" a="1"/>
  <c r="FN11" i="185" s="1"/>
  <c r="FO11" i="185" a="1"/>
  <c r="FO11" i="185"/>
  <c r="FP11" i="185" a="1"/>
  <c r="FP11" i="185" s="1"/>
  <c r="FQ11" i="185" a="1"/>
  <c r="FQ11" i="185" s="1"/>
  <c r="FR11" i="185" a="1"/>
  <c r="FR11" i="185" s="1"/>
  <c r="FS11" i="185" a="1"/>
  <c r="FS11" i="185" s="1"/>
  <c r="FT11" i="185" a="1"/>
  <c r="FT11" i="185" s="1"/>
  <c r="FU11" i="185" a="1"/>
  <c r="FU11" i="185" s="1"/>
  <c r="FV11" i="185" a="1"/>
  <c r="FV11" i="185"/>
  <c r="FW11" i="185" a="1"/>
  <c r="FW11" i="185" s="1"/>
  <c r="FX11" i="185" a="1"/>
  <c r="FX11" i="185"/>
  <c r="FY11" i="185" a="1"/>
  <c r="FY11" i="185" s="1"/>
  <c r="FZ11" i="185" a="1"/>
  <c r="FZ11" i="185" s="1"/>
  <c r="GA11" i="185" a="1"/>
  <c r="GA11" i="185"/>
  <c r="GB11" i="185" a="1"/>
  <c r="GB11" i="185" s="1"/>
  <c r="GC11" i="185" a="1"/>
  <c r="GC11" i="185"/>
  <c r="GD11" i="185" a="1"/>
  <c r="GD11" i="185" s="1"/>
  <c r="GE11" i="185" a="1"/>
  <c r="GE11" i="185" s="1"/>
  <c r="GF11" i="185" a="1"/>
  <c r="GF11" i="185" s="1"/>
  <c r="GG11" i="185" a="1"/>
  <c r="GG11" i="185" s="1"/>
  <c r="GH11" i="185" a="1"/>
  <c r="GH11" i="185" s="1"/>
  <c r="GI11" i="185" a="1"/>
  <c r="GI11" i="185" s="1"/>
  <c r="GJ11" i="185" a="1"/>
  <c r="GJ11" i="185"/>
  <c r="GK11" i="185" a="1"/>
  <c r="GK11" i="185" s="1"/>
  <c r="GL11" i="185" a="1"/>
  <c r="GL11" i="185"/>
  <c r="GM11" i="185" a="1"/>
  <c r="GM11" i="185" s="1"/>
  <c r="GN11" i="185" a="1"/>
  <c r="GN11" i="185"/>
  <c r="GO11" i="185" a="1"/>
  <c r="GO11" i="185"/>
  <c r="GP11" i="185" a="1"/>
  <c r="GP11" i="185" s="1"/>
  <c r="GQ11" i="185" a="1"/>
  <c r="GQ11" i="185" s="1"/>
  <c r="GR11" i="185" a="1"/>
  <c r="GR11" i="185" s="1"/>
  <c r="GS11" i="185" a="1"/>
  <c r="GS11" i="185" s="1"/>
  <c r="GT11" i="185" a="1"/>
  <c r="GT11" i="185" s="1"/>
  <c r="GU11" i="185" a="1"/>
  <c r="GU11" i="185" s="1"/>
  <c r="GV11" i="185" a="1"/>
  <c r="GV11" i="185" s="1"/>
  <c r="GW11" i="185" a="1"/>
  <c r="GW11" i="185" s="1"/>
  <c r="GX11" i="185" a="1"/>
  <c r="GX11" i="185"/>
  <c r="GY11" i="185" a="1"/>
  <c r="GY11" i="185" s="1"/>
  <c r="GZ11" i="185" a="1"/>
  <c r="GZ11" i="185"/>
  <c r="HA11" i="185" a="1"/>
  <c r="HA11" i="185"/>
  <c r="HB11" i="185" a="1"/>
  <c r="HB11" i="185"/>
  <c r="HC11" i="185" a="1"/>
  <c r="HC11" i="185"/>
  <c r="HD11" i="185" a="1"/>
  <c r="HD11" i="185"/>
  <c r="HE11" i="185" a="1"/>
  <c r="HE11" i="185"/>
  <c r="HF11" i="185" a="1"/>
  <c r="HF11" i="185" s="1"/>
  <c r="HG11" i="185" a="1"/>
  <c r="HG11" i="185" s="1"/>
  <c r="HH11" i="185" a="1"/>
  <c r="HH11" i="185" s="1"/>
  <c r="HI11" i="185" a="1"/>
  <c r="HI11" i="185" s="1"/>
  <c r="FJ12" i="185" a="1"/>
  <c r="FJ12" i="185" s="1"/>
  <c r="FK12" i="185" a="1"/>
  <c r="FK12" i="185" s="1"/>
  <c r="FL12" i="185" a="1"/>
  <c r="FL12" i="185"/>
  <c r="FM12" i="185" a="1"/>
  <c r="FM12" i="185" s="1"/>
  <c r="FN12" i="185" a="1"/>
  <c r="FN12" i="185" s="1"/>
  <c r="FO12" i="185" a="1"/>
  <c r="FO12" i="185" s="1"/>
  <c r="FP12" i="185" a="1"/>
  <c r="FP12" i="185" s="1"/>
  <c r="FQ12" i="185" a="1"/>
  <c r="FQ12" i="185" s="1"/>
  <c r="FR12" i="185" a="1"/>
  <c r="FR12" i="185" s="1"/>
  <c r="FS12" i="185" a="1"/>
  <c r="FS12" i="185"/>
  <c r="FT12" i="185" a="1"/>
  <c r="FT12" i="185" s="1"/>
  <c r="FU12" i="185" a="1"/>
  <c r="FU12" i="185" s="1"/>
  <c r="FV12" i="185" a="1"/>
  <c r="FV12" i="185" s="1"/>
  <c r="FW12" i="185" a="1"/>
  <c r="FW12" i="185" s="1"/>
  <c r="FX12" i="185" a="1"/>
  <c r="FX12" i="185" s="1"/>
  <c r="FY12" i="185" a="1"/>
  <c r="FY12" i="185" s="1"/>
  <c r="FZ12" i="185" a="1"/>
  <c r="FZ12" i="185"/>
  <c r="GA12" i="185" a="1"/>
  <c r="GA12" i="185" s="1"/>
  <c r="GB12" i="185" a="1"/>
  <c r="GB12" i="185"/>
  <c r="GC12" i="185" a="1"/>
  <c r="GC12" i="185" s="1"/>
  <c r="GD12" i="185" a="1"/>
  <c r="GD12" i="185" s="1"/>
  <c r="GE12" i="185" a="1"/>
  <c r="GE12" i="185"/>
  <c r="GF12" i="185" a="1"/>
  <c r="GF12" i="185" s="1"/>
  <c r="GG12" i="185" a="1"/>
  <c r="GG12" i="185"/>
  <c r="GH12" i="185" a="1"/>
  <c r="GH12" i="185" s="1"/>
  <c r="GI12" i="185" a="1"/>
  <c r="GI12" i="185" s="1"/>
  <c r="GJ12" i="185" a="1"/>
  <c r="GJ12" i="185" s="1"/>
  <c r="GK12" i="185" a="1"/>
  <c r="GK12" i="185" s="1"/>
  <c r="GL12" i="185" a="1"/>
  <c r="GL12" i="185" s="1"/>
  <c r="GM12" i="185" a="1"/>
  <c r="GM12" i="185" s="1"/>
  <c r="GN12" i="185" a="1"/>
  <c r="GN12" i="185"/>
  <c r="GO12" i="185" a="1"/>
  <c r="GO12" i="185" s="1"/>
  <c r="GP12" i="185" a="1"/>
  <c r="GP12" i="185"/>
  <c r="GQ12" i="185" a="1"/>
  <c r="GQ12" i="185" s="1"/>
  <c r="GR12" i="185" a="1"/>
  <c r="GR12" i="185"/>
  <c r="GS12" i="185" a="1"/>
  <c r="GS12" i="185"/>
  <c r="GT12" i="185" a="1"/>
  <c r="GT12" i="185" s="1"/>
  <c r="GU12" i="185" a="1"/>
  <c r="GU12" i="185" s="1"/>
  <c r="GV12" i="185" a="1"/>
  <c r="GV12" i="185" s="1"/>
  <c r="GW12" i="185" a="1"/>
  <c r="GW12" i="185" s="1"/>
  <c r="GX12" i="185" a="1"/>
  <c r="GX12" i="185" s="1"/>
  <c r="GY12" i="185" a="1"/>
  <c r="GY12" i="185" s="1"/>
  <c r="GZ12" i="185" a="1"/>
  <c r="GZ12" i="185" s="1"/>
  <c r="HA12" i="185" a="1"/>
  <c r="HA12" i="185" s="1"/>
  <c r="HB12" i="185" a="1"/>
  <c r="HB12" i="185"/>
  <c r="HC12" i="185" a="1"/>
  <c r="HC12" i="185" s="1"/>
  <c r="HD12" i="185" a="1"/>
  <c r="HD12" i="185"/>
  <c r="HE12" i="185" a="1"/>
  <c r="HE12" i="185"/>
  <c r="HF12" i="185" a="1"/>
  <c r="HF12" i="185"/>
  <c r="HG12" i="185" a="1"/>
  <c r="HG12" i="185"/>
  <c r="HH12" i="185" a="1"/>
  <c r="HH12" i="185"/>
  <c r="HI12" i="185" a="1"/>
  <c r="HI12" i="185"/>
  <c r="FJ13" i="185" a="1"/>
  <c r="FJ13" i="185" s="1"/>
  <c r="FK13" i="185" a="1"/>
  <c r="FK13" i="185" s="1"/>
  <c r="FL13" i="185" a="1"/>
  <c r="FL13" i="185" s="1"/>
  <c r="FM13" i="185" a="1"/>
  <c r="FM13" i="185" s="1"/>
  <c r="FN13" i="185" a="1"/>
  <c r="FN13" i="185" s="1"/>
  <c r="FO13" i="185" a="1"/>
  <c r="FO13" i="185" s="1"/>
  <c r="FP13" i="185" a="1"/>
  <c r="FP13" i="185"/>
  <c r="FQ13" i="185" a="1"/>
  <c r="FQ13" i="185" s="1"/>
  <c r="FR13" i="185" a="1"/>
  <c r="FR13" i="185" s="1"/>
  <c r="FS13" i="185" a="1"/>
  <c r="FS13" i="185" s="1"/>
  <c r="FT13" i="185" a="1"/>
  <c r="FT13" i="185" s="1"/>
  <c r="FU13" i="185" a="1"/>
  <c r="FU13" i="185" s="1"/>
  <c r="FV13" i="185" a="1"/>
  <c r="FV13" i="185" s="1"/>
  <c r="FW13" i="185" a="1"/>
  <c r="FW13" i="185"/>
  <c r="FX13" i="185" a="1"/>
  <c r="FX13" i="185" s="1"/>
  <c r="FY13" i="185" a="1"/>
  <c r="FY13" i="185" s="1"/>
  <c r="FZ13" i="185" a="1"/>
  <c r="FZ13" i="185" s="1"/>
  <c r="GA13" i="185" a="1"/>
  <c r="GA13" i="185" s="1"/>
  <c r="GB13" i="185" a="1"/>
  <c r="GB13" i="185" s="1"/>
  <c r="GC13" i="185" a="1"/>
  <c r="GC13" i="185" s="1"/>
  <c r="GD13" i="185" a="1"/>
  <c r="GD13" i="185"/>
  <c r="GE13" i="185" a="1"/>
  <c r="GE13" i="185" s="1"/>
  <c r="GF13" i="185" a="1"/>
  <c r="GF13" i="185"/>
  <c r="GG13" i="185" a="1"/>
  <c r="GG13" i="185" s="1"/>
  <c r="GH13" i="185" a="1"/>
  <c r="GH13" i="185" s="1"/>
  <c r="GI13" i="185" a="1"/>
  <c r="GI13" i="185"/>
  <c r="GJ13" i="185" a="1"/>
  <c r="GJ13" i="185"/>
  <c r="GK13" i="185" a="1"/>
  <c r="GK13" i="185"/>
  <c r="GL13" i="185" a="1"/>
  <c r="GL13" i="185" s="1"/>
  <c r="GM13" i="185" a="1"/>
  <c r="GM13" i="185" s="1"/>
  <c r="GN13" i="185" a="1"/>
  <c r="GN13" i="185" s="1"/>
  <c r="GO13" i="185" a="1"/>
  <c r="GO13" i="185" s="1"/>
  <c r="GP13" i="185" a="1"/>
  <c r="GP13" i="185" s="1"/>
  <c r="GQ13" i="185" a="1"/>
  <c r="GQ13" i="185" s="1"/>
  <c r="GR13" i="185" a="1"/>
  <c r="GR13" i="185"/>
  <c r="GS13" i="185" a="1"/>
  <c r="GS13" i="185" s="1"/>
  <c r="GT13" i="185" a="1"/>
  <c r="GT13" i="185"/>
  <c r="GU13" i="185" a="1"/>
  <c r="GU13" i="185" s="1"/>
  <c r="GV13" i="185" a="1"/>
  <c r="GV13" i="185"/>
  <c r="GW13" i="185" a="1"/>
  <c r="GW13" i="185"/>
  <c r="GX13" i="185" a="1"/>
  <c r="GX13" i="185" s="1"/>
  <c r="GY13" i="185" a="1"/>
  <c r="GY13" i="185" s="1"/>
  <c r="GZ13" i="185" a="1"/>
  <c r="GZ13" i="185" s="1"/>
  <c r="HA13" i="185" a="1"/>
  <c r="HA13" i="185" s="1"/>
  <c r="HB13" i="185" a="1"/>
  <c r="HB13" i="185" s="1"/>
  <c r="HC13" i="185" a="1"/>
  <c r="HC13" i="185" s="1"/>
  <c r="HD13" i="185" a="1"/>
  <c r="HD13" i="185" s="1"/>
  <c r="HE13" i="185" a="1"/>
  <c r="HE13" i="185" s="1"/>
  <c r="HF13" i="185" a="1"/>
  <c r="HF13" i="185"/>
  <c r="HG13" i="185" a="1"/>
  <c r="HG13" i="185" s="1"/>
  <c r="HH13" i="185" a="1"/>
  <c r="HH13" i="185"/>
  <c r="HI13" i="185" a="1"/>
  <c r="HI13" i="185"/>
  <c r="FJ14" i="185" a="1"/>
  <c r="FJ14" i="185"/>
  <c r="FK14" i="185" a="1"/>
  <c r="FK14" i="185"/>
  <c r="FL14" i="185" a="1"/>
  <c r="FL14" i="185"/>
  <c r="FM14" i="185" a="1"/>
  <c r="FM14" i="185"/>
  <c r="FN14" i="185" a="1"/>
  <c r="FN14" i="185" s="1"/>
  <c r="FO14" i="185" a="1"/>
  <c r="FO14" i="185" s="1"/>
  <c r="FP14" i="185" a="1"/>
  <c r="FP14" i="185" s="1"/>
  <c r="FQ14" i="185" a="1"/>
  <c r="FQ14" i="185" s="1"/>
  <c r="FR14" i="185" a="1"/>
  <c r="FR14" i="185" s="1"/>
  <c r="FS14" i="185" a="1"/>
  <c r="FS14" i="185" s="1"/>
  <c r="FT14" i="185" a="1"/>
  <c r="FT14" i="185"/>
  <c r="FU14" i="185" a="1"/>
  <c r="FU14" i="185" s="1"/>
  <c r="FV14" i="185" a="1"/>
  <c r="FV14" i="185" s="1"/>
  <c r="FW14" i="185" a="1"/>
  <c r="FW14" i="185" s="1"/>
  <c r="FX14" i="185" a="1"/>
  <c r="FX14" i="185" s="1"/>
  <c r="FY14" i="185" a="1"/>
  <c r="FY14" i="185" s="1"/>
  <c r="FZ14" i="185" a="1"/>
  <c r="FZ14" i="185" s="1"/>
  <c r="GA14" i="185" a="1"/>
  <c r="GA14" i="185"/>
  <c r="GB14" i="185" a="1"/>
  <c r="GB14" i="185" s="1"/>
  <c r="GC14" i="185" a="1"/>
  <c r="GC14" i="185" s="1"/>
  <c r="GD14" i="185" a="1"/>
  <c r="GD14" i="185" s="1"/>
  <c r="GE14" i="185" a="1"/>
  <c r="GE14" i="185" s="1"/>
  <c r="GF14" i="185" a="1"/>
  <c r="GF14" i="185" s="1"/>
  <c r="GG14" i="185" a="1"/>
  <c r="GG14" i="185" s="1"/>
  <c r="GH14" i="185" a="1"/>
  <c r="GH14" i="185"/>
  <c r="GI14" i="185" a="1"/>
  <c r="GI14" i="185" s="1"/>
  <c r="GJ14" i="185" a="1"/>
  <c r="GJ14" i="185"/>
  <c r="GK14" i="185" a="1"/>
  <c r="GK14" i="185" s="1"/>
  <c r="GL14" i="185" a="1"/>
  <c r="GL14" i="185" s="1"/>
  <c r="GM14" i="185" a="1"/>
  <c r="GM14" i="185"/>
  <c r="GN14" i="185" a="1"/>
  <c r="GN14" i="185"/>
  <c r="GO14" i="185" a="1"/>
  <c r="GO14" i="185"/>
  <c r="GP14" i="185" a="1"/>
  <c r="GP14" i="185" s="1"/>
  <c r="GQ14" i="185" a="1"/>
  <c r="GQ14" i="185" s="1"/>
  <c r="GR14" i="185" a="1"/>
  <c r="GR14" i="185" s="1"/>
  <c r="GS14" i="185" a="1"/>
  <c r="GS14" i="185" s="1"/>
  <c r="GT14" i="185" a="1"/>
  <c r="GT14" i="185" s="1"/>
  <c r="GU14" i="185" a="1"/>
  <c r="GU14" i="185" s="1"/>
  <c r="GV14" i="185" a="1"/>
  <c r="GV14" i="185"/>
  <c r="GW14" i="185" a="1"/>
  <c r="GW14" i="185" s="1"/>
  <c r="GX14" i="185" a="1"/>
  <c r="GX14" i="185"/>
  <c r="GY14" i="185" a="1"/>
  <c r="GY14" i="185" s="1"/>
  <c r="GZ14" i="185" a="1"/>
  <c r="GZ14" i="185"/>
  <c r="HA14" i="185" a="1"/>
  <c r="HA14" i="185"/>
  <c r="HB14" i="185" a="1"/>
  <c r="HB14" i="185" s="1"/>
  <c r="HC14" i="185" a="1"/>
  <c r="HC14" i="185" s="1"/>
  <c r="HD14" i="185" a="1"/>
  <c r="HD14" i="185" s="1"/>
  <c r="HE14" i="185" a="1"/>
  <c r="HE14" i="185" s="1"/>
  <c r="HF14" i="185" a="1"/>
  <c r="HF14" i="185" s="1"/>
  <c r="HG14" i="185" a="1"/>
  <c r="HG14" i="185" s="1"/>
  <c r="HH14" i="185" a="1"/>
  <c r="HH14" i="185" s="1"/>
  <c r="HI14" i="185" a="1"/>
  <c r="HI14" i="185" s="1"/>
  <c r="FJ15" i="185" a="1"/>
  <c r="FJ15" i="185"/>
  <c r="FK15" i="185" a="1"/>
  <c r="FK15" i="185" s="1"/>
  <c r="FL15" i="185" a="1"/>
  <c r="FL15" i="185"/>
  <c r="FM15" i="185" a="1"/>
  <c r="FM15" i="185"/>
  <c r="FN15" i="185" a="1"/>
  <c r="FN15" i="185"/>
  <c r="FO15" i="185" a="1"/>
  <c r="FO15" i="185"/>
  <c r="FP15" i="185" a="1"/>
  <c r="FP15" i="185"/>
  <c r="FQ15" i="185" a="1"/>
  <c r="FQ15" i="185"/>
  <c r="FR15" i="185" a="1"/>
  <c r="FR15" i="185" s="1"/>
  <c r="FS15" i="185" a="1"/>
  <c r="FS15" i="185" s="1"/>
  <c r="FT15" i="185" a="1"/>
  <c r="FT15" i="185" s="1"/>
  <c r="FU15" i="185" a="1"/>
  <c r="FU15" i="185" s="1"/>
  <c r="FV15" i="185" a="1"/>
  <c r="FV15" i="185" s="1"/>
  <c r="FW15" i="185" a="1"/>
  <c r="FW15" i="185" s="1"/>
  <c r="FX15" i="185" a="1"/>
  <c r="FX15" i="185"/>
  <c r="FY15" i="185" a="1"/>
  <c r="FY15" i="185" s="1"/>
  <c r="FZ15" i="185" a="1"/>
  <c r="FZ15" i="185" s="1"/>
  <c r="GA15" i="185" a="1"/>
  <c r="GA15" i="185" s="1"/>
  <c r="GB15" i="185" a="1"/>
  <c r="GB15" i="185" s="1"/>
  <c r="GC15" i="185" a="1"/>
  <c r="GC15" i="185" s="1"/>
  <c r="GD15" i="185" a="1"/>
  <c r="GD15" i="185" s="1"/>
  <c r="GE15" i="185" a="1"/>
  <c r="GE15" i="185"/>
  <c r="GF15" i="185" a="1"/>
  <c r="GF15" i="185" s="1"/>
  <c r="GG15" i="185" a="1"/>
  <c r="GG15" i="185" s="1"/>
  <c r="GH15" i="185" a="1"/>
  <c r="GH15" i="185" s="1"/>
  <c r="GI15" i="185" a="1"/>
  <c r="GI15" i="185" s="1"/>
  <c r="GJ15" i="185" a="1"/>
  <c r="GJ15" i="185" s="1"/>
  <c r="GK15" i="185" a="1"/>
  <c r="GK15" i="185" s="1"/>
  <c r="GL15" i="185" a="1"/>
  <c r="GL15" i="185"/>
  <c r="GM15" i="185" a="1"/>
  <c r="GM15" i="185" s="1"/>
  <c r="GN15" i="185" a="1"/>
  <c r="GN15" i="185"/>
  <c r="GO15" i="185" a="1"/>
  <c r="GO15" i="185"/>
  <c r="GP15" i="185" a="1"/>
  <c r="GP15" i="185" s="1"/>
  <c r="GQ15" i="185" a="1"/>
  <c r="GQ15" i="185"/>
  <c r="GR15" i="185" a="1"/>
  <c r="GR15" i="185"/>
  <c r="GS15" i="185" a="1"/>
  <c r="GS15" i="185"/>
  <c r="GT15" i="185" a="1"/>
  <c r="GT15" i="185" s="1"/>
  <c r="GU15" i="185" a="1"/>
  <c r="GU15" i="185" s="1"/>
  <c r="GV15" i="185" a="1"/>
  <c r="GV15" i="185" s="1"/>
  <c r="GW15" i="185" a="1"/>
  <c r="GW15" i="185" s="1"/>
  <c r="GX15" i="185" a="1"/>
  <c r="GX15" i="185" s="1"/>
  <c r="GY15" i="185" a="1"/>
  <c r="GY15" i="185" s="1"/>
  <c r="GZ15" i="185" a="1"/>
  <c r="GZ15" i="185"/>
  <c r="HA15" i="185" a="1"/>
  <c r="HA15" i="185" s="1"/>
  <c r="HB15" i="185" a="1"/>
  <c r="HB15" i="185"/>
  <c r="HC15" i="185" a="1"/>
  <c r="HC15" i="185" s="1"/>
  <c r="HD15" i="185" a="1"/>
  <c r="HD15" i="185"/>
  <c r="HE15" i="185" a="1"/>
  <c r="HE15" i="185"/>
  <c r="HF15" i="185" a="1"/>
  <c r="HF15" i="185" s="1"/>
  <c r="HG15" i="185" a="1"/>
  <c r="HG15" i="185" s="1"/>
  <c r="HH15" i="185" a="1"/>
  <c r="HH15" i="185" s="1"/>
  <c r="HI15" i="185" a="1"/>
  <c r="HI15" i="185" s="1"/>
  <c r="FJ16" i="185" a="1"/>
  <c r="FJ16" i="185" s="1"/>
  <c r="FK16" i="185" a="1"/>
  <c r="FK16" i="185" s="1"/>
  <c r="FL16" i="185" a="1"/>
  <c r="FL16" i="185" s="1"/>
  <c r="FM16" i="185" a="1"/>
  <c r="FM16" i="185" s="1"/>
  <c r="FN16" i="185" a="1"/>
  <c r="FN16" i="185"/>
  <c r="FO16" i="185" a="1"/>
  <c r="FO16" i="185" s="1"/>
  <c r="FP16" i="185" a="1"/>
  <c r="FP16" i="185"/>
  <c r="FQ16" i="185" a="1"/>
  <c r="FQ16" i="185"/>
  <c r="FR16" i="185" a="1"/>
  <c r="FR16" i="185"/>
  <c r="FS16" i="185" a="1"/>
  <c r="FS16" i="185"/>
  <c r="FT16" i="185" a="1"/>
  <c r="FT16" i="185"/>
  <c r="FU16" i="185" a="1"/>
  <c r="FU16" i="185"/>
  <c r="FV16" i="185" a="1"/>
  <c r="FV16" i="185" s="1"/>
  <c r="FW16" i="185" a="1"/>
  <c r="FW16" i="185" s="1"/>
  <c r="FX16" i="185" a="1"/>
  <c r="FX16" i="185" s="1"/>
  <c r="FY16" i="185" a="1"/>
  <c r="FY16" i="185" s="1"/>
  <c r="FZ16" i="185" a="1"/>
  <c r="FZ16" i="185" s="1"/>
  <c r="GA16" i="185" a="1"/>
  <c r="GA16" i="185" s="1"/>
  <c r="GB16" i="185" a="1"/>
  <c r="GB16" i="185"/>
  <c r="GC16" i="185" a="1"/>
  <c r="GC16" i="185" s="1"/>
  <c r="GD16" i="185" a="1"/>
  <c r="GD16" i="185" s="1"/>
  <c r="GE16" i="185" a="1"/>
  <c r="GE16" i="185" s="1"/>
  <c r="GF16" i="185" a="1"/>
  <c r="GF16" i="185" s="1"/>
  <c r="GG16" i="185" a="1"/>
  <c r="GG16" i="185" s="1"/>
  <c r="GH16" i="185" a="1"/>
  <c r="GH16" i="185" s="1"/>
  <c r="GI16" i="185" a="1"/>
  <c r="GI16" i="185"/>
  <c r="GJ16" i="185" a="1"/>
  <c r="GJ16" i="185" s="1"/>
  <c r="GK16" i="185" a="1"/>
  <c r="GK16" i="185" s="1"/>
  <c r="GL16" i="185" a="1"/>
  <c r="GL16" i="185" s="1"/>
  <c r="GM16" i="185" a="1"/>
  <c r="GM16" i="185" s="1"/>
  <c r="GN16" i="185" a="1"/>
  <c r="GN16" i="185" s="1"/>
  <c r="GO16" i="185" a="1"/>
  <c r="GO16" i="185" s="1"/>
  <c r="GP16" i="185" a="1"/>
  <c r="GP16" i="185"/>
  <c r="GQ16" i="185" a="1"/>
  <c r="GQ16" i="185" s="1"/>
  <c r="GR16" i="185" a="1"/>
  <c r="GR16" i="185"/>
  <c r="GS16" i="185" a="1"/>
  <c r="GS16" i="185"/>
  <c r="GT16" i="185" a="1"/>
  <c r="GT16" i="185" s="1"/>
  <c r="GU16" i="185" a="1"/>
  <c r="GU16" i="185" s="1"/>
  <c r="GV16" i="185" a="1"/>
  <c r="GV16" i="185" s="1"/>
  <c r="GW16" i="185" a="1"/>
  <c r="GW16" i="185"/>
  <c r="GX16" i="185" a="1"/>
  <c r="GX16" i="185" s="1"/>
  <c r="GY16" i="185" a="1"/>
  <c r="GY16" i="185" s="1"/>
  <c r="GZ16" i="185" a="1"/>
  <c r="GZ16" i="185" s="1"/>
  <c r="HA16" i="185" a="1"/>
  <c r="HA16" i="185" s="1"/>
  <c r="HB16" i="185" a="1"/>
  <c r="HB16" i="185" s="1"/>
  <c r="HC16" i="185" a="1"/>
  <c r="HC16" i="185" s="1"/>
  <c r="HD16" i="185" a="1"/>
  <c r="HD16" i="185"/>
  <c r="HE16" i="185" a="1"/>
  <c r="HE16" i="185" s="1"/>
  <c r="HF16" i="185" a="1"/>
  <c r="HF16" i="185"/>
  <c r="HG16" i="185" a="1"/>
  <c r="HG16" i="185" s="1"/>
  <c r="HH16" i="185" a="1"/>
  <c r="HH16" i="185"/>
  <c r="HI16" i="185" a="1"/>
  <c r="HI16" i="185"/>
  <c r="FJ17" i="185" a="1"/>
  <c r="FJ17" i="185" s="1"/>
  <c r="FK17" i="185" a="1"/>
  <c r="FK17" i="185" s="1"/>
  <c r="FL17" i="185" a="1"/>
  <c r="FL17" i="185" s="1"/>
  <c r="FM17" i="185" a="1"/>
  <c r="FM17" i="185" s="1"/>
  <c r="FN17" i="185" a="1"/>
  <c r="FN17" i="185" s="1"/>
  <c r="FO17" i="185" a="1"/>
  <c r="FO17" i="185" s="1"/>
  <c r="FP17" i="185" a="1"/>
  <c r="FP17" i="185" s="1"/>
  <c r="FQ17" i="185" a="1"/>
  <c r="FQ17" i="185" s="1"/>
  <c r="FR17" i="185" a="1"/>
  <c r="FR17" i="185"/>
  <c r="FS17" i="185" a="1"/>
  <c r="FS17" i="185" s="1"/>
  <c r="FT17" i="185" a="1"/>
  <c r="FT17" i="185"/>
  <c r="FU17" i="185" a="1"/>
  <c r="FU17" i="185"/>
  <c r="FV17" i="185" a="1"/>
  <c r="FV17" i="185"/>
  <c r="FW17" i="185" a="1"/>
  <c r="FW17" i="185"/>
  <c r="FX17" i="185" a="1"/>
  <c r="FX17" i="185"/>
  <c r="FY17" i="185" a="1"/>
  <c r="FY17" i="185"/>
  <c r="FZ17" i="185" a="1"/>
  <c r="FZ17" i="185" s="1"/>
  <c r="GA17" i="185" a="1"/>
  <c r="GA17" i="185" s="1"/>
  <c r="GB17" i="185" a="1"/>
  <c r="GB17" i="185" s="1"/>
  <c r="GC17" i="185" a="1"/>
  <c r="GC17" i="185" s="1"/>
  <c r="GD17" i="185" a="1"/>
  <c r="GD17" i="185" s="1"/>
  <c r="GE17" i="185" a="1"/>
  <c r="GE17" i="185" s="1"/>
  <c r="GF17" i="185" a="1"/>
  <c r="GF17" i="185"/>
  <c r="GG17" i="185" a="1"/>
  <c r="GG17" i="185" s="1"/>
  <c r="GH17" i="185" a="1"/>
  <c r="GH17" i="185" s="1"/>
  <c r="GI17" i="185" a="1"/>
  <c r="GI17" i="185" s="1"/>
  <c r="GJ17" i="185" a="1"/>
  <c r="GJ17" i="185" s="1"/>
  <c r="GK17" i="185" a="1"/>
  <c r="GK17" i="185" s="1"/>
  <c r="GL17" i="185" a="1"/>
  <c r="GL17" i="185" s="1"/>
  <c r="GM17" i="185" a="1"/>
  <c r="GM17" i="185"/>
  <c r="GN17" i="185" a="1"/>
  <c r="GN17" i="185" s="1"/>
  <c r="GO17" i="185" a="1"/>
  <c r="GO17" i="185" s="1"/>
  <c r="GP17" i="185" a="1"/>
  <c r="GP17" i="185" s="1"/>
  <c r="GQ17" i="185" a="1"/>
  <c r="GQ17" i="185" s="1"/>
  <c r="GR17" i="185" a="1"/>
  <c r="GR17" i="185" s="1"/>
  <c r="GS17" i="185" a="1"/>
  <c r="GS17" i="185" s="1"/>
  <c r="GT17" i="185" a="1"/>
  <c r="GT17" i="185"/>
  <c r="GU17" i="185" a="1"/>
  <c r="GU17" i="185" s="1"/>
  <c r="GV17" i="185" a="1"/>
  <c r="GV17" i="185"/>
  <c r="GW17" i="185" a="1"/>
  <c r="GW17" i="185"/>
  <c r="GX17" i="185" a="1"/>
  <c r="GX17" i="185" s="1"/>
  <c r="GY17" i="185" a="1"/>
  <c r="GY17" i="185" s="1"/>
  <c r="GZ17" i="185" a="1"/>
  <c r="GZ17" i="185"/>
  <c r="HA17" i="185" a="1"/>
  <c r="HA17" i="185"/>
  <c r="HB17" i="185" a="1"/>
  <c r="HB17" i="185" s="1"/>
  <c r="HC17" i="185" a="1"/>
  <c r="HC17" i="185" s="1"/>
  <c r="HD17" i="185" a="1"/>
  <c r="HD17" i="185" s="1"/>
  <c r="HE17" i="185" a="1"/>
  <c r="HE17" i="185" s="1"/>
  <c r="HF17" i="185" a="1"/>
  <c r="HF17" i="185" s="1"/>
  <c r="HG17" i="185" a="1"/>
  <c r="HG17" i="185" s="1"/>
  <c r="HH17" i="185" a="1"/>
  <c r="HH17" i="185"/>
  <c r="HI17" i="185" a="1"/>
  <c r="HI17" i="185" s="1"/>
  <c r="FJ18" i="185" a="1"/>
  <c r="FJ18" i="185"/>
  <c r="FK18" i="185" a="1"/>
  <c r="FK18" i="185" s="1"/>
  <c r="FL18" i="185" a="1"/>
  <c r="FL18" i="185"/>
  <c r="FM18" i="185" a="1"/>
  <c r="FM18" i="185"/>
  <c r="FN18" i="185" a="1"/>
  <c r="FN18" i="185" s="1"/>
  <c r="FO18" i="185" a="1"/>
  <c r="FO18" i="185" s="1"/>
  <c r="FP18" i="185" a="1"/>
  <c r="FP18" i="185" s="1"/>
  <c r="FQ18" i="185" a="1"/>
  <c r="FQ18" i="185" s="1"/>
  <c r="FR18" i="185" a="1"/>
  <c r="FR18" i="185" s="1"/>
  <c r="FS18" i="185" a="1"/>
  <c r="FS18" i="185" s="1"/>
  <c r="FT18" i="185" a="1"/>
  <c r="FT18" i="185" s="1"/>
  <c r="FU18" i="185" a="1"/>
  <c r="FU18" i="185" s="1"/>
  <c r="FV18" i="185" a="1"/>
  <c r="FV18" i="185"/>
  <c r="FW18" i="185" a="1"/>
  <c r="FW18" i="185" s="1"/>
  <c r="FX18" i="185" a="1"/>
  <c r="FX18" i="185"/>
  <c r="FY18" i="185" a="1"/>
  <c r="FY18" i="185"/>
  <c r="FZ18" i="185" a="1"/>
  <c r="FZ18" i="185"/>
  <c r="GA18" i="185" a="1"/>
  <c r="GA18" i="185"/>
  <c r="GB18" i="185" a="1"/>
  <c r="GB18" i="185"/>
  <c r="GC18" i="185" a="1"/>
  <c r="GC18" i="185"/>
  <c r="GD18" i="185" a="1"/>
  <c r="GD18" i="185" s="1"/>
  <c r="GE18" i="185" a="1"/>
  <c r="GE18" i="185" s="1"/>
  <c r="GF18" i="185" a="1"/>
  <c r="GF18" i="185" s="1"/>
  <c r="GG18" i="185" a="1"/>
  <c r="GG18" i="185" s="1"/>
  <c r="GH18" i="185" a="1"/>
  <c r="GH18" i="185" s="1"/>
  <c r="GI18" i="185" a="1"/>
  <c r="GI18" i="185" s="1"/>
  <c r="GJ18" i="185" a="1"/>
  <c r="GJ18" i="185"/>
  <c r="GK18" i="185" a="1"/>
  <c r="GK18" i="185" s="1"/>
  <c r="GL18" i="185" a="1"/>
  <c r="GL18" i="185" s="1"/>
  <c r="GM18" i="185" a="1"/>
  <c r="GM18" i="185" s="1"/>
  <c r="GN18" i="185" a="1"/>
  <c r="GN18" i="185" s="1"/>
  <c r="GO18" i="185" a="1"/>
  <c r="GO18" i="185" s="1"/>
  <c r="GP18" i="185" a="1"/>
  <c r="GP18" i="185" s="1"/>
  <c r="GQ18" i="185" a="1"/>
  <c r="GQ18" i="185"/>
  <c r="GR18" i="185" a="1"/>
  <c r="GR18" i="185" s="1"/>
  <c r="GS18" i="185" a="1"/>
  <c r="GS18" i="185" s="1"/>
  <c r="GT18" i="185" a="1"/>
  <c r="GT18" i="185" s="1"/>
  <c r="GU18" i="185" a="1"/>
  <c r="GU18" i="185" s="1"/>
  <c r="GV18" i="185" a="1"/>
  <c r="GV18" i="185" s="1"/>
  <c r="GW18" i="185" a="1"/>
  <c r="GW18" i="185" s="1"/>
  <c r="GX18" i="185" a="1"/>
  <c r="GX18" i="185"/>
  <c r="GY18" i="185" a="1"/>
  <c r="GY18" i="185" s="1"/>
  <c r="GZ18" i="185" a="1"/>
  <c r="GZ18" i="185"/>
  <c r="HA18" i="185" a="1"/>
  <c r="HA18" i="185"/>
  <c r="HB18" i="185" a="1"/>
  <c r="HB18" i="185" s="1"/>
  <c r="HC18" i="185" a="1"/>
  <c r="HC18" i="185" s="1"/>
  <c r="HD18" i="185" a="1"/>
  <c r="HD18" i="185" s="1"/>
  <c r="HE18" i="185" a="1"/>
  <c r="HE18" i="185"/>
  <c r="HF18" i="185" a="1"/>
  <c r="HF18" i="185" s="1"/>
  <c r="HG18" i="185" a="1"/>
  <c r="HG18" i="185" s="1"/>
  <c r="HH18" i="185" a="1"/>
  <c r="HH18" i="185" s="1"/>
  <c r="HI18" i="185" a="1"/>
  <c r="HI18" i="185" s="1"/>
  <c r="FJ19" i="185" a="1"/>
  <c r="FJ19" i="185" s="1"/>
  <c r="FK19" i="185" a="1"/>
  <c r="FK19" i="185" s="1"/>
  <c r="FL19" i="185" a="1"/>
  <c r="FL19" i="185"/>
  <c r="FM19" i="185" a="1"/>
  <c r="FM19" i="185" s="1"/>
  <c r="FN19" i="185" a="1"/>
  <c r="FN19" i="185"/>
  <c r="FO19" i="185" a="1"/>
  <c r="FO19" i="185" s="1"/>
  <c r="FP19" i="185" a="1"/>
  <c r="FP19" i="185"/>
  <c r="FQ19" i="185" a="1"/>
  <c r="FQ19" i="185"/>
  <c r="FR19" i="185" a="1"/>
  <c r="FR19" i="185" s="1"/>
  <c r="FS19" i="185" a="1"/>
  <c r="FS19" i="185" s="1"/>
  <c r="FT19" i="185" a="1"/>
  <c r="FT19" i="185" s="1"/>
  <c r="FU19" i="185" a="1"/>
  <c r="FU19" i="185" s="1"/>
  <c r="FV19" i="185" a="1"/>
  <c r="FV19" i="185" s="1"/>
  <c r="FW19" i="185" a="1"/>
  <c r="FW19" i="185" s="1"/>
  <c r="FX19" i="185" a="1"/>
  <c r="FX19" i="185" s="1"/>
  <c r="FY19" i="185" a="1"/>
  <c r="FY19" i="185" s="1"/>
  <c r="FZ19" i="185" a="1"/>
  <c r="FZ19" i="185" s="1"/>
  <c r="GA19" i="185" a="1"/>
  <c r="GA19" i="185" s="1"/>
  <c r="GB19" i="185" a="1"/>
  <c r="GB19" i="185"/>
  <c r="GC19" i="185" a="1"/>
  <c r="GC19" i="185"/>
  <c r="GD19" i="185" a="1"/>
  <c r="GD19" i="185"/>
  <c r="GE19" i="185" a="1"/>
  <c r="GE19" i="185"/>
  <c r="GF19" i="185" a="1"/>
  <c r="GF19" i="185"/>
  <c r="GG19" i="185" a="1"/>
  <c r="GG19" i="185"/>
  <c r="GH19" i="185" a="1"/>
  <c r="GH19" i="185" s="1"/>
  <c r="GI19" i="185" a="1"/>
  <c r="GI19" i="185" s="1"/>
  <c r="GJ19" i="185" a="1"/>
  <c r="GJ19" i="185" s="1"/>
  <c r="GK19" i="185" a="1"/>
  <c r="GK19" i="185" s="1"/>
  <c r="GL19" i="185" a="1"/>
  <c r="GL19" i="185" s="1"/>
  <c r="GM19" i="185" a="1"/>
  <c r="GM19" i="185" s="1"/>
  <c r="GN19" i="185" a="1"/>
  <c r="GN19" i="185" s="1"/>
  <c r="GO19" i="185" a="1"/>
  <c r="GO19" i="185" s="1"/>
  <c r="GP19" i="185" a="1"/>
  <c r="GP19" i="185" s="1"/>
  <c r="GQ19" i="185" a="1"/>
  <c r="GQ19" i="185" s="1"/>
  <c r="GR19" i="185" a="1"/>
  <c r="GR19" i="185" s="1"/>
  <c r="GS19" i="185" a="1"/>
  <c r="GS19" i="185" s="1"/>
  <c r="GT19" i="185" a="1"/>
  <c r="GT19" i="185" s="1"/>
  <c r="GU19" i="185" a="1"/>
  <c r="GU19" i="185"/>
  <c r="GV19" i="185" a="1"/>
  <c r="GV19" i="185" s="1"/>
  <c r="GW19" i="185" a="1"/>
  <c r="GW19" i="185" s="1"/>
  <c r="GX19" i="185" a="1"/>
  <c r="GX19" i="185" s="1"/>
  <c r="GY19" i="185" a="1"/>
  <c r="GY19" i="185" s="1"/>
  <c r="GZ19" i="185" a="1"/>
  <c r="GZ19" i="185" s="1"/>
  <c r="HA19" i="185" a="1"/>
  <c r="HA19" i="185" s="1"/>
  <c r="HB19" i="185" a="1"/>
  <c r="HB19" i="185"/>
  <c r="HC19" i="185" a="1"/>
  <c r="HC19" i="185" s="1"/>
  <c r="HD19" i="185" a="1"/>
  <c r="HD19" i="185"/>
  <c r="HE19" i="185" a="1"/>
  <c r="HE19" i="185"/>
  <c r="HF19" i="185" a="1"/>
  <c r="HF19" i="185" s="1"/>
  <c r="HG19" i="185" a="1"/>
  <c r="HG19" i="185" s="1"/>
  <c r="HH19" i="185" a="1"/>
  <c r="HH19" i="185" s="1"/>
  <c r="HI19" i="185" a="1"/>
  <c r="HI19" i="185"/>
  <c r="FJ20" i="185" a="1"/>
  <c r="FJ20" i="185" s="1"/>
  <c r="FK20" i="185" a="1"/>
  <c r="FK20" i="185" s="1"/>
  <c r="FL20" i="185" a="1"/>
  <c r="FL20" i="185" s="1"/>
  <c r="FM20" i="185" a="1"/>
  <c r="FM20" i="185" s="1"/>
  <c r="FN20" i="185" a="1"/>
  <c r="FN20" i="185" s="1"/>
  <c r="FO20" i="185" a="1"/>
  <c r="FO20" i="185" s="1"/>
  <c r="FP20" i="185" a="1"/>
  <c r="FP20" i="185"/>
  <c r="FQ20" i="185" a="1"/>
  <c r="FQ20" i="185" s="1"/>
  <c r="FR20" i="185" a="1"/>
  <c r="FR20" i="185"/>
  <c r="FS20" i="185" a="1"/>
  <c r="FS20" i="185" s="1"/>
  <c r="FT20" i="185" a="1"/>
  <c r="FT20" i="185"/>
  <c r="FU20" i="185" a="1"/>
  <c r="FU20" i="185"/>
  <c r="FV20" i="185" a="1"/>
  <c r="FV20" i="185" s="1"/>
  <c r="FW20" i="185" a="1"/>
  <c r="FW20" i="185" s="1"/>
  <c r="FX20" i="185" a="1"/>
  <c r="FX20" i="185" s="1"/>
  <c r="FY20" i="185" a="1"/>
  <c r="FY20" i="185" s="1"/>
  <c r="FZ20" i="185" a="1"/>
  <c r="FZ20" i="185" s="1"/>
  <c r="GA20" i="185" a="1"/>
  <c r="GA20" i="185" s="1"/>
  <c r="GB20" i="185" a="1"/>
  <c r="GB20" i="185" s="1"/>
  <c r="GC20" i="185" a="1"/>
  <c r="GC20" i="185" s="1"/>
  <c r="GD20" i="185" a="1"/>
  <c r="GD20" i="185" s="1"/>
  <c r="GE20" i="185" a="1"/>
  <c r="GE20" i="185" s="1"/>
  <c r="GF20" i="185" a="1"/>
  <c r="GF20" i="185"/>
  <c r="GG20" i="185" a="1"/>
  <c r="GG20" i="185"/>
  <c r="GH20" i="185" a="1"/>
  <c r="GH20" i="185"/>
  <c r="GI20" i="185" a="1"/>
  <c r="GI20" i="185"/>
  <c r="GJ20" i="185" a="1"/>
  <c r="GJ20" i="185"/>
  <c r="GK20" i="185" a="1"/>
  <c r="GK20" i="185"/>
  <c r="GL20" i="185" a="1"/>
  <c r="GL20" i="185" s="1"/>
  <c r="GM20" i="185" a="1"/>
  <c r="GM20" i="185" s="1"/>
  <c r="GN20" i="185" a="1"/>
  <c r="GN20" i="185" s="1"/>
  <c r="GO20" i="185" a="1"/>
  <c r="GO20" i="185" s="1"/>
  <c r="GP20" i="185" a="1"/>
  <c r="GP20" i="185" s="1"/>
  <c r="GQ20" i="185" a="1"/>
  <c r="GQ20" i="185" s="1"/>
  <c r="GR20" i="185" a="1"/>
  <c r="GR20" i="185"/>
  <c r="GS20" i="185" a="1"/>
  <c r="GS20" i="185" s="1"/>
  <c r="GT20" i="185" a="1"/>
  <c r="GT20" i="185" s="1"/>
  <c r="GU20" i="185" a="1"/>
  <c r="GU20" i="185" s="1"/>
  <c r="GV20" i="185" a="1"/>
  <c r="GV20" i="185"/>
  <c r="GW20" i="185" a="1"/>
  <c r="GW20" i="185"/>
  <c r="GX20" i="185" a="1"/>
  <c r="GX20" i="185"/>
  <c r="GY20" i="185" a="1"/>
  <c r="GY20" i="185"/>
  <c r="GZ20" i="185" a="1"/>
  <c r="GZ20" i="185" s="1"/>
  <c r="HA20" i="185" a="1"/>
  <c r="HA20" i="185" s="1"/>
  <c r="HB20" i="185" a="1"/>
  <c r="HB20" i="185" s="1"/>
  <c r="HC20" i="185" a="1"/>
  <c r="HC20" i="185" s="1"/>
  <c r="HD20" i="185" a="1"/>
  <c r="HD20" i="185" s="1"/>
  <c r="HE20" i="185" a="1"/>
  <c r="HE20" i="185" s="1"/>
  <c r="HF20" i="185" a="1"/>
  <c r="HF20" i="185"/>
  <c r="HG20" i="185" a="1"/>
  <c r="HG20" i="185" s="1"/>
  <c r="HH20" i="185" a="1"/>
  <c r="HH20" i="185"/>
  <c r="HI20" i="185" a="1"/>
  <c r="HI20" i="185"/>
  <c r="FJ21" i="185" a="1"/>
  <c r="FJ21" i="185" s="1"/>
  <c r="FK21" i="185" a="1"/>
  <c r="FK21" i="185" s="1"/>
  <c r="FL21" i="185" a="1"/>
  <c r="FL21" i="185" s="1"/>
  <c r="FM21" i="185" a="1"/>
  <c r="FM21" i="185"/>
  <c r="FN21" i="185" a="1"/>
  <c r="FN21" i="185" s="1"/>
  <c r="FO21" i="185" a="1"/>
  <c r="FO21" i="185" s="1"/>
  <c r="FP21" i="185" a="1"/>
  <c r="FP21" i="185" s="1"/>
  <c r="FQ21" i="185" a="1"/>
  <c r="FQ21" i="185"/>
  <c r="FR21" i="185" a="1"/>
  <c r="FR21" i="185" s="1"/>
  <c r="FS21" i="185" a="1"/>
  <c r="FS21" i="185" s="1"/>
  <c r="FT21" i="185" a="1"/>
  <c r="FT21" i="185"/>
  <c r="FU21" i="185" a="1"/>
  <c r="FU21" i="185" s="1"/>
  <c r="FV21" i="185" a="1"/>
  <c r="FV21" i="185"/>
  <c r="FW21" i="185" a="1"/>
  <c r="FW21" i="185"/>
  <c r="FX21" i="185" a="1"/>
  <c r="FX21" i="185"/>
  <c r="FY21" i="185" a="1"/>
  <c r="FY21" i="185"/>
  <c r="FZ21" i="185" a="1"/>
  <c r="FZ21" i="185"/>
  <c r="GA21" i="185" a="1"/>
  <c r="GA21" i="185" s="1"/>
  <c r="GB21" i="185" a="1"/>
  <c r="GB21" i="185" s="1"/>
  <c r="GC21" i="185" a="1"/>
  <c r="GC21" i="185" s="1"/>
  <c r="GD21" i="185" a="1"/>
  <c r="GD21" i="185" s="1"/>
  <c r="GE21" i="185" a="1"/>
  <c r="GE21" i="185" s="1"/>
  <c r="GF21" i="185" a="1"/>
  <c r="GF21" i="185" s="1"/>
  <c r="GG21" i="185" a="1"/>
  <c r="GG21" i="185" s="1"/>
  <c r="GH21" i="185" a="1"/>
  <c r="GH21" i="185" s="1"/>
  <c r="GI21" i="185" a="1"/>
  <c r="GI21" i="185" s="1"/>
  <c r="GJ21" i="185" a="1"/>
  <c r="GJ21" i="185"/>
  <c r="GK21" i="185" a="1"/>
  <c r="GK21" i="185"/>
  <c r="GL21" i="185" a="1"/>
  <c r="GL21" i="185"/>
  <c r="GM21" i="185" a="1"/>
  <c r="GM21" i="185"/>
  <c r="GN21" i="185" a="1"/>
  <c r="GN21" i="185"/>
  <c r="GO21" i="185" a="1"/>
  <c r="GO21" i="185"/>
  <c r="GP21" i="185" a="1"/>
  <c r="GP21" i="185" s="1"/>
  <c r="GQ21" i="185" a="1"/>
  <c r="GQ21" i="185" s="1"/>
  <c r="GR21" i="185" a="1"/>
  <c r="GR21" i="185" s="1"/>
  <c r="GS21" i="185" a="1"/>
  <c r="GS21" i="185"/>
  <c r="GT21" i="185" a="1"/>
  <c r="GT21" i="185" s="1"/>
  <c r="GU21" i="185" a="1"/>
  <c r="GU21" i="185" s="1"/>
  <c r="GV21" i="185" a="1"/>
  <c r="GV21" i="185"/>
  <c r="GW21" i="185" a="1"/>
  <c r="GW21" i="185" s="1"/>
  <c r="GX21" i="185" a="1"/>
  <c r="GX21" i="185"/>
  <c r="GY21" i="185" a="1"/>
  <c r="GY21" i="185"/>
  <c r="GZ21" i="185" a="1"/>
  <c r="GZ21" i="185"/>
  <c r="HA21" i="185" a="1"/>
  <c r="HA21" i="185"/>
  <c r="HB21" i="185" a="1"/>
  <c r="HB21" i="185"/>
  <c r="HC21" i="185" a="1"/>
  <c r="HC21" i="185"/>
  <c r="HD21" i="185" a="1"/>
  <c r="HD21" i="185" s="1"/>
  <c r="HE21" i="185" a="1"/>
  <c r="HE21" i="185" s="1"/>
  <c r="HF21" i="185" a="1"/>
  <c r="HF21" i="185" s="1"/>
  <c r="HG21" i="185" a="1"/>
  <c r="HG21" i="185"/>
  <c r="HH21" i="185" a="1"/>
  <c r="HH21" i="185" s="1"/>
  <c r="HI21" i="185" a="1"/>
  <c r="HI21" i="185" s="1"/>
  <c r="FJ22" i="185" a="1"/>
  <c r="FJ22" i="185" s="1"/>
  <c r="FK22" i="185" a="1"/>
  <c r="FK22" i="185" s="1"/>
  <c r="FL22" i="185" a="1"/>
  <c r="FL22" i="185" s="1"/>
  <c r="FM22" i="185" a="1"/>
  <c r="FM22" i="185" s="1"/>
  <c r="FN22" i="185" a="1"/>
  <c r="FN22" i="185" s="1"/>
  <c r="FO22" i="185" a="1"/>
  <c r="FO22" i="185"/>
  <c r="FP22" i="185" a="1"/>
  <c r="FP22" i="185"/>
  <c r="FQ22" i="185" a="1"/>
  <c r="FQ22" i="185"/>
  <c r="FR22" i="185" a="1"/>
  <c r="FR22" i="185" s="1"/>
  <c r="FS22" i="185" a="1"/>
  <c r="FS22" i="185" s="1"/>
  <c r="FT22" i="185" a="1"/>
  <c r="FT22" i="185" s="1"/>
  <c r="FU22" i="185" a="1"/>
  <c r="FU22" i="185"/>
  <c r="FV22" i="185" a="1"/>
  <c r="FV22" i="185" s="1"/>
  <c r="FW22" i="185" a="1"/>
  <c r="FW22" i="185" s="1"/>
  <c r="FX22" i="185" a="1"/>
  <c r="FX22" i="185"/>
  <c r="FY22" i="185" a="1"/>
  <c r="FY22" i="185" s="1"/>
  <c r="FZ22" i="185" a="1"/>
  <c r="FZ22" i="185"/>
  <c r="GA22" i="185" a="1"/>
  <c r="GA22" i="185"/>
  <c r="GB22" i="185" a="1"/>
  <c r="GB22" i="185"/>
  <c r="GC22" i="185" a="1"/>
  <c r="GC22" i="185" s="1"/>
  <c r="GD22" i="185" a="1"/>
  <c r="GD22" i="185" s="1"/>
  <c r="GE22" i="185" a="1"/>
  <c r="GE22" i="185" s="1"/>
  <c r="GF22" i="185" a="1"/>
  <c r="GF22" i="185" s="1"/>
  <c r="GG22" i="185" a="1"/>
  <c r="GG22" i="185" s="1"/>
  <c r="GH22" i="185" a="1"/>
  <c r="GH22" i="185" s="1"/>
  <c r="GI22" i="185" a="1"/>
  <c r="GI22" i="185" s="1"/>
  <c r="GJ22" i="185" a="1"/>
  <c r="GJ22" i="185" s="1"/>
  <c r="GK22" i="185" a="1"/>
  <c r="GK22" i="185" s="1"/>
  <c r="GL22" i="185" a="1"/>
  <c r="GL22" i="185"/>
  <c r="GM22" i="185" a="1"/>
  <c r="GM22" i="185" s="1"/>
  <c r="GN22" i="185" a="1"/>
  <c r="GN22" i="185"/>
  <c r="GO22" i="185" a="1"/>
  <c r="GO22" i="185"/>
  <c r="GP22" i="185" a="1"/>
  <c r="GP22" i="185"/>
  <c r="GQ22" i="185" a="1"/>
  <c r="GQ22" i="185"/>
  <c r="GR22" i="185" a="1"/>
  <c r="GR22" i="185"/>
  <c r="GS22" i="185" a="1"/>
  <c r="GS22" i="185"/>
  <c r="GT22" i="185" a="1"/>
  <c r="GT22" i="185" s="1"/>
  <c r="GU22" i="185" a="1"/>
  <c r="GU22" i="185" s="1"/>
  <c r="GV22" i="185" a="1"/>
  <c r="GV22" i="185" s="1"/>
  <c r="GW22" i="185" a="1"/>
  <c r="GW22" i="185"/>
  <c r="GX22" i="185" a="1"/>
  <c r="GX22" i="185" s="1"/>
  <c r="GY22" i="185" a="1"/>
  <c r="GY22" i="185" s="1"/>
  <c r="GZ22" i="185" a="1"/>
  <c r="GZ22" i="185" s="1"/>
  <c r="HA22" i="185" a="1"/>
  <c r="HA22" i="185" s="1"/>
  <c r="HB22" i="185" a="1"/>
  <c r="HB22" i="185"/>
  <c r="HC22" i="185" a="1"/>
  <c r="HC22" i="185"/>
  <c r="HD22" i="185" a="1"/>
  <c r="HD22" i="185"/>
  <c r="HE22" i="185" a="1"/>
  <c r="HE22" i="185"/>
  <c r="HF22" i="185" a="1"/>
  <c r="HF22" i="185"/>
  <c r="HG22" i="185" a="1"/>
  <c r="HG22" i="185"/>
  <c r="HH22" i="185" a="1"/>
  <c r="HH22" i="185" s="1"/>
  <c r="HI22" i="185" a="1"/>
  <c r="HI22" i="185" s="1"/>
  <c r="FJ23" i="185" a="1"/>
  <c r="FJ23" i="185" s="1"/>
  <c r="FK23" i="185" a="1"/>
  <c r="FK23" i="185" s="1"/>
  <c r="FL23" i="185" a="1"/>
  <c r="FL23" i="185" s="1"/>
  <c r="FM23" i="185" a="1"/>
  <c r="FM23" i="185" s="1"/>
  <c r="FN23" i="185" a="1"/>
  <c r="FN23" i="185"/>
  <c r="FO23" i="185" a="1"/>
  <c r="FO23" i="185" s="1"/>
  <c r="FP23" i="185" a="1"/>
  <c r="FP23" i="185" s="1"/>
  <c r="FQ23" i="185" a="1"/>
  <c r="FQ23" i="185"/>
  <c r="FR23" i="185" a="1"/>
  <c r="FR23" i="185"/>
  <c r="FS23" i="185" a="1"/>
  <c r="FS23" i="185"/>
  <c r="FT23" i="185" a="1"/>
  <c r="FT23" i="185"/>
  <c r="FU23" i="185" a="1"/>
  <c r="FU23" i="185"/>
  <c r="FV23" i="185" a="1"/>
  <c r="FV23" i="185" s="1"/>
  <c r="FW23" i="185" a="1"/>
  <c r="FW23" i="185" s="1"/>
  <c r="FX23" i="185" a="1"/>
  <c r="FX23" i="185" s="1"/>
  <c r="FY23" i="185" a="1"/>
  <c r="FY23" i="185"/>
  <c r="FZ23" i="185" a="1"/>
  <c r="FZ23" i="185" s="1"/>
  <c r="GA23" i="185" a="1"/>
  <c r="GA23" i="185" s="1"/>
  <c r="GB23" i="185" a="1"/>
  <c r="GB23" i="185" s="1"/>
  <c r="GC23" i="185" a="1"/>
  <c r="GC23" i="185" s="1"/>
  <c r="GD23" i="185" a="1"/>
  <c r="GD23" i="185"/>
  <c r="GE23" i="185" a="1"/>
  <c r="GE23" i="185" s="1"/>
  <c r="GF23" i="185" a="1"/>
  <c r="GF23" i="185" s="1"/>
  <c r="GG23" i="185" a="1"/>
  <c r="GG23" i="185" s="1"/>
  <c r="GH23" i="185" a="1"/>
  <c r="GH23" i="185"/>
  <c r="GI23" i="185" a="1"/>
  <c r="GI23" i="185"/>
  <c r="GJ23" i="185" a="1"/>
  <c r="GJ23" i="185" s="1"/>
  <c r="GK23" i="185" a="1"/>
  <c r="GK23" i="185" s="1"/>
  <c r="GL23" i="185" a="1"/>
  <c r="GL23" i="185" s="1"/>
  <c r="GM23" i="185" a="1"/>
  <c r="GM23" i="185"/>
  <c r="GN23" i="185" a="1"/>
  <c r="GN23" i="185" s="1"/>
  <c r="GO23" i="185" a="1"/>
  <c r="GO23" i="185" s="1"/>
  <c r="GP23" i="185" a="1"/>
  <c r="GP23" i="185" s="1"/>
  <c r="GQ23" i="185" a="1"/>
  <c r="GQ23" i="185" s="1"/>
  <c r="GR23" i="185" a="1"/>
  <c r="GR23" i="185"/>
  <c r="GS23" i="185" a="1"/>
  <c r="GS23" i="185"/>
  <c r="GT23" i="185" a="1"/>
  <c r="GT23" i="185"/>
  <c r="GU23" i="185" a="1"/>
  <c r="GU23" i="185"/>
  <c r="GV23" i="185" a="1"/>
  <c r="GV23" i="185" s="1"/>
  <c r="GW23" i="185" a="1"/>
  <c r="GW23" i="185" s="1"/>
  <c r="GX23" i="185" a="1"/>
  <c r="GX23" i="185" s="1"/>
  <c r="GY23" i="185" a="1"/>
  <c r="GY23" i="185" s="1"/>
  <c r="GZ23" i="185" a="1"/>
  <c r="GZ23" i="185" s="1"/>
  <c r="HA23" i="185" a="1"/>
  <c r="HA23" i="185" s="1"/>
  <c r="HB23" i="185" a="1"/>
  <c r="HB23" i="185" s="1"/>
  <c r="HC23" i="185" a="1"/>
  <c r="HC23" i="185" s="1"/>
  <c r="HD23" i="185" a="1"/>
  <c r="HD23" i="185"/>
  <c r="HE23" i="185" a="1"/>
  <c r="HE23" i="185" s="1"/>
  <c r="HF23" i="185" a="1"/>
  <c r="HF23" i="185"/>
  <c r="HG23" i="185" a="1"/>
  <c r="HG23" i="185"/>
  <c r="HH23" i="185" a="1"/>
  <c r="HH23" i="185"/>
  <c r="HI23" i="185" a="1"/>
  <c r="HI23" i="185"/>
  <c r="FJ24" i="185" a="1"/>
  <c r="FJ24" i="185"/>
  <c r="FK24" i="185" a="1"/>
  <c r="FK24" i="185"/>
  <c r="FL24" i="185" a="1"/>
  <c r="FL24" i="185" s="1"/>
  <c r="FM24" i="185" a="1"/>
  <c r="FM24" i="185" s="1"/>
  <c r="FN24" i="185" a="1"/>
  <c r="FN24" i="185" s="1"/>
  <c r="FO24" i="185" a="1"/>
  <c r="FO24" i="185"/>
  <c r="FP24" i="185" a="1"/>
  <c r="FP24" i="185" s="1"/>
  <c r="FQ24" i="185" a="1"/>
  <c r="FQ24" i="185" s="1"/>
  <c r="FR24" i="185" a="1"/>
  <c r="FR24" i="185" s="1"/>
  <c r="FS24" i="185" a="1"/>
  <c r="FS24" i="185" s="1"/>
  <c r="FT24" i="185" a="1"/>
  <c r="FT24" i="185"/>
  <c r="FU24" i="185" a="1"/>
  <c r="FU24" i="185"/>
  <c r="FV24" i="185" a="1"/>
  <c r="FV24" i="185"/>
  <c r="FW24" i="185" a="1"/>
  <c r="FW24" i="185"/>
  <c r="FX24" i="185" a="1"/>
  <c r="FX24" i="185"/>
  <c r="FY24" i="185" a="1"/>
  <c r="FY24" i="185"/>
  <c r="FZ24" i="185" a="1"/>
  <c r="FZ24" i="185" s="1"/>
  <c r="GA24" i="185" a="1"/>
  <c r="GA24" i="185" s="1"/>
  <c r="GB24" i="185" a="1"/>
  <c r="GB24" i="185" s="1"/>
  <c r="GC24" i="185" a="1"/>
  <c r="GC24" i="185" s="1"/>
  <c r="GD24" i="185" a="1"/>
  <c r="GD24" i="185" s="1"/>
  <c r="GE24" i="185" a="1"/>
  <c r="GE24" i="185" s="1"/>
  <c r="GF24" i="185" a="1"/>
  <c r="GF24" i="185"/>
  <c r="GG24" i="185" a="1"/>
  <c r="GG24" i="185" s="1"/>
  <c r="GH24" i="185" a="1"/>
  <c r="GH24" i="185" s="1"/>
  <c r="GI24" i="185" a="1"/>
  <c r="GI24" i="185" s="1"/>
  <c r="GJ24" i="185" a="1"/>
  <c r="GJ24" i="185"/>
  <c r="GK24" i="185" a="1"/>
  <c r="GK24" i="185"/>
  <c r="GL24" i="185" a="1"/>
  <c r="GL24" i="185"/>
  <c r="GM24" i="185" a="1"/>
  <c r="GM24" i="185"/>
  <c r="GN24" i="185" a="1"/>
  <c r="GN24" i="185" s="1"/>
  <c r="GO24" i="185" a="1"/>
  <c r="GO24" i="185" s="1"/>
  <c r="GP24" i="185" a="1"/>
  <c r="GP24" i="185" s="1"/>
  <c r="GQ24" i="185" a="1"/>
  <c r="GQ24" i="185" s="1"/>
  <c r="GR24" i="185" a="1"/>
  <c r="GR24" i="185" s="1"/>
  <c r="GS24" i="185" a="1"/>
  <c r="GS24" i="185" s="1"/>
  <c r="GT24" i="185" a="1"/>
  <c r="GT24" i="185"/>
  <c r="GU24" i="185" a="1"/>
  <c r="GU24" i="185" s="1"/>
  <c r="GV24" i="185" a="1"/>
  <c r="GV24" i="185"/>
  <c r="GW24" i="185" a="1"/>
  <c r="GW24" i="185"/>
  <c r="GX24" i="185" a="1"/>
  <c r="GX24" i="185" s="1"/>
  <c r="GY24" i="185" a="1"/>
  <c r="GY24" i="185" s="1"/>
  <c r="GZ24" i="185" a="1"/>
  <c r="GZ24" i="185" s="1"/>
  <c r="HA24" i="185" a="1"/>
  <c r="HA24" i="185"/>
  <c r="HB24" i="185" a="1"/>
  <c r="HB24" i="185" s="1"/>
  <c r="HC24" i="185" a="1"/>
  <c r="HC24" i="185" s="1"/>
  <c r="HD24" i="185" a="1"/>
  <c r="HD24" i="185" s="1"/>
  <c r="HE24" i="185" a="1"/>
  <c r="HE24" i="185"/>
  <c r="HF24" i="185" a="1"/>
  <c r="HF24" i="185" s="1"/>
  <c r="HG24" i="185" a="1"/>
  <c r="HG24" i="185" s="1"/>
  <c r="HH24" i="185" a="1"/>
  <c r="HH24" i="185"/>
  <c r="HI24" i="185" a="1"/>
  <c r="HI24" i="185" s="1"/>
  <c r="FJ25" i="185" a="1"/>
  <c r="FJ25" i="185"/>
  <c r="FK25" i="185" a="1"/>
  <c r="FK25" i="185"/>
  <c r="FL25" i="185" a="1"/>
  <c r="FL25" i="185"/>
  <c r="FM25" i="185" a="1"/>
  <c r="FM25" i="185"/>
  <c r="FN25" i="185" a="1"/>
  <c r="FN25" i="185"/>
  <c r="FO25" i="185" a="1"/>
  <c r="FO25" i="185" s="1"/>
  <c r="FP25" i="185" a="1"/>
  <c r="FP25" i="185" s="1"/>
  <c r="FQ25" i="185" a="1"/>
  <c r="FQ25" i="185" s="1"/>
  <c r="FR25" i="185" a="1"/>
  <c r="FR25" i="185" s="1"/>
  <c r="FS25" i="185" a="1"/>
  <c r="FS25" i="185" s="1"/>
  <c r="FT25" i="185" a="1"/>
  <c r="FT25" i="185" s="1"/>
  <c r="FU25" i="185" a="1"/>
  <c r="FU25" i="185" s="1"/>
  <c r="FV25" i="185" a="1"/>
  <c r="FV25" i="185" s="1"/>
  <c r="FW25" i="185" a="1"/>
  <c r="FW25" i="185" s="1"/>
  <c r="FX25" i="185" a="1"/>
  <c r="FX25" i="185"/>
  <c r="FY25" i="185" a="1"/>
  <c r="FY25" i="185"/>
  <c r="FZ25" i="185" a="1"/>
  <c r="FZ25" i="185"/>
  <c r="GA25" i="185" a="1"/>
  <c r="GA25" i="185"/>
  <c r="GB25" i="185" a="1"/>
  <c r="GB25" i="185"/>
  <c r="GC25" i="185" a="1"/>
  <c r="GC25" i="185"/>
  <c r="GD25" i="185" a="1"/>
  <c r="GD25" i="185" s="1"/>
  <c r="GE25" i="185" a="1"/>
  <c r="GE25" i="185" s="1"/>
  <c r="GF25" i="185" a="1"/>
  <c r="GF25" i="185" s="1"/>
  <c r="GG25" i="185" a="1"/>
  <c r="GG25" i="185"/>
  <c r="GH25" i="185" a="1"/>
  <c r="GH25" i="185" s="1"/>
  <c r="GI25" i="185" a="1"/>
  <c r="GI25" i="185" s="1"/>
  <c r="GJ25" i="185" a="1"/>
  <c r="GJ25" i="185"/>
  <c r="GK25" i="185" a="1"/>
  <c r="GK25" i="185" s="1"/>
  <c r="GL25" i="185" a="1"/>
  <c r="GL25" i="185"/>
  <c r="GM25" i="185" a="1"/>
  <c r="GM25" i="185"/>
  <c r="GN25" i="185" a="1"/>
  <c r="GN25" i="185"/>
  <c r="GO25" i="185" a="1"/>
  <c r="GO25" i="185"/>
  <c r="GP25" i="185" a="1"/>
  <c r="GP25" i="185"/>
  <c r="GQ25" i="185" a="1"/>
  <c r="GQ25" i="185"/>
  <c r="GR25" i="185" a="1"/>
  <c r="GR25" i="185" s="1"/>
  <c r="GS25" i="185" a="1"/>
  <c r="GS25" i="185" s="1"/>
  <c r="GT25" i="185" a="1"/>
  <c r="GT25" i="185" s="1"/>
  <c r="GU25" i="185" a="1"/>
  <c r="GU25" i="185"/>
  <c r="GV25" i="185" a="1"/>
  <c r="GV25" i="185" s="1"/>
  <c r="GW25" i="185" a="1"/>
  <c r="GW25" i="185" s="1"/>
  <c r="GX25" i="185" a="1"/>
  <c r="GX25" i="185" s="1"/>
  <c r="GY25" i="185" a="1"/>
  <c r="GY25" i="185" s="1"/>
  <c r="GZ25" i="185" a="1"/>
  <c r="GZ25" i="185" s="1"/>
  <c r="HA25" i="185" a="1"/>
  <c r="HA25" i="185" s="1"/>
  <c r="HB25" i="185" a="1"/>
  <c r="HB25" i="185" s="1"/>
  <c r="HC25" i="185" a="1"/>
  <c r="HC25" i="185"/>
  <c r="HD25" i="185" a="1"/>
  <c r="HD25" i="185"/>
  <c r="HE25" i="185" a="1"/>
  <c r="HE25" i="185"/>
  <c r="HF25" i="185" a="1"/>
  <c r="HF25" i="185" s="1"/>
  <c r="HG25" i="185" a="1"/>
  <c r="HG25" i="185" s="1"/>
  <c r="HH25" i="185" a="1"/>
  <c r="HH25" i="185" s="1"/>
  <c r="HI25" i="185" a="1"/>
  <c r="HI25" i="185"/>
  <c r="FJ26" i="185" a="1"/>
  <c r="FJ26" i="185" s="1"/>
  <c r="FK26" i="185" a="1"/>
  <c r="FK26" i="185" s="1"/>
  <c r="FL26" i="185" a="1"/>
  <c r="FL26" i="185"/>
  <c r="FM26" i="185" a="1"/>
  <c r="FM26" i="185" s="1"/>
  <c r="FN26" i="185" a="1"/>
  <c r="FN26" i="185"/>
  <c r="FO26" i="185" a="1"/>
  <c r="FO26" i="185"/>
  <c r="FP26" i="185" a="1"/>
  <c r="FP26" i="185"/>
  <c r="FQ26" i="185" a="1"/>
  <c r="FQ26" i="185" s="1"/>
  <c r="FR26" i="185" a="1"/>
  <c r="FR26" i="185" s="1"/>
  <c r="FS26" i="185" a="1"/>
  <c r="FS26" i="185" s="1"/>
  <c r="FT26" i="185" a="1"/>
  <c r="FT26" i="185" s="1"/>
  <c r="FU26" i="185" a="1"/>
  <c r="FU26" i="185" s="1"/>
  <c r="FV26" i="185" a="1"/>
  <c r="FV26" i="185" s="1"/>
  <c r="FW26" i="185" a="1"/>
  <c r="FW26" i="185" s="1"/>
  <c r="FX26" i="185" a="1"/>
  <c r="FX26" i="185" s="1"/>
  <c r="FY26" i="185" a="1"/>
  <c r="FY26" i="185" s="1"/>
  <c r="FZ26" i="185" a="1"/>
  <c r="FZ26" i="185"/>
  <c r="GA26" i="185" a="1"/>
  <c r="GA26" i="185" s="1"/>
  <c r="GB26" i="185" a="1"/>
  <c r="GB26" i="185"/>
  <c r="GC26" i="185" a="1"/>
  <c r="GC26" i="185"/>
  <c r="GD26" i="185" a="1"/>
  <c r="GD26" i="185"/>
  <c r="GE26" i="185" a="1"/>
  <c r="GE26" i="185"/>
  <c r="GF26" i="185" a="1"/>
  <c r="GF26" i="185"/>
  <c r="GG26" i="185" a="1"/>
  <c r="GG26" i="185"/>
  <c r="GH26" i="185" a="1"/>
  <c r="GH26" i="185" s="1"/>
  <c r="GI26" i="185" a="1"/>
  <c r="GI26" i="185" s="1"/>
  <c r="GJ26" i="185" a="1"/>
  <c r="GJ26" i="185" s="1"/>
  <c r="GK26" i="185" a="1"/>
  <c r="GK26" i="185" s="1"/>
  <c r="GL26" i="185" a="1"/>
  <c r="GL26" i="185" s="1"/>
  <c r="GM26" i="185" a="1"/>
  <c r="GM26" i="185" s="1"/>
  <c r="GN26" i="185" a="1"/>
  <c r="GN26" i="185" s="1"/>
  <c r="GO26" i="185" a="1"/>
  <c r="GO26" i="185" s="1"/>
  <c r="GP26" i="185" a="1"/>
  <c r="GP26" i="185"/>
  <c r="GQ26" i="185" a="1"/>
  <c r="GQ26" i="185"/>
  <c r="GR26" i="185" a="1"/>
  <c r="GR26" i="185"/>
  <c r="GS26" i="185" a="1"/>
  <c r="GS26" i="185"/>
  <c r="GT26" i="185" a="1"/>
  <c r="GT26" i="185"/>
  <c r="GU26" i="185" a="1"/>
  <c r="GU26" i="185"/>
  <c r="GV26" i="185" a="1"/>
  <c r="GV26" i="185" s="1"/>
  <c r="GW26" i="185" a="1"/>
  <c r="GW26" i="185" s="1"/>
  <c r="GX26" i="185" a="1"/>
  <c r="GX26" i="185" s="1"/>
  <c r="GY26" i="185" a="1"/>
  <c r="GY26" i="185" s="1"/>
  <c r="GZ26" i="185" a="1"/>
  <c r="GZ26" i="185" s="1"/>
  <c r="HA26" i="185" a="1"/>
  <c r="HA26" i="185" s="1"/>
  <c r="HB26" i="185" a="1"/>
  <c r="HB26" i="185"/>
  <c r="HC26" i="185" a="1"/>
  <c r="HC26" i="185" s="1"/>
  <c r="HD26" i="185" a="1"/>
  <c r="HD26" i="185" s="1"/>
  <c r="HE26" i="185" a="1"/>
  <c r="HE26" i="185"/>
  <c r="HF26" i="185" a="1"/>
  <c r="HF26" i="185"/>
  <c r="HG26" i="185" a="1"/>
  <c r="HG26" i="185"/>
  <c r="HH26" i="185" a="1"/>
  <c r="HH26" i="185"/>
  <c r="HI26" i="185" a="1"/>
  <c r="HI26" i="185"/>
  <c r="FJ27" i="185" a="1"/>
  <c r="FJ27" i="185" s="1"/>
  <c r="FK27" i="185" a="1"/>
  <c r="FK27" i="185" s="1"/>
  <c r="FL27" i="185" a="1"/>
  <c r="FL27" i="185" s="1"/>
  <c r="FM27" i="185" a="1"/>
  <c r="FM27" i="185"/>
  <c r="FN27" i="185" a="1"/>
  <c r="FN27" i="185" s="1"/>
  <c r="FO27" i="185" a="1"/>
  <c r="FO27" i="185" s="1"/>
  <c r="FP27" i="185" a="1"/>
  <c r="FP27" i="185" s="1"/>
  <c r="FQ27" i="185" a="1"/>
  <c r="FQ27" i="185" s="1"/>
  <c r="FR27" i="185" a="1"/>
  <c r="FR27" i="185"/>
  <c r="FS27" i="185" a="1"/>
  <c r="FS27" i="185" s="1"/>
  <c r="FT27" i="185" a="1"/>
  <c r="FT27" i="185"/>
  <c r="FU27" i="185" a="1"/>
  <c r="FU27" i="185" s="1"/>
  <c r="FV27" i="185" a="1"/>
  <c r="FV27" i="185"/>
  <c r="FW27" i="185" a="1"/>
  <c r="FW27" i="185"/>
  <c r="FX27" i="185" a="1"/>
  <c r="FX27" i="185" s="1"/>
  <c r="FY27" i="185" a="1"/>
  <c r="FY27" i="185" s="1"/>
  <c r="FZ27" i="185" a="1"/>
  <c r="FZ27" i="185" s="1"/>
  <c r="GA27" i="185" a="1"/>
  <c r="GA27" i="185"/>
  <c r="GB27" i="185" a="1"/>
  <c r="GB27" i="185" s="1"/>
  <c r="GC27" i="185" a="1"/>
  <c r="GC27" i="185" s="1"/>
  <c r="GD27" i="185" a="1"/>
  <c r="GD27" i="185" s="1"/>
  <c r="GE27" i="185" a="1"/>
  <c r="GE27" i="185" s="1"/>
  <c r="GF27" i="185" a="1"/>
  <c r="GF27" i="185"/>
  <c r="GG27" i="185" a="1"/>
  <c r="GG27" i="185"/>
  <c r="GH27" i="185" a="1"/>
  <c r="GH27" i="185"/>
  <c r="GI27" i="185" a="1"/>
  <c r="GI27" i="185"/>
  <c r="GJ27" i="185" a="1"/>
  <c r="GJ27" i="185" s="1"/>
  <c r="GK27" i="185" a="1"/>
  <c r="GK27" i="185"/>
  <c r="GL27" i="185" a="1"/>
  <c r="GL27" i="185" s="1"/>
  <c r="GM27" i="185" a="1"/>
  <c r="GM27" i="185" s="1"/>
  <c r="GN27" i="185" a="1"/>
  <c r="GN27" i="185" s="1"/>
  <c r="GO27" i="185" a="1"/>
  <c r="GO27" i="185" s="1"/>
  <c r="GP27" i="185" a="1"/>
  <c r="GP27" i="185" s="1"/>
  <c r="GQ27" i="185" a="1"/>
  <c r="GQ27" i="185" s="1"/>
  <c r="GR27" i="185" a="1"/>
  <c r="GR27" i="185"/>
  <c r="GS27" i="185" a="1"/>
  <c r="GS27" i="185" s="1"/>
  <c r="GT27" i="185" a="1"/>
  <c r="GT27" i="185"/>
  <c r="GU27" i="185" a="1"/>
  <c r="GU27" i="185"/>
  <c r="GV27" i="185" a="1"/>
  <c r="GV27" i="185"/>
  <c r="GW27" i="185" a="1"/>
  <c r="GW27" i="185"/>
  <c r="GX27" i="185" a="1"/>
  <c r="GX27" i="185"/>
  <c r="GY27" i="185" a="1"/>
  <c r="GY27" i="185"/>
  <c r="GZ27" i="185" a="1"/>
  <c r="GZ27" i="185" s="1"/>
  <c r="HA27" i="185" a="1"/>
  <c r="HA27" i="185" s="1"/>
  <c r="HB27" i="185" a="1"/>
  <c r="HB27" i="185" s="1"/>
  <c r="HC27" i="185" a="1"/>
  <c r="HC27" i="185"/>
  <c r="HD27" i="185" a="1"/>
  <c r="HD27" i="185" s="1"/>
  <c r="HE27" i="185" a="1"/>
  <c r="HE27" i="185" s="1"/>
  <c r="HF27" i="185" a="1"/>
  <c r="HF27" i="185"/>
  <c r="HG27" i="185" a="1"/>
  <c r="HG27" i="185" s="1"/>
  <c r="HH27" i="185" a="1"/>
  <c r="HH27" i="185"/>
  <c r="HI27" i="185" a="1"/>
  <c r="HI27" i="185"/>
  <c r="FJ28" i="185" a="1"/>
  <c r="FJ28" i="185"/>
  <c r="FK28" i="185" a="1"/>
  <c r="FK28" i="185"/>
  <c r="FL28" i="185" a="1"/>
  <c r="FL28" i="185"/>
  <c r="FM28" i="185" a="1"/>
  <c r="FM28" i="185"/>
  <c r="FN28" i="185" a="1"/>
  <c r="FN28" i="185" s="1"/>
  <c r="FO28" i="185" a="1"/>
  <c r="FO28" i="185" s="1"/>
  <c r="FP28" i="185" a="1"/>
  <c r="FP28" i="185" s="1"/>
  <c r="FQ28" i="185" a="1"/>
  <c r="FQ28" i="185" s="1"/>
  <c r="FR28" i="185" a="1"/>
  <c r="FR28" i="185" s="1"/>
  <c r="FS28" i="185" a="1"/>
  <c r="FS28" i="185" s="1"/>
  <c r="FT28" i="185" a="1"/>
  <c r="FT28" i="185"/>
  <c r="FU28" i="185" a="1"/>
  <c r="FU28" i="185" s="1"/>
  <c r="FV28" i="185" a="1"/>
  <c r="FV28" i="185"/>
  <c r="FW28" i="185" a="1"/>
  <c r="FW28" i="185" s="1"/>
  <c r="FX28" i="185" a="1"/>
  <c r="FX28" i="185"/>
  <c r="FY28" i="185" a="1"/>
  <c r="FY28" i="185"/>
  <c r="FZ28" i="185" a="1"/>
  <c r="FZ28" i="185"/>
  <c r="GA28" i="185" a="1"/>
  <c r="GA28" i="185"/>
  <c r="GB28" i="185" a="1"/>
  <c r="GB28" i="185" s="1"/>
  <c r="GC28" i="185" a="1"/>
  <c r="GC28" i="185" s="1"/>
  <c r="GD28" i="185" a="1"/>
  <c r="GD28" i="185" s="1"/>
  <c r="GE28" i="185" a="1"/>
  <c r="GE28" i="185" s="1"/>
  <c r="GF28" i="185" a="1"/>
  <c r="GF28" i="185" s="1"/>
  <c r="GG28" i="185" a="1"/>
  <c r="GG28" i="185" s="1"/>
  <c r="GH28" i="185" a="1"/>
  <c r="GH28" i="185" s="1"/>
  <c r="GI28" i="185" a="1"/>
  <c r="GI28" i="185" s="1"/>
  <c r="GJ28" i="185" a="1"/>
  <c r="GJ28" i="185"/>
  <c r="GK28" i="185" a="1"/>
  <c r="GK28" i="185"/>
  <c r="GL28" i="185" a="1"/>
  <c r="GL28" i="185" s="1"/>
  <c r="GM28" i="185" a="1"/>
  <c r="GM28" i="185"/>
  <c r="GN28" i="185" a="1"/>
  <c r="GN28" i="185" s="1"/>
  <c r="GO28" i="185" a="1"/>
  <c r="GO28" i="185"/>
  <c r="GP28" i="185" a="1"/>
  <c r="GP28" i="185" s="1"/>
  <c r="GQ28" i="185" a="1"/>
  <c r="GQ28" i="185" s="1"/>
  <c r="GR28" i="185" a="1"/>
  <c r="GR28" i="185" s="1"/>
  <c r="GS28" i="185" a="1"/>
  <c r="GS28" i="185"/>
  <c r="GT28" i="185" a="1"/>
  <c r="GT28" i="185" s="1"/>
  <c r="GU28" i="185" a="1"/>
  <c r="GU28" i="185" s="1"/>
  <c r="GV28" i="185" a="1"/>
  <c r="GV28" i="185"/>
  <c r="GW28" i="185" a="1"/>
  <c r="GW28" i="185" s="1"/>
  <c r="GX28" i="185" a="1"/>
  <c r="GX28" i="185"/>
  <c r="GY28" i="185" a="1"/>
  <c r="GY28" i="185"/>
  <c r="GZ28" i="185" a="1"/>
  <c r="GZ28" i="185"/>
  <c r="HA28" i="185" a="1"/>
  <c r="HA28" i="185"/>
  <c r="HB28" i="185" a="1"/>
  <c r="HB28" i="185"/>
  <c r="HC28" i="185" a="1"/>
  <c r="HC28" i="185" s="1"/>
  <c r="HD28" i="185" a="1"/>
  <c r="HD28" i="185"/>
  <c r="HE28" i="185" a="1"/>
  <c r="HE28" i="185" s="1"/>
  <c r="HF28" i="185" a="1"/>
  <c r="HF28" i="185"/>
  <c r="HG28" i="185" a="1"/>
  <c r="HG28" i="185"/>
  <c r="HH28" i="185" a="1"/>
  <c r="HH28" i="185"/>
  <c r="HI28" i="185" a="1"/>
  <c r="HI28" i="185"/>
  <c r="FJ29" i="185" a="1"/>
  <c r="FJ29" i="185"/>
  <c r="FK29" i="185" a="1"/>
  <c r="FK29" i="185" s="1"/>
  <c r="FL29" i="185" a="1"/>
  <c r="FL29" i="185" s="1"/>
  <c r="FM29" i="185" a="1"/>
  <c r="FM29" i="185"/>
  <c r="FN29" i="185" a="1"/>
  <c r="FN29" i="185"/>
  <c r="FO29" i="185" a="1"/>
  <c r="FO29" i="185" s="1"/>
  <c r="FP29" i="185" a="1"/>
  <c r="FP29" i="185" s="1"/>
  <c r="FQ29" i="185" a="1"/>
  <c r="FQ29" i="185"/>
  <c r="FR29" i="185" a="1"/>
  <c r="FR29" i="185"/>
  <c r="FS29" i="185" a="1"/>
  <c r="FS29" i="185" s="1"/>
  <c r="FT29" i="185" a="1"/>
  <c r="FT29" i="185"/>
  <c r="FU29" i="185" a="1"/>
  <c r="FU29" i="185"/>
  <c r="FV29" i="185" a="1"/>
  <c r="FV29" i="185" s="1"/>
  <c r="FW29" i="185" a="1"/>
  <c r="FW29" i="185"/>
  <c r="FX29" i="185" a="1"/>
  <c r="FX29" i="185"/>
  <c r="FY29" i="185" a="1"/>
  <c r="FY29" i="185" s="1"/>
  <c r="FZ29" i="185" a="1"/>
  <c r="FZ29" i="185"/>
  <c r="GA29" i="185" a="1"/>
  <c r="GA29" i="185"/>
  <c r="GB29" i="185" a="1"/>
  <c r="GB29" i="185"/>
  <c r="GC29" i="185" a="1"/>
  <c r="GC29" i="185"/>
  <c r="GD29" i="185" a="1"/>
  <c r="GD29" i="185"/>
  <c r="GE29" i="185" a="1"/>
  <c r="GE29" i="185"/>
  <c r="GF29" i="185" a="1"/>
  <c r="GF29" i="185" s="1"/>
  <c r="GG29" i="185" a="1"/>
  <c r="GG29" i="185"/>
  <c r="GH29" i="185" a="1"/>
  <c r="GH29" i="185" s="1"/>
  <c r="GI29" i="185" a="1"/>
  <c r="GI29" i="185"/>
  <c r="GJ29" i="185" a="1"/>
  <c r="GJ29" i="185"/>
  <c r="GK29" i="185" a="1"/>
  <c r="GK29" i="185"/>
  <c r="GL29" i="185" a="1"/>
  <c r="GL29" i="185"/>
  <c r="GM29" i="185" a="1"/>
  <c r="GM29" i="185" s="1"/>
  <c r="GN29" i="185" a="1"/>
  <c r="GN29" i="185"/>
  <c r="GO29" i="185" a="1"/>
  <c r="GO29" i="185" s="1"/>
  <c r="GP29" i="185" a="1"/>
  <c r="GP29" i="185"/>
  <c r="GQ29" i="185" a="1"/>
  <c r="GQ29" i="185"/>
  <c r="GR29" i="185" a="1"/>
  <c r="GR29" i="185" s="1"/>
  <c r="GS29" i="185" a="1"/>
  <c r="GS29" i="185" s="1"/>
  <c r="GT29" i="185" a="1"/>
  <c r="GT29" i="185"/>
  <c r="GU29" i="185" a="1"/>
  <c r="GU29" i="185"/>
  <c r="GV29" i="185" a="1"/>
  <c r="GV29" i="185" s="1"/>
  <c r="GW29" i="185" a="1"/>
  <c r="GW29" i="185"/>
  <c r="GX29" i="185" a="1"/>
  <c r="GX29" i="185"/>
  <c r="GY29" i="185" a="1"/>
  <c r="GY29" i="185" s="1"/>
  <c r="GZ29" i="185" a="1"/>
  <c r="GZ29" i="185"/>
  <c r="HA29" i="185" a="1"/>
  <c r="HA29" i="185"/>
  <c r="HB29" i="185" a="1"/>
  <c r="HB29" i="185"/>
  <c r="HC29" i="185" a="1"/>
  <c r="HC29" i="185" s="1"/>
  <c r="HD29" i="185" a="1"/>
  <c r="HD29" i="185"/>
  <c r="HE29" i="185" a="1"/>
  <c r="HE29" i="185"/>
  <c r="HF29" i="185" a="1"/>
  <c r="HF29" i="185" s="1"/>
  <c r="HG29" i="185" a="1"/>
  <c r="HG29" i="185" s="1"/>
  <c r="HH29" i="185" a="1"/>
  <c r="HH29" i="185"/>
  <c r="HI29" i="185" a="1"/>
  <c r="HI29" i="185"/>
  <c r="FJ30" i="185" a="1"/>
  <c r="FJ30" i="185" s="1"/>
  <c r="FK30" i="185" a="1"/>
  <c r="FK30" i="185" s="1"/>
  <c r="FL30" i="185" a="1"/>
  <c r="FL30" i="185" s="1"/>
  <c r="FM30" i="185" a="1"/>
  <c r="FM30" i="185" s="1"/>
  <c r="FN30" i="185" a="1"/>
  <c r="FN30" i="185"/>
  <c r="FO30" i="185" a="1"/>
  <c r="FO30" i="185"/>
  <c r="FP30" i="185" a="1"/>
  <c r="FP30" i="185"/>
  <c r="FQ30" i="185" a="1"/>
  <c r="FQ30" i="185" s="1"/>
  <c r="FR30" i="185" a="1"/>
  <c r="FR30" i="185"/>
  <c r="FS30" i="185" a="1"/>
  <c r="FS30" i="185"/>
  <c r="FT30" i="185" a="1"/>
  <c r="FT30" i="185" s="1"/>
  <c r="FU30" i="185" a="1"/>
  <c r="FU30" i="185" s="1"/>
  <c r="FV30" i="185" a="1"/>
  <c r="FV30" i="185"/>
  <c r="FW30" i="185" a="1"/>
  <c r="FW30" i="185"/>
  <c r="FX30" i="185" a="1"/>
  <c r="FX30" i="185" s="1"/>
  <c r="FY30" i="185" a="1"/>
  <c r="FY30" i="185" s="1"/>
  <c r="FZ30" i="185" a="1"/>
  <c r="FZ30" i="185" s="1"/>
  <c r="GA30" i="185" a="1"/>
  <c r="GA30" i="185" s="1"/>
  <c r="GB30" i="185" a="1"/>
  <c r="GB30" i="185"/>
  <c r="GC30" i="185" a="1"/>
  <c r="GC30" i="185"/>
  <c r="GD30" i="185" a="1"/>
  <c r="GD30" i="185"/>
  <c r="GE30" i="185" a="1"/>
  <c r="GE30" i="185" s="1"/>
  <c r="GF30" i="185" a="1"/>
  <c r="GF30" i="185"/>
  <c r="GG30" i="185" a="1"/>
  <c r="GG30" i="185"/>
  <c r="GH30" i="185" a="1"/>
  <c r="GH30" i="185" s="1"/>
  <c r="GI30" i="185" a="1"/>
  <c r="GI30" i="185" s="1"/>
  <c r="GJ30" i="185" a="1"/>
  <c r="GJ30" i="185"/>
  <c r="GK30" i="185" a="1"/>
  <c r="GK30" i="185"/>
  <c r="GL30" i="185" a="1"/>
  <c r="GL30" i="185" s="1"/>
  <c r="GM30" i="185" a="1"/>
  <c r="GM30" i="185" s="1"/>
  <c r="GN30" i="185" a="1"/>
  <c r="GN30" i="185" s="1"/>
  <c r="GO30" i="185" a="1"/>
  <c r="GO30" i="185" s="1"/>
  <c r="GP30" i="185" a="1"/>
  <c r="GP30" i="185"/>
  <c r="GQ30" i="185" a="1"/>
  <c r="GQ30" i="185"/>
  <c r="GR30" i="185" a="1"/>
  <c r="GR30" i="185"/>
  <c r="GS30" i="185" a="1"/>
  <c r="GS30" i="185" s="1"/>
  <c r="GT30" i="185" a="1"/>
  <c r="GT30" i="185"/>
  <c r="GU30" i="185" a="1"/>
  <c r="GU30" i="185"/>
  <c r="GV30" i="185" a="1"/>
  <c r="GV30" i="185" s="1"/>
  <c r="GW30" i="185" a="1"/>
  <c r="GW30" i="185" s="1"/>
  <c r="GX30" i="185" a="1"/>
  <c r="GX30" i="185"/>
  <c r="GY30" i="185" a="1"/>
  <c r="GY30" i="185"/>
  <c r="GZ30" i="185" a="1"/>
  <c r="GZ30" i="185" s="1"/>
  <c r="HA30" i="185" a="1"/>
  <c r="HA30" i="185" s="1"/>
  <c r="HB30" i="185" a="1"/>
  <c r="HB30" i="185" s="1"/>
  <c r="HC30" i="185" a="1"/>
  <c r="HC30" i="185" s="1"/>
  <c r="HD30" i="185" a="1"/>
  <c r="HD30" i="185"/>
  <c r="HE30" i="185" a="1"/>
  <c r="HE30" i="185"/>
  <c r="HF30" i="185" a="1"/>
  <c r="HF30" i="185"/>
  <c r="HG30" i="185" a="1"/>
  <c r="HG30" i="185" s="1"/>
  <c r="HH30" i="185" a="1"/>
  <c r="HH30" i="185"/>
  <c r="HI30" i="185" a="1"/>
  <c r="HI30" i="185"/>
  <c r="FJ31" i="185" a="1"/>
  <c r="FJ31" i="185" s="1"/>
  <c r="FK31" i="185" a="1"/>
  <c r="FK31" i="185" s="1"/>
  <c r="FL31" i="185" a="1"/>
  <c r="FL31" i="185" s="1"/>
  <c r="FM31" i="185" a="1"/>
  <c r="FM31" i="185" s="1"/>
  <c r="FN31" i="185" a="1"/>
  <c r="FN31" i="185" s="1"/>
  <c r="FO31" i="185" a="1"/>
  <c r="FO31" i="185" s="1"/>
  <c r="FP31" i="185" a="1"/>
  <c r="FP31" i="185" s="1"/>
  <c r="FQ31" i="185" a="1"/>
  <c r="FQ31" i="185" s="1"/>
  <c r="FR31" i="185" a="1"/>
  <c r="FR31" i="185"/>
  <c r="FS31" i="185" a="1"/>
  <c r="FS31" i="185"/>
  <c r="FT31" i="185" a="1"/>
  <c r="FT31" i="185"/>
  <c r="FU31" i="185" a="1"/>
  <c r="FU31" i="185" s="1"/>
  <c r="FV31" i="185" a="1"/>
  <c r="FV31" i="185"/>
  <c r="FW31" i="185" a="1"/>
  <c r="FW31" i="185"/>
  <c r="FX31" i="185" a="1"/>
  <c r="FX31" i="185" s="1"/>
  <c r="FY31" i="185" a="1"/>
  <c r="FY31" i="185" s="1"/>
  <c r="FZ31" i="185" a="1"/>
  <c r="FZ31" i="185" s="1"/>
  <c r="GA31" i="185" a="1"/>
  <c r="GA31" i="185" s="1"/>
  <c r="GB31" i="185" a="1"/>
  <c r="GB31" i="185" s="1"/>
  <c r="GC31" i="185" a="1"/>
  <c r="GC31" i="185" s="1"/>
  <c r="GD31" i="185" a="1"/>
  <c r="GD31" i="185" s="1"/>
  <c r="GE31" i="185" a="1"/>
  <c r="GE31" i="185" s="1"/>
  <c r="GF31" i="185" a="1"/>
  <c r="GF31" i="185"/>
  <c r="GG31" i="185" a="1"/>
  <c r="GG31" i="185"/>
  <c r="GH31" i="185" a="1"/>
  <c r="GH31" i="185"/>
  <c r="GI31" i="185" a="1"/>
  <c r="GI31" i="185" s="1"/>
  <c r="GJ31" i="185" a="1"/>
  <c r="GJ31" i="185"/>
  <c r="GK31" i="185" a="1"/>
  <c r="GK31" i="185"/>
  <c r="GL31" i="185" a="1"/>
  <c r="GL31" i="185" s="1"/>
  <c r="GM31" i="185" a="1"/>
  <c r="GM31" i="185" s="1"/>
  <c r="GN31" i="185" a="1"/>
  <c r="GN31" i="185" s="1"/>
  <c r="GO31" i="185" a="1"/>
  <c r="GO31" i="185" s="1"/>
  <c r="GP31" i="185" a="1"/>
  <c r="GP31" i="185" s="1"/>
  <c r="GQ31" i="185" a="1"/>
  <c r="GQ31" i="185" s="1"/>
  <c r="GR31" i="185" a="1"/>
  <c r="GR31" i="185" s="1"/>
  <c r="GS31" i="185" a="1"/>
  <c r="GS31" i="185" s="1"/>
  <c r="GT31" i="185" a="1"/>
  <c r="GT31" i="185"/>
  <c r="GU31" i="185" a="1"/>
  <c r="GU31" i="185"/>
  <c r="GV31" i="185" a="1"/>
  <c r="GV31" i="185"/>
  <c r="GW31" i="185" a="1"/>
  <c r="GW31" i="185" s="1"/>
  <c r="GX31" i="185" a="1"/>
  <c r="GX31" i="185"/>
  <c r="GY31" i="185" a="1"/>
  <c r="GY31" i="185"/>
  <c r="GZ31" i="185" a="1"/>
  <c r="GZ31" i="185" s="1"/>
  <c r="HA31" i="185" a="1"/>
  <c r="HA31" i="185" s="1"/>
  <c r="HB31" i="185" a="1"/>
  <c r="HB31" i="185" s="1"/>
  <c r="HC31" i="185" a="1"/>
  <c r="HC31" i="185" s="1"/>
  <c r="HD31" i="185" a="1"/>
  <c r="HD31" i="185" s="1"/>
  <c r="HE31" i="185" a="1"/>
  <c r="HE31" i="185" s="1"/>
  <c r="HF31" i="185" a="1"/>
  <c r="HF31" i="185" s="1"/>
  <c r="HG31" i="185" a="1"/>
  <c r="HG31" i="185" s="1"/>
  <c r="HH31" i="185" a="1"/>
  <c r="HH31" i="185"/>
  <c r="HI31" i="185" a="1"/>
  <c r="HI31" i="185"/>
  <c r="FJ32" i="185" a="1"/>
  <c r="FJ32" i="185"/>
  <c r="FK32" i="185" a="1"/>
  <c r="FK32" i="185" s="1"/>
  <c r="FL32" i="185" a="1"/>
  <c r="FL32" i="185"/>
  <c r="FM32" i="185" a="1"/>
  <c r="FM32" i="185"/>
  <c r="FN32" i="185" a="1"/>
  <c r="FN32" i="185" s="1"/>
  <c r="FO32" i="185" a="1"/>
  <c r="FO32" i="185" s="1"/>
  <c r="FP32" i="185" a="1"/>
  <c r="FP32" i="185" s="1"/>
  <c r="FQ32" i="185" a="1"/>
  <c r="FQ32" i="185" s="1"/>
  <c r="FR32" i="185" a="1"/>
  <c r="FR32" i="185" s="1"/>
  <c r="FS32" i="185" a="1"/>
  <c r="FS32" i="185" s="1"/>
  <c r="FT32" i="185" a="1"/>
  <c r="FT32" i="185" s="1"/>
  <c r="FU32" i="185" a="1"/>
  <c r="FU32" i="185" s="1"/>
  <c r="FV32" i="185" a="1"/>
  <c r="FV32" i="185"/>
  <c r="FW32" i="185" a="1"/>
  <c r="FW32" i="185"/>
  <c r="FX32" i="185" a="1"/>
  <c r="FX32" i="185"/>
  <c r="FY32" i="185" a="1"/>
  <c r="FY32" i="185" s="1"/>
  <c r="FZ32" i="185" a="1"/>
  <c r="FZ32" i="185"/>
  <c r="GA32" i="185" a="1"/>
  <c r="GA32" i="185"/>
  <c r="GB32" i="185" a="1"/>
  <c r="GB32" i="185" s="1"/>
  <c r="GC32" i="185" a="1"/>
  <c r="GC32" i="185" s="1"/>
  <c r="GD32" i="185" a="1"/>
  <c r="GD32" i="185" s="1"/>
  <c r="GE32" i="185" a="1"/>
  <c r="GE32" i="185" s="1"/>
  <c r="GF32" i="185" a="1"/>
  <c r="GF32" i="185" s="1"/>
  <c r="GG32" i="185" a="1"/>
  <c r="GG32" i="185" s="1"/>
  <c r="GH32" i="185" a="1"/>
  <c r="GH32" i="185" s="1"/>
  <c r="GI32" i="185" a="1"/>
  <c r="GI32" i="185" s="1"/>
  <c r="GJ32" i="185" a="1"/>
  <c r="GJ32" i="185"/>
  <c r="GK32" i="185" a="1"/>
  <c r="GK32" i="185"/>
  <c r="GL32" i="185" a="1"/>
  <c r="GL32" i="185"/>
  <c r="GM32" i="185" a="1"/>
  <c r="GM32" i="185" s="1"/>
  <c r="GN32" i="185" a="1"/>
  <c r="GN32" i="185"/>
  <c r="GO32" i="185" a="1"/>
  <c r="GO32" i="185"/>
  <c r="GP32" i="185" a="1"/>
  <c r="GP32" i="185" s="1"/>
  <c r="GQ32" i="185" a="1"/>
  <c r="GQ32" i="185" s="1"/>
  <c r="GR32" i="185" a="1"/>
  <c r="GR32" i="185" s="1"/>
  <c r="GS32" i="185" a="1"/>
  <c r="GS32" i="185" s="1"/>
  <c r="GT32" i="185" a="1"/>
  <c r="GT32" i="185" s="1"/>
  <c r="GU32" i="185" a="1"/>
  <c r="GU32" i="185" s="1"/>
  <c r="GV32" i="185" a="1"/>
  <c r="GV32" i="185" s="1"/>
  <c r="GW32" i="185" a="1"/>
  <c r="GW32" i="185" s="1"/>
  <c r="GX32" i="185" a="1"/>
  <c r="GX32" i="185"/>
  <c r="GY32" i="185" a="1"/>
  <c r="GY32" i="185"/>
  <c r="GZ32" i="185" a="1"/>
  <c r="GZ32" i="185"/>
  <c r="HA32" i="185" a="1"/>
  <c r="HA32" i="185" s="1"/>
  <c r="HB32" i="185" a="1"/>
  <c r="HB32" i="185"/>
  <c r="HC32" i="185" a="1"/>
  <c r="HC32" i="185"/>
  <c r="HD32" i="185" a="1"/>
  <c r="HD32" i="185" s="1"/>
  <c r="HE32" i="185" a="1"/>
  <c r="HE32" i="185" s="1"/>
  <c r="HF32" i="185" a="1"/>
  <c r="HF32" i="185" s="1"/>
  <c r="HG32" i="185" a="1"/>
  <c r="HG32" i="185" s="1"/>
  <c r="HH32" i="185" a="1"/>
  <c r="HH32" i="185" s="1"/>
  <c r="HI32" i="185" a="1"/>
  <c r="HI32" i="185" s="1"/>
  <c r="FJ33" i="185" a="1"/>
  <c r="FJ33" i="185" s="1"/>
  <c r="FK33" i="185" a="1"/>
  <c r="FK33" i="185" s="1"/>
  <c r="FO33" i="185" a="1"/>
  <c r="FO33" i="185" s="1"/>
  <c r="FP33" i="185" a="1"/>
  <c r="FP33" i="185"/>
  <c r="FQ33" i="185" a="1"/>
  <c r="FQ33" i="185"/>
  <c r="FR33" i="185" a="1"/>
  <c r="FR33" i="185" s="1"/>
  <c r="FS33" i="185" a="1"/>
  <c r="FS33" i="185" s="1"/>
  <c r="FT33" i="185" a="1"/>
  <c r="FT33" i="185" s="1"/>
  <c r="FU33" i="185" a="1"/>
  <c r="FU33" i="185" s="1"/>
  <c r="FV33" i="185" a="1"/>
  <c r="FV33" i="185" s="1"/>
  <c r="FW33" i="185" a="1"/>
  <c r="FW33" i="185" s="1"/>
  <c r="FX33" i="185" a="1"/>
  <c r="FX33" i="185" s="1"/>
  <c r="FY33" i="185" a="1"/>
  <c r="FY33" i="185" s="1"/>
  <c r="FZ33" i="185" a="1"/>
  <c r="FZ33" i="185"/>
  <c r="GA33" i="185" a="1"/>
  <c r="GA33" i="185"/>
  <c r="GB33" i="185" a="1"/>
  <c r="GB33" i="185"/>
  <c r="GC33" i="185" a="1"/>
  <c r="GC33" i="185" s="1"/>
  <c r="GD33" i="185" a="1"/>
  <c r="GD33" i="185"/>
  <c r="GE33" i="185" a="1"/>
  <c r="GE33" i="185"/>
  <c r="GF33" i="185" a="1"/>
  <c r="GF33" i="185" s="1"/>
  <c r="GG33" i="185" a="1"/>
  <c r="GG33" i="185" s="1"/>
  <c r="GH33" i="185" a="1"/>
  <c r="GH33" i="185" s="1"/>
  <c r="GI33" i="185" a="1"/>
  <c r="GI33" i="185" s="1"/>
  <c r="GJ33" i="185" a="1"/>
  <c r="GJ33" i="185" s="1"/>
  <c r="GK33" i="185" a="1"/>
  <c r="GK33" i="185" s="1"/>
  <c r="GL33" i="185" a="1"/>
  <c r="GL33" i="185" s="1"/>
  <c r="GM33" i="185" a="1"/>
  <c r="GM33" i="185" s="1"/>
  <c r="GN33" i="185" a="1"/>
  <c r="GN33" i="185"/>
  <c r="GO33" i="185" a="1"/>
  <c r="GO33" i="185"/>
  <c r="GP33" i="185" a="1"/>
  <c r="GP33" i="185"/>
  <c r="GQ33" i="185" a="1"/>
  <c r="GQ33" i="185" s="1"/>
  <c r="GR33" i="185" a="1"/>
  <c r="GR33" i="185"/>
  <c r="GS33" i="185" a="1"/>
  <c r="GS33" i="185"/>
  <c r="GT33" i="185" a="1"/>
  <c r="GT33" i="185" s="1"/>
  <c r="GU33" i="185" a="1"/>
  <c r="GU33" i="185" s="1"/>
  <c r="GV33" i="185" a="1"/>
  <c r="GV33" i="185" s="1"/>
  <c r="GW33" i="185" a="1"/>
  <c r="GW33" i="185" s="1"/>
  <c r="GX33" i="185" a="1"/>
  <c r="GX33" i="185" s="1"/>
  <c r="GY33" i="185" a="1"/>
  <c r="GY33" i="185" s="1"/>
  <c r="GZ33" i="185" a="1"/>
  <c r="GZ33" i="185" s="1"/>
  <c r="HA33" i="185" a="1"/>
  <c r="HA33" i="185" s="1"/>
  <c r="HB33" i="185" a="1"/>
  <c r="HB33" i="185"/>
  <c r="HC33" i="185" a="1"/>
  <c r="HC33" i="185"/>
  <c r="HD33" i="185" a="1"/>
  <c r="HD33" i="185"/>
  <c r="HE33" i="185" a="1"/>
  <c r="HE33" i="185" s="1"/>
  <c r="HF33" i="185" a="1"/>
  <c r="HF33" i="185"/>
  <c r="HG33" i="185" a="1"/>
  <c r="HG33" i="185"/>
  <c r="HH33" i="185" a="1"/>
  <c r="HH33" i="185" s="1"/>
  <c r="HI33" i="185" a="1"/>
  <c r="HI33" i="185" s="1"/>
  <c r="FJ34" i="185" a="1"/>
  <c r="FJ34" i="185" s="1"/>
  <c r="FK34" i="185" a="1"/>
  <c r="FK34" i="185" s="1"/>
  <c r="FL34" i="185" a="1"/>
  <c r="FL34" i="185" s="1"/>
  <c r="FM34" i="185" a="1"/>
  <c r="FM34" i="185" s="1"/>
  <c r="FN34" i="185" a="1"/>
  <c r="FN34" i="185" s="1"/>
  <c r="FO34" i="185" a="1"/>
  <c r="FO34" i="185" s="1"/>
  <c r="FP34" i="185" a="1"/>
  <c r="FP34" i="185"/>
  <c r="FQ34" i="185" a="1"/>
  <c r="FQ34" i="185"/>
  <c r="FR34" i="185" a="1"/>
  <c r="FR34" i="185"/>
  <c r="FS34" i="185" a="1"/>
  <c r="FS34" i="185" s="1"/>
  <c r="FT34" i="185" a="1"/>
  <c r="FT34" i="185"/>
  <c r="FU34" i="185" a="1"/>
  <c r="FU34" i="185"/>
  <c r="FV34" i="185" a="1"/>
  <c r="FV34" i="185" s="1"/>
  <c r="FW34" i="185" a="1"/>
  <c r="FW34" i="185" s="1"/>
  <c r="FX34" i="185" a="1"/>
  <c r="FX34" i="185" s="1"/>
  <c r="FY34" i="185" a="1"/>
  <c r="FY34" i="185" s="1"/>
  <c r="FZ34" i="185" a="1"/>
  <c r="FZ34" i="185" s="1"/>
  <c r="GA34" i="185" a="1"/>
  <c r="GA34" i="185" s="1"/>
  <c r="GB34" i="185" a="1"/>
  <c r="GB34" i="185" s="1"/>
  <c r="GC34" i="185" a="1"/>
  <c r="GC34" i="185" s="1"/>
  <c r="GD34" i="185" a="1"/>
  <c r="GD34" i="185"/>
  <c r="GE34" i="185" a="1"/>
  <c r="GE34" i="185"/>
  <c r="GF34" i="185" a="1"/>
  <c r="GF34" i="185"/>
  <c r="GG34" i="185" a="1"/>
  <c r="GG34" i="185" s="1"/>
  <c r="GH34" i="185" a="1"/>
  <c r="GH34" i="185"/>
  <c r="GI34" i="185" a="1"/>
  <c r="GI34" i="185"/>
  <c r="GJ34" i="185" a="1"/>
  <c r="GJ34" i="185" s="1"/>
  <c r="GK34" i="185" a="1"/>
  <c r="GK34" i="185" s="1"/>
  <c r="GL34" i="185" a="1"/>
  <c r="GL34" i="185" s="1"/>
  <c r="GM34" i="185" a="1"/>
  <c r="GM34" i="185" s="1"/>
  <c r="GN34" i="185" a="1"/>
  <c r="GN34" i="185" s="1"/>
  <c r="GO34" i="185" a="1"/>
  <c r="GO34" i="185" s="1"/>
  <c r="GP34" i="185" a="1"/>
  <c r="GP34" i="185" s="1"/>
  <c r="GQ34" i="185" a="1"/>
  <c r="GQ34" i="185" s="1"/>
  <c r="GR34" i="185" a="1"/>
  <c r="GR34" i="185"/>
  <c r="GS34" i="185" a="1"/>
  <c r="GS34" i="185"/>
  <c r="GT34" i="185" a="1"/>
  <c r="GT34" i="185"/>
  <c r="GU34" i="185" a="1"/>
  <c r="GU34" i="185" s="1"/>
  <c r="GV34" i="185" a="1"/>
  <c r="GV34" i="185"/>
  <c r="GW34" i="185" a="1"/>
  <c r="GW34" i="185"/>
  <c r="GX34" i="185" a="1"/>
  <c r="GX34" i="185" s="1"/>
  <c r="GY34" i="185" a="1"/>
  <c r="GY34" i="185" s="1"/>
  <c r="GZ34" i="185" a="1"/>
  <c r="GZ34" i="185" s="1"/>
  <c r="HA34" i="185" a="1"/>
  <c r="HA34" i="185" s="1"/>
  <c r="HB34" i="185" a="1"/>
  <c r="HB34" i="185" s="1"/>
  <c r="HC34" i="185" a="1"/>
  <c r="HC34" i="185" s="1"/>
  <c r="HD34" i="185" a="1"/>
  <c r="HD34" i="185" s="1"/>
  <c r="HE34" i="185" a="1"/>
  <c r="HE34" i="185" s="1"/>
  <c r="HF34" i="185" a="1"/>
  <c r="HF34" i="185"/>
  <c r="HG34" i="185" a="1"/>
  <c r="HG34" i="185"/>
  <c r="HH34" i="185" a="1"/>
  <c r="HH34" i="185"/>
  <c r="HI34" i="185" a="1"/>
  <c r="HI34" i="185" s="1"/>
  <c r="FJ35" i="185" a="1"/>
  <c r="FJ35" i="185"/>
  <c r="FK35" i="185" a="1"/>
  <c r="FK35" i="185"/>
  <c r="FL35" i="185" a="1"/>
  <c r="FL35" i="185" s="1"/>
  <c r="FM35" i="185" a="1"/>
  <c r="FM35" i="185" s="1"/>
  <c r="FN35" i="185" a="1"/>
  <c r="FN35" i="185" s="1"/>
  <c r="FO35" i="185" a="1"/>
  <c r="FO35" i="185" s="1"/>
  <c r="FP35" i="185" a="1"/>
  <c r="FP35" i="185" s="1"/>
  <c r="FQ35" i="185" a="1"/>
  <c r="FQ35" i="185" s="1"/>
  <c r="FR35" i="185" a="1"/>
  <c r="FR35" i="185" s="1"/>
  <c r="FS35" i="185" a="1"/>
  <c r="FS35" i="185" s="1"/>
  <c r="FT35" i="185" a="1"/>
  <c r="FT35" i="185"/>
  <c r="FU35" i="185" a="1"/>
  <c r="FU35" i="185"/>
  <c r="FV35" i="185" a="1"/>
  <c r="FV35" i="185"/>
  <c r="FW35" i="185" a="1"/>
  <c r="FW35" i="185" s="1"/>
  <c r="FX35" i="185" a="1"/>
  <c r="FX35" i="185"/>
  <c r="FY35" i="185" a="1"/>
  <c r="FY35" i="185"/>
  <c r="FZ35" i="185" a="1"/>
  <c r="FZ35" i="185" s="1"/>
  <c r="GA35" i="185" a="1"/>
  <c r="GA35" i="185" s="1"/>
  <c r="GB35" i="185" a="1"/>
  <c r="GB35" i="185" s="1"/>
  <c r="GC35" i="185" a="1"/>
  <c r="GC35" i="185" s="1"/>
  <c r="GD35" i="185" a="1"/>
  <c r="GD35" i="185" s="1"/>
  <c r="GE35" i="185" a="1"/>
  <c r="GE35" i="185" s="1"/>
  <c r="GF35" i="185" a="1"/>
  <c r="GF35" i="185" s="1"/>
  <c r="GG35" i="185" a="1"/>
  <c r="GG35" i="185" s="1"/>
  <c r="GH35" i="185" a="1"/>
  <c r="GH35" i="185"/>
  <c r="GI35" i="185" a="1"/>
  <c r="GI35" i="185"/>
  <c r="GJ35" i="185" a="1"/>
  <c r="GJ35" i="185"/>
  <c r="GK35" i="185" a="1"/>
  <c r="GK35" i="185" s="1"/>
  <c r="GL35" i="185" a="1"/>
  <c r="GL35" i="185"/>
  <c r="GM35" i="185" a="1"/>
  <c r="GM35" i="185"/>
  <c r="GN35" i="185" a="1"/>
  <c r="GN35" i="185" s="1"/>
  <c r="GO35" i="185" a="1"/>
  <c r="GO35" i="185" s="1"/>
  <c r="GP35" i="185" a="1"/>
  <c r="GP35" i="185" s="1"/>
  <c r="GQ35" i="185" a="1"/>
  <c r="GQ35" i="185" s="1"/>
  <c r="GR35" i="185" a="1"/>
  <c r="GR35" i="185" s="1"/>
  <c r="GS35" i="185" a="1"/>
  <c r="GS35" i="185" s="1"/>
  <c r="GT35" i="185" a="1"/>
  <c r="GT35" i="185" s="1"/>
  <c r="GU35" i="185" a="1"/>
  <c r="GU35" i="185" s="1"/>
  <c r="GV35" i="185" a="1"/>
  <c r="GV35" i="185"/>
  <c r="GW35" i="185" a="1"/>
  <c r="GW35" i="185"/>
  <c r="GX35" i="185" a="1"/>
  <c r="GX35" i="185"/>
  <c r="GY35" i="185" a="1"/>
  <c r="GY35" i="185" s="1"/>
  <c r="GZ35" i="185" a="1"/>
  <c r="GZ35" i="185"/>
  <c r="HA35" i="185" a="1"/>
  <c r="HA35" i="185"/>
  <c r="HB35" i="185" a="1"/>
  <c r="HB35" i="185" s="1"/>
  <c r="HC35" i="185" a="1"/>
  <c r="HC35" i="185" s="1"/>
  <c r="HD35" i="185" a="1"/>
  <c r="HD35" i="185" s="1"/>
  <c r="HE35" i="185" a="1"/>
  <c r="HE35" i="185" s="1"/>
  <c r="HF35" i="185" a="1"/>
  <c r="HF35" i="185" s="1"/>
  <c r="HG35" i="185" a="1"/>
  <c r="HG35" i="185" s="1"/>
  <c r="HH35" i="185" a="1"/>
  <c r="HH35" i="185" s="1"/>
  <c r="HI35" i="185" a="1"/>
  <c r="HI35" i="185" s="1"/>
  <c r="FJ36" i="185" a="1"/>
  <c r="FJ36" i="185"/>
  <c r="FK36" i="185" a="1"/>
  <c r="FK36" i="185"/>
  <c r="FL36" i="185" a="1"/>
  <c r="FL36" i="185"/>
  <c r="FM36" i="185" a="1"/>
  <c r="FM36" i="185" s="1"/>
  <c r="FN36" i="185" a="1"/>
  <c r="FN36" i="185"/>
  <c r="FO36" i="185" a="1"/>
  <c r="FO36" i="185"/>
  <c r="FP36" i="185" a="1"/>
  <c r="FP36" i="185" s="1"/>
  <c r="FQ36" i="185" a="1"/>
  <c r="FQ36" i="185" s="1"/>
  <c r="FR36" i="185" a="1"/>
  <c r="FR36" i="185" s="1"/>
  <c r="FS36" i="185" a="1"/>
  <c r="FS36" i="185" s="1"/>
  <c r="FT36" i="185" a="1"/>
  <c r="FT36" i="185" s="1"/>
  <c r="FU36" i="185" a="1"/>
  <c r="FU36" i="185" s="1"/>
  <c r="FV36" i="185" a="1"/>
  <c r="FV36" i="185" s="1"/>
  <c r="FW36" i="185" a="1"/>
  <c r="FW36" i="185" s="1"/>
  <c r="FX36" i="185" a="1"/>
  <c r="FX36" i="185"/>
  <c r="FY36" i="185" a="1"/>
  <c r="FY36" i="185"/>
  <c r="FZ36" i="185" a="1"/>
  <c r="FZ36" i="185"/>
  <c r="GA36" i="185" a="1"/>
  <c r="GA36" i="185" s="1"/>
  <c r="GB36" i="185" a="1"/>
  <c r="GB36" i="185"/>
  <c r="GC36" i="185" a="1"/>
  <c r="GC36" i="185"/>
  <c r="GD36" i="185" a="1"/>
  <c r="GD36" i="185" s="1"/>
  <c r="GE36" i="185" a="1"/>
  <c r="GE36" i="185" s="1"/>
  <c r="GF36" i="185" a="1"/>
  <c r="GF36" i="185" s="1"/>
  <c r="GG36" i="185" a="1"/>
  <c r="GG36" i="185" s="1"/>
  <c r="GH36" i="185" a="1"/>
  <c r="GH36" i="185" s="1"/>
  <c r="GI36" i="185" a="1"/>
  <c r="GI36" i="185" s="1"/>
  <c r="GJ36" i="185" a="1"/>
  <c r="GJ36" i="185" s="1"/>
  <c r="GK36" i="185" a="1"/>
  <c r="GK36" i="185" s="1"/>
  <c r="GL36" i="185" a="1"/>
  <c r="GL36" i="185"/>
  <c r="GM36" i="185" a="1"/>
  <c r="GM36" i="185"/>
  <c r="GN36" i="185" a="1"/>
  <c r="GN36" i="185"/>
  <c r="GO36" i="185" a="1"/>
  <c r="GO36" i="185" s="1"/>
  <c r="GP36" i="185" a="1"/>
  <c r="GP36" i="185"/>
  <c r="GQ36" i="185" a="1"/>
  <c r="GQ36" i="185"/>
  <c r="GR36" i="185" a="1"/>
  <c r="GR36" i="185" s="1"/>
  <c r="GS36" i="185" a="1"/>
  <c r="GS36" i="185" s="1"/>
  <c r="GT36" i="185" a="1"/>
  <c r="GT36" i="185" s="1"/>
  <c r="GU36" i="185" a="1"/>
  <c r="GU36" i="185" s="1"/>
  <c r="GV36" i="185" a="1"/>
  <c r="GV36" i="185" s="1"/>
  <c r="GW36" i="185" a="1"/>
  <c r="GW36" i="185" s="1"/>
  <c r="GX36" i="185" a="1"/>
  <c r="GX36" i="185" s="1"/>
  <c r="GY36" i="185" a="1"/>
  <c r="GY36" i="185" s="1"/>
  <c r="GZ36" i="185" a="1"/>
  <c r="GZ36" i="185"/>
  <c r="HA36" i="185" a="1"/>
  <c r="HA36" i="185"/>
  <c r="HB36" i="185" a="1"/>
  <c r="HB36" i="185"/>
  <c r="HC36" i="185" a="1"/>
  <c r="HC36" i="185" s="1"/>
  <c r="HD36" i="185" a="1"/>
  <c r="HD36" i="185"/>
  <c r="HE36" i="185" a="1"/>
  <c r="HE36" i="185"/>
  <c r="HF36" i="185" a="1"/>
  <c r="HF36" i="185" s="1"/>
  <c r="HG36" i="185" a="1"/>
  <c r="HG36" i="185" s="1"/>
  <c r="HH36" i="185" a="1"/>
  <c r="HH36" i="185" s="1"/>
  <c r="HI36" i="185" a="1"/>
  <c r="HI36" i="185" s="1"/>
  <c r="FJ37" i="185" a="1"/>
  <c r="FJ37" i="185" s="1"/>
  <c r="FK37" i="185" a="1"/>
  <c r="FK37" i="185" s="1"/>
  <c r="FL37" i="185" a="1"/>
  <c r="FL37" i="185" s="1"/>
  <c r="FM37" i="185" a="1"/>
  <c r="FM37" i="185" s="1"/>
  <c r="FN37" i="185" a="1"/>
  <c r="FN37" i="185"/>
  <c r="FO37" i="185" a="1"/>
  <c r="FO37" i="185"/>
  <c r="FP37" i="185" a="1"/>
  <c r="FP37" i="185"/>
  <c r="FQ37" i="185" a="1"/>
  <c r="FQ37" i="185" s="1"/>
  <c r="FR37" i="185" a="1"/>
  <c r="FR37" i="185"/>
  <c r="FS37" i="185" a="1"/>
  <c r="FS37" i="185"/>
  <c r="FT37" i="185" a="1"/>
  <c r="FT37" i="185" s="1"/>
  <c r="FU37" i="185" a="1"/>
  <c r="FU37" i="185" s="1"/>
  <c r="FV37" i="185" a="1"/>
  <c r="FV37" i="185" s="1"/>
  <c r="FW37" i="185" a="1"/>
  <c r="FW37" i="185" s="1"/>
  <c r="FX37" i="185" a="1"/>
  <c r="FX37" i="185" s="1"/>
  <c r="FY37" i="185" a="1"/>
  <c r="FY37" i="185" s="1"/>
  <c r="FZ37" i="185" a="1"/>
  <c r="FZ37" i="185" s="1"/>
  <c r="GA37" i="185" a="1"/>
  <c r="GA37" i="185" s="1"/>
  <c r="GB37" i="185" a="1"/>
  <c r="GB37" i="185"/>
  <c r="GC37" i="185" a="1"/>
  <c r="GC37" i="185"/>
  <c r="GD37" i="185" a="1"/>
  <c r="GD37" i="185"/>
  <c r="GE37" i="185" a="1"/>
  <c r="GE37" i="185" s="1"/>
  <c r="GF37" i="185" a="1"/>
  <c r="GF37" i="185"/>
  <c r="GG37" i="185" a="1"/>
  <c r="GG37" i="185"/>
  <c r="GH37" i="185" a="1"/>
  <c r="GH37" i="185" s="1"/>
  <c r="GI37" i="185" a="1"/>
  <c r="GI37" i="185" s="1"/>
  <c r="GJ37" i="185" a="1"/>
  <c r="GJ37" i="185" s="1"/>
  <c r="GK37" i="185" a="1"/>
  <c r="GK37" i="185" s="1"/>
  <c r="GL37" i="185" a="1"/>
  <c r="GL37" i="185" s="1"/>
  <c r="GM37" i="185" a="1"/>
  <c r="GM37" i="185" s="1"/>
  <c r="GN37" i="185" a="1"/>
  <c r="GN37" i="185" s="1"/>
  <c r="GO37" i="185" a="1"/>
  <c r="GO37" i="185" s="1"/>
  <c r="GP37" i="185" a="1"/>
  <c r="GP37" i="185"/>
  <c r="GQ37" i="185" a="1"/>
  <c r="GQ37" i="185"/>
  <c r="GR37" i="185" a="1"/>
  <c r="GR37" i="185"/>
  <c r="GS37" i="185" a="1"/>
  <c r="GS37" i="185" s="1"/>
  <c r="GT37" i="185" a="1"/>
  <c r="GT37" i="185"/>
  <c r="GU37" i="185" a="1"/>
  <c r="GU37" i="185"/>
  <c r="GV37" i="185" a="1"/>
  <c r="GV37" i="185" s="1"/>
  <c r="GW37" i="185" a="1"/>
  <c r="GW37" i="185" s="1"/>
  <c r="GX37" i="185" a="1"/>
  <c r="GX37" i="185" s="1"/>
  <c r="GY37" i="185" a="1"/>
  <c r="GY37" i="185" s="1"/>
  <c r="GZ37" i="185" a="1"/>
  <c r="GZ37" i="185" s="1"/>
  <c r="HA37" i="185" a="1"/>
  <c r="HA37" i="185" s="1"/>
  <c r="HB37" i="185" a="1"/>
  <c r="HB37" i="185" s="1"/>
  <c r="HC37" i="185" a="1"/>
  <c r="HC37" i="185" s="1"/>
  <c r="HD37" i="185" a="1"/>
  <c r="HD37" i="185"/>
  <c r="HE37" i="185" a="1"/>
  <c r="HE37" i="185"/>
  <c r="HF37" i="185" a="1"/>
  <c r="HF37" i="185"/>
  <c r="HG37" i="185" a="1"/>
  <c r="HG37" i="185" s="1"/>
  <c r="HH37" i="185" a="1"/>
  <c r="HH37" i="185"/>
  <c r="HI37" i="185" a="1"/>
  <c r="HI37" i="185"/>
  <c r="FJ38" i="185" a="1"/>
  <c r="FJ38" i="185" s="1"/>
  <c r="FK38" i="185" a="1"/>
  <c r="FK38" i="185" s="1"/>
  <c r="FL38" i="185" a="1"/>
  <c r="FL38" i="185" s="1"/>
  <c r="FM38" i="185" a="1"/>
  <c r="FM38" i="185" s="1"/>
  <c r="FN38" i="185" a="1"/>
  <c r="FN38" i="185" s="1"/>
  <c r="FO38" i="185" a="1"/>
  <c r="FO38" i="185" s="1"/>
  <c r="FP38" i="185" a="1"/>
  <c r="FP38" i="185" s="1"/>
  <c r="FQ38" i="185" a="1"/>
  <c r="FQ38" i="185" s="1"/>
  <c r="FR38" i="185" a="1"/>
  <c r="FR38" i="185"/>
  <c r="FS38" i="185" a="1"/>
  <c r="FS38" i="185"/>
  <c r="FT38" i="185" a="1"/>
  <c r="FT38" i="185"/>
  <c r="FU38" i="185" a="1"/>
  <c r="FU38" i="185" s="1"/>
  <c r="FV38" i="185" a="1"/>
  <c r="FV38" i="185"/>
  <c r="FW38" i="185" a="1"/>
  <c r="FW38" i="185"/>
  <c r="FX38" i="185" a="1"/>
  <c r="FX38" i="185" s="1"/>
  <c r="FY38" i="185" a="1"/>
  <c r="FY38" i="185" s="1"/>
  <c r="FZ38" i="185" a="1"/>
  <c r="FZ38" i="185" s="1"/>
  <c r="GA38" i="185" a="1"/>
  <c r="GA38" i="185" s="1"/>
  <c r="GB38" i="185" a="1"/>
  <c r="GB38" i="185" s="1"/>
  <c r="GC38" i="185" a="1"/>
  <c r="GC38" i="185" s="1"/>
  <c r="GD38" i="185" a="1"/>
  <c r="GD38" i="185" s="1"/>
  <c r="GE38" i="185" a="1"/>
  <c r="GE38" i="185" s="1"/>
  <c r="GF38" i="185" a="1"/>
  <c r="GF38" i="185"/>
  <c r="GG38" i="185" a="1"/>
  <c r="GG38" i="185"/>
  <c r="GH38" i="185" a="1"/>
  <c r="GH38" i="185"/>
  <c r="GI38" i="185" a="1"/>
  <c r="GI38" i="185" s="1"/>
  <c r="GJ38" i="185" a="1"/>
  <c r="GJ38" i="185"/>
  <c r="GK38" i="185" a="1"/>
  <c r="GK38" i="185"/>
  <c r="GL38" i="185" a="1"/>
  <c r="GL38" i="185" s="1"/>
  <c r="GM38" i="185" a="1"/>
  <c r="GM38" i="185" s="1"/>
  <c r="GN38" i="185" a="1"/>
  <c r="GN38" i="185" s="1"/>
  <c r="GO38" i="185" a="1"/>
  <c r="GO38" i="185" s="1"/>
  <c r="GP38" i="185" a="1"/>
  <c r="GP38" i="185" s="1"/>
  <c r="GQ38" i="185" a="1"/>
  <c r="GQ38" i="185" s="1"/>
  <c r="GR38" i="185" a="1"/>
  <c r="GR38" i="185" s="1"/>
  <c r="GS38" i="185" a="1"/>
  <c r="GS38" i="185" s="1"/>
  <c r="GT38" i="185" a="1"/>
  <c r="GT38" i="185"/>
  <c r="GU38" i="185" a="1"/>
  <c r="GU38" i="185"/>
  <c r="GV38" i="185" a="1"/>
  <c r="GV38" i="185"/>
  <c r="GW38" i="185" a="1"/>
  <c r="GW38" i="185" s="1"/>
  <c r="GX38" i="185" a="1"/>
  <c r="GX38" i="185"/>
  <c r="GY38" i="185" a="1"/>
  <c r="GY38" i="185"/>
  <c r="GZ38" i="185" a="1"/>
  <c r="GZ38" i="185" s="1"/>
  <c r="HA38" i="185" a="1"/>
  <c r="HA38" i="185" s="1"/>
  <c r="HB38" i="185" a="1"/>
  <c r="HB38" i="185" s="1"/>
  <c r="HC38" i="185" a="1"/>
  <c r="HC38" i="185" s="1"/>
  <c r="HD38" i="185" a="1"/>
  <c r="HD38" i="185" s="1"/>
  <c r="HE38" i="185" a="1"/>
  <c r="HE38" i="185" s="1"/>
  <c r="HF38" i="185" a="1"/>
  <c r="HF38" i="185" s="1"/>
  <c r="HG38" i="185" a="1"/>
  <c r="HG38" i="185" s="1"/>
  <c r="HH38" i="185" a="1"/>
  <c r="HH38" i="185"/>
  <c r="HI38" i="185" a="1"/>
  <c r="HI38" i="185"/>
  <c r="FJ39" i="185" a="1"/>
  <c r="FJ39" i="185"/>
  <c r="FK39" i="185" a="1"/>
  <c r="FK39" i="185" s="1"/>
  <c r="FL39" i="185" a="1"/>
  <c r="FL39" i="185"/>
  <c r="FM39" i="185" a="1"/>
  <c r="FM39" i="185"/>
  <c r="FN39" i="185" a="1"/>
  <c r="FN39" i="185" s="1"/>
  <c r="FO39" i="185" a="1"/>
  <c r="FO39" i="185" s="1"/>
  <c r="FP39" i="185" a="1"/>
  <c r="FP39" i="185" s="1"/>
  <c r="FQ39" i="185" a="1"/>
  <c r="FQ39" i="185" s="1"/>
  <c r="FR39" i="185" a="1"/>
  <c r="FR39" i="185" s="1"/>
  <c r="FS39" i="185" a="1"/>
  <c r="FS39" i="185" s="1"/>
  <c r="FT39" i="185" a="1"/>
  <c r="FT39" i="185" s="1"/>
  <c r="FU39" i="185" a="1"/>
  <c r="FU39" i="185" s="1"/>
  <c r="FV39" i="185" a="1"/>
  <c r="FV39" i="185"/>
  <c r="FW39" i="185" a="1"/>
  <c r="FW39" i="185"/>
  <c r="FX39" i="185" a="1"/>
  <c r="FX39" i="185"/>
  <c r="FY39" i="185" a="1"/>
  <c r="FY39" i="185" s="1"/>
  <c r="FZ39" i="185" a="1"/>
  <c r="FZ39" i="185"/>
  <c r="GA39" i="185" a="1"/>
  <c r="GA39" i="185"/>
  <c r="GB39" i="185" a="1"/>
  <c r="GB39" i="185" s="1"/>
  <c r="GC39" i="185" a="1"/>
  <c r="GC39" i="185" s="1"/>
  <c r="GD39" i="185" a="1"/>
  <c r="GD39" i="185" s="1"/>
  <c r="GE39" i="185" a="1"/>
  <c r="GE39" i="185" s="1"/>
  <c r="GF39" i="185" a="1"/>
  <c r="GF39" i="185" s="1"/>
  <c r="GG39" i="185" a="1"/>
  <c r="GG39" i="185" s="1"/>
  <c r="GH39" i="185" a="1"/>
  <c r="GH39" i="185" s="1"/>
  <c r="GI39" i="185" a="1"/>
  <c r="GI39" i="185" s="1"/>
  <c r="GJ39" i="185" a="1"/>
  <c r="GJ39" i="185"/>
  <c r="GK39" i="185" a="1"/>
  <c r="GK39" i="185"/>
  <c r="GL39" i="185" a="1"/>
  <c r="GL39" i="185"/>
  <c r="GM39" i="185" a="1"/>
  <c r="GM39" i="185" s="1"/>
  <c r="GN39" i="185" a="1"/>
  <c r="GN39" i="185"/>
  <c r="GO39" i="185" a="1"/>
  <c r="GO39" i="185"/>
  <c r="GP39" i="185" a="1"/>
  <c r="GP39" i="185" s="1"/>
  <c r="GQ39" i="185" a="1"/>
  <c r="GQ39" i="185" s="1"/>
  <c r="GR39" i="185" a="1"/>
  <c r="GR39" i="185" s="1"/>
  <c r="GS39" i="185" a="1"/>
  <c r="GS39" i="185" s="1"/>
  <c r="GT39" i="185" a="1"/>
  <c r="GT39" i="185" s="1"/>
  <c r="GU39" i="185" a="1"/>
  <c r="GU39" i="185" s="1"/>
  <c r="GV39" i="185" a="1"/>
  <c r="GV39" i="185" s="1"/>
  <c r="GW39" i="185" a="1"/>
  <c r="GW39" i="185" s="1"/>
  <c r="GX39" i="185" a="1"/>
  <c r="GX39" i="185"/>
  <c r="GY39" i="185" a="1"/>
  <c r="GY39" i="185"/>
  <c r="GZ39" i="185" a="1"/>
  <c r="GZ39" i="185"/>
  <c r="HA39" i="185" a="1"/>
  <c r="HA39" i="185" s="1"/>
  <c r="HB39" i="185" a="1"/>
  <c r="HB39" i="185"/>
  <c r="HC39" i="185" a="1"/>
  <c r="HC39" i="185"/>
  <c r="HD39" i="185" a="1"/>
  <c r="HD39" i="185" s="1"/>
  <c r="HE39" i="185" a="1"/>
  <c r="HE39" i="185" s="1"/>
  <c r="HF39" i="185" a="1"/>
  <c r="HF39" i="185" s="1"/>
  <c r="HG39" i="185" a="1"/>
  <c r="HG39" i="185" s="1"/>
  <c r="HH39" i="185" a="1"/>
  <c r="HH39" i="185" s="1"/>
  <c r="HI39" i="185" a="1"/>
  <c r="HI39" i="185" s="1"/>
  <c r="FJ40" i="185" a="1"/>
  <c r="FJ40" i="185" s="1"/>
  <c r="FK40" i="185" a="1"/>
  <c r="FK40" i="185" s="1"/>
  <c r="FL40" i="185" a="1"/>
  <c r="FL40" i="185"/>
  <c r="FM40" i="185" a="1"/>
  <c r="FM40" i="185"/>
  <c r="FN40" i="185" a="1"/>
  <c r="FN40" i="185"/>
  <c r="FO40" i="185" a="1"/>
  <c r="FO40" i="185" s="1"/>
  <c r="FP40" i="185" a="1"/>
  <c r="FP40" i="185"/>
  <c r="FQ40" i="185" a="1"/>
  <c r="FQ40" i="185"/>
  <c r="FR40" i="185" a="1"/>
  <c r="FR40" i="185" s="1"/>
  <c r="FS40" i="185" a="1"/>
  <c r="FS40" i="185" s="1"/>
  <c r="FT40" i="185" a="1"/>
  <c r="FT40" i="185" s="1"/>
  <c r="FU40" i="185" a="1"/>
  <c r="FU40" i="185" s="1"/>
  <c r="FV40" i="185" a="1"/>
  <c r="FV40" i="185" s="1"/>
  <c r="FW40" i="185" a="1"/>
  <c r="FW40" i="185" s="1"/>
  <c r="FX40" i="185" a="1"/>
  <c r="FX40" i="185" s="1"/>
  <c r="FY40" i="185" a="1"/>
  <c r="FY40" i="185" s="1"/>
  <c r="FZ40" i="185" a="1"/>
  <c r="FZ40" i="185"/>
  <c r="GA40" i="185" a="1"/>
  <c r="GA40" i="185"/>
  <c r="GB40" i="185" a="1"/>
  <c r="GB40" i="185"/>
  <c r="GC40" i="185" a="1"/>
  <c r="GC40" i="185" s="1"/>
  <c r="GD40" i="185" a="1"/>
  <c r="GD40" i="185"/>
  <c r="GE40" i="185" a="1"/>
  <c r="GE40" i="185"/>
  <c r="GF40" i="185" a="1"/>
  <c r="GF40" i="185" s="1"/>
  <c r="GG40" i="185" a="1"/>
  <c r="GG40" i="185" s="1"/>
  <c r="GH40" i="185" a="1"/>
  <c r="GH40" i="185" s="1"/>
  <c r="GI40" i="185" a="1"/>
  <c r="GI40" i="185" s="1"/>
  <c r="GJ40" i="185" a="1"/>
  <c r="GJ40" i="185" s="1"/>
  <c r="GK40" i="185" a="1"/>
  <c r="GK40" i="185" s="1"/>
  <c r="GL40" i="185" a="1"/>
  <c r="GL40" i="185" s="1"/>
  <c r="GM40" i="185" a="1"/>
  <c r="GM40" i="185" s="1"/>
  <c r="GN40" i="185" a="1"/>
  <c r="GN40" i="185"/>
  <c r="GO40" i="185" a="1"/>
  <c r="GO40" i="185"/>
  <c r="GP40" i="185" a="1"/>
  <c r="GP40" i="185"/>
  <c r="GQ40" i="185" a="1"/>
  <c r="GQ40" i="185" s="1"/>
  <c r="GR40" i="185" a="1"/>
  <c r="GR40" i="185"/>
  <c r="GS40" i="185" a="1"/>
  <c r="GS40" i="185"/>
  <c r="GT40" i="185" a="1"/>
  <c r="GT40" i="185" s="1"/>
  <c r="GU40" i="185" a="1"/>
  <c r="GU40" i="185" s="1"/>
  <c r="GV40" i="185" a="1"/>
  <c r="GV40" i="185" s="1"/>
  <c r="GW40" i="185" a="1"/>
  <c r="GW40" i="185" s="1"/>
  <c r="GX40" i="185" a="1"/>
  <c r="GX40" i="185" s="1"/>
  <c r="GY40" i="185" a="1"/>
  <c r="GY40" i="185" s="1"/>
  <c r="GZ40" i="185" a="1"/>
  <c r="GZ40" i="185" s="1"/>
  <c r="HA40" i="185" a="1"/>
  <c r="HA40" i="185" s="1"/>
  <c r="HB40" i="185" a="1"/>
  <c r="HB40" i="185"/>
  <c r="HC40" i="185" a="1"/>
  <c r="HC40" i="185"/>
  <c r="HD40" i="185" a="1"/>
  <c r="HD40" i="185"/>
  <c r="HE40" i="185" a="1"/>
  <c r="HE40" i="185" s="1"/>
  <c r="HF40" i="185" a="1"/>
  <c r="HF40" i="185"/>
  <c r="HG40" i="185" a="1"/>
  <c r="HG40" i="185"/>
  <c r="HH40" i="185" a="1"/>
  <c r="HH40" i="185" s="1"/>
  <c r="HI40" i="185" a="1"/>
  <c r="HI40" i="185" s="1"/>
  <c r="FJ41" i="185" a="1"/>
  <c r="FJ41" i="185" s="1"/>
  <c r="FK41" i="185" a="1"/>
  <c r="FK41" i="185" s="1"/>
  <c r="FL41" i="185" a="1"/>
  <c r="FL41" i="185" s="1"/>
  <c r="FM41" i="185" a="1"/>
  <c r="FM41" i="185" s="1"/>
  <c r="FN41" i="185" a="1"/>
  <c r="FN41" i="185" s="1"/>
  <c r="FO41" i="185" a="1"/>
  <c r="FO41" i="185" s="1"/>
  <c r="FP41" i="185" a="1"/>
  <c r="FP41" i="185"/>
  <c r="FQ41" i="185" a="1"/>
  <c r="FQ41" i="185"/>
  <c r="FR41" i="185" a="1"/>
  <c r="FR41" i="185"/>
  <c r="FS41" i="185" a="1"/>
  <c r="FS41" i="185" s="1"/>
  <c r="FT41" i="185" a="1"/>
  <c r="FT41" i="185"/>
  <c r="FU41" i="185" a="1"/>
  <c r="FU41" i="185"/>
  <c r="FV41" i="185" a="1"/>
  <c r="FV41" i="185" s="1"/>
  <c r="FW41" i="185" a="1"/>
  <c r="FW41" i="185" s="1"/>
  <c r="FX41" i="185" a="1"/>
  <c r="FX41" i="185" s="1"/>
  <c r="FY41" i="185" a="1"/>
  <c r="FY41" i="185" s="1"/>
  <c r="FZ41" i="185" a="1"/>
  <c r="FZ41" i="185" s="1"/>
  <c r="GA41" i="185" a="1"/>
  <c r="GA41" i="185" s="1"/>
  <c r="GB41" i="185" a="1"/>
  <c r="GB41" i="185" s="1"/>
  <c r="GC41" i="185" a="1"/>
  <c r="GC41" i="185" s="1"/>
  <c r="GD41" i="185" a="1"/>
  <c r="GD41" i="185"/>
  <c r="GE41" i="185" a="1"/>
  <c r="GE41" i="185"/>
  <c r="GF41" i="185" a="1"/>
  <c r="GF41" i="185"/>
  <c r="GG41" i="185" a="1"/>
  <c r="GG41" i="185" s="1"/>
  <c r="GH41" i="185" a="1"/>
  <c r="GH41" i="185"/>
  <c r="GI41" i="185" a="1"/>
  <c r="GI41" i="185"/>
  <c r="GJ41" i="185" a="1"/>
  <c r="GJ41" i="185" s="1"/>
  <c r="GK41" i="185" a="1"/>
  <c r="GK41" i="185" s="1"/>
  <c r="GL41" i="185" a="1"/>
  <c r="GL41" i="185" s="1"/>
  <c r="GM41" i="185" a="1"/>
  <c r="GM41" i="185" s="1"/>
  <c r="GN41" i="185" a="1"/>
  <c r="GN41" i="185" s="1"/>
  <c r="GO41" i="185" a="1"/>
  <c r="GO41" i="185" s="1"/>
  <c r="GP41" i="185" a="1"/>
  <c r="GP41" i="185" s="1"/>
  <c r="GQ41" i="185" a="1"/>
  <c r="GQ41" i="185" s="1"/>
  <c r="GR41" i="185" a="1"/>
  <c r="GR41" i="185"/>
  <c r="GS41" i="185" a="1"/>
  <c r="GS41" i="185"/>
  <c r="GT41" i="185" a="1"/>
  <c r="GT41" i="185"/>
  <c r="GU41" i="185" a="1"/>
  <c r="GU41" i="185" s="1"/>
  <c r="GV41" i="185" a="1"/>
  <c r="GV41" i="185"/>
  <c r="GW41" i="185" a="1"/>
  <c r="GW41" i="185"/>
  <c r="GX41" i="185" a="1"/>
  <c r="GX41" i="185" s="1"/>
  <c r="GY41" i="185" a="1"/>
  <c r="GY41" i="185" s="1"/>
  <c r="GZ41" i="185" a="1"/>
  <c r="GZ41" i="185" s="1"/>
  <c r="HA41" i="185" a="1"/>
  <c r="HA41" i="185" s="1"/>
  <c r="HB41" i="185" a="1"/>
  <c r="HB41" i="185" s="1"/>
  <c r="HC41" i="185" a="1"/>
  <c r="HC41" i="185" s="1"/>
  <c r="HD41" i="185" a="1"/>
  <c r="HD41" i="185" s="1"/>
  <c r="HE41" i="185" a="1"/>
  <c r="HE41" i="185" s="1"/>
  <c r="HF41" i="185" a="1"/>
  <c r="HF41" i="185"/>
  <c r="HG41" i="185" a="1"/>
  <c r="HG41" i="185"/>
  <c r="HH41" i="185" a="1"/>
  <c r="HH41" i="185"/>
  <c r="HI41" i="185" a="1"/>
  <c r="HI41" i="185" s="1"/>
  <c r="FJ42" i="185" a="1"/>
  <c r="FJ42" i="185"/>
  <c r="FK42" i="185" a="1"/>
  <c r="FK42" i="185"/>
  <c r="FL42" i="185" a="1"/>
  <c r="FL42" i="185" s="1"/>
  <c r="FM42" i="185" a="1"/>
  <c r="FM42" i="185" s="1"/>
  <c r="FN42" i="185" a="1"/>
  <c r="FN42" i="185" s="1"/>
  <c r="FO42" i="185" a="1"/>
  <c r="FO42" i="185" s="1"/>
  <c r="FP42" i="185" a="1"/>
  <c r="FP42" i="185" s="1"/>
  <c r="FQ42" i="185" a="1"/>
  <c r="FQ42" i="185" s="1"/>
  <c r="FR42" i="185" a="1"/>
  <c r="FR42" i="185" s="1"/>
  <c r="FS42" i="185" a="1"/>
  <c r="FS42" i="185" s="1"/>
  <c r="FT42" i="185" a="1"/>
  <c r="FT42" i="185"/>
  <c r="FU42" i="185" a="1"/>
  <c r="FU42" i="185"/>
  <c r="FV42" i="185" a="1"/>
  <c r="FV42" i="185"/>
  <c r="FW42" i="185" a="1"/>
  <c r="FW42" i="185" s="1"/>
  <c r="FX42" i="185" a="1"/>
  <c r="FX42" i="185"/>
  <c r="FY42" i="185" a="1"/>
  <c r="FY42" i="185"/>
  <c r="FZ42" i="185" a="1"/>
  <c r="FZ42" i="185" s="1"/>
  <c r="GA42" i="185" a="1"/>
  <c r="GA42" i="185" s="1"/>
  <c r="GB42" i="185" a="1"/>
  <c r="GB42" i="185" s="1"/>
  <c r="GC42" i="185" a="1"/>
  <c r="GC42" i="185" s="1"/>
  <c r="GD42" i="185" a="1"/>
  <c r="GD42" i="185" s="1"/>
  <c r="GE42" i="185" a="1"/>
  <c r="GE42" i="185" s="1"/>
  <c r="GF42" i="185" a="1"/>
  <c r="GF42" i="185" s="1"/>
  <c r="GG42" i="185" a="1"/>
  <c r="GG42" i="185" s="1"/>
  <c r="GH42" i="185" a="1"/>
  <c r="GH42" i="185"/>
  <c r="GI42" i="185" a="1"/>
  <c r="GI42" i="185"/>
  <c r="GJ42" i="185" a="1"/>
  <c r="GJ42" i="185"/>
  <c r="GK42" i="185" a="1"/>
  <c r="GK42" i="185" s="1"/>
  <c r="GL42" i="185" a="1"/>
  <c r="GL42" i="185"/>
  <c r="GM42" i="185" a="1"/>
  <c r="GM42" i="185"/>
  <c r="GN42" i="185" a="1"/>
  <c r="GN42" i="185" s="1"/>
  <c r="GO42" i="185" a="1"/>
  <c r="GO42" i="185" s="1"/>
  <c r="GP42" i="185" a="1"/>
  <c r="GP42" i="185" s="1"/>
  <c r="GQ42" i="185" a="1"/>
  <c r="GQ42" i="185" s="1"/>
  <c r="GR42" i="185" a="1"/>
  <c r="GR42" i="185" s="1"/>
  <c r="GS42" i="185" a="1"/>
  <c r="GS42" i="185" s="1"/>
  <c r="GT42" i="185" a="1"/>
  <c r="GT42" i="185" s="1"/>
  <c r="GU42" i="185" a="1"/>
  <c r="GU42" i="185" s="1"/>
  <c r="GV42" i="185" a="1"/>
  <c r="GV42" i="185"/>
  <c r="GW42" i="185" a="1"/>
  <c r="GW42" i="185"/>
  <c r="GX42" i="185" a="1"/>
  <c r="GX42" i="185"/>
  <c r="GY42" i="185" a="1"/>
  <c r="GY42" i="185" s="1"/>
  <c r="GZ42" i="185" a="1"/>
  <c r="GZ42" i="185"/>
  <c r="HA42" i="185" a="1"/>
  <c r="HA42" i="185"/>
  <c r="HB42" i="185" a="1"/>
  <c r="HB42" i="185" s="1"/>
  <c r="HC42" i="185" a="1"/>
  <c r="HC42" i="185" s="1"/>
  <c r="HD42" i="185" a="1"/>
  <c r="HD42" i="185" s="1"/>
  <c r="HE42" i="185" a="1"/>
  <c r="HE42" i="185" s="1"/>
  <c r="HF42" i="185" a="1"/>
  <c r="HF42" i="185" s="1"/>
  <c r="HG42" i="185" a="1"/>
  <c r="HG42" i="185" s="1"/>
  <c r="HH42" i="185" a="1"/>
  <c r="HH42" i="185" s="1"/>
  <c r="HI42" i="185" a="1"/>
  <c r="HI42" i="185" s="1"/>
  <c r="FJ43" i="185" a="1"/>
  <c r="FJ43" i="185"/>
  <c r="FK43" i="185" a="1"/>
  <c r="FK43" i="185"/>
  <c r="FL43" i="185" a="1"/>
  <c r="FL43" i="185"/>
  <c r="FM43" i="185" a="1"/>
  <c r="FM43" i="185" s="1"/>
  <c r="FN43" i="185" a="1"/>
  <c r="FN43" i="185"/>
  <c r="FO43" i="185" a="1"/>
  <c r="FO43" i="185"/>
  <c r="FP43" i="185" a="1"/>
  <c r="FP43" i="185" s="1"/>
  <c r="FQ43" i="185" a="1"/>
  <c r="FQ43" i="185" s="1"/>
  <c r="FR43" i="185" a="1"/>
  <c r="FR43" i="185" s="1"/>
  <c r="FS43" i="185" a="1"/>
  <c r="FS43" i="185" s="1"/>
  <c r="FT43" i="185" a="1"/>
  <c r="FT43" i="185" s="1"/>
  <c r="FU43" i="185" a="1"/>
  <c r="FU43" i="185" s="1"/>
  <c r="FV43" i="185" a="1"/>
  <c r="FV43" i="185" s="1"/>
  <c r="FW43" i="185" a="1"/>
  <c r="FW43" i="185" s="1"/>
  <c r="FX43" i="185" a="1"/>
  <c r="FX43" i="185"/>
  <c r="FY43" i="185" a="1"/>
  <c r="FY43" i="185"/>
  <c r="FZ43" i="185" a="1"/>
  <c r="FZ43" i="185"/>
  <c r="GA43" i="185" a="1"/>
  <c r="GA43" i="185" s="1"/>
  <c r="GB43" i="185" a="1"/>
  <c r="GB43" i="185"/>
  <c r="GC43" i="185" a="1"/>
  <c r="GC43" i="185"/>
  <c r="GD43" i="185" a="1"/>
  <c r="GD43" i="185" s="1"/>
  <c r="GE43" i="185" a="1"/>
  <c r="GE43" i="185" s="1"/>
  <c r="GF43" i="185" a="1"/>
  <c r="GF43" i="185" s="1"/>
  <c r="GG43" i="185" a="1"/>
  <c r="GG43" i="185" s="1"/>
  <c r="GH43" i="185" a="1"/>
  <c r="GH43" i="185" s="1"/>
  <c r="GI43" i="185" a="1"/>
  <c r="GI43" i="185" s="1"/>
  <c r="GJ43" i="185" a="1"/>
  <c r="GJ43" i="185" s="1"/>
  <c r="GK43" i="185" a="1"/>
  <c r="GK43" i="185" s="1"/>
  <c r="GL43" i="185" a="1"/>
  <c r="GL43" i="185"/>
  <c r="GM43" i="185" a="1"/>
  <c r="GM43" i="185"/>
  <c r="GN43" i="185" a="1"/>
  <c r="GN43" i="185"/>
  <c r="GO43" i="185" a="1"/>
  <c r="GO43" i="185" s="1"/>
  <c r="GP43" i="185" a="1"/>
  <c r="GP43" i="185"/>
  <c r="GQ43" i="185" a="1"/>
  <c r="GQ43" i="185"/>
  <c r="GR43" i="185" a="1"/>
  <c r="GR43" i="185" s="1"/>
  <c r="GS43" i="185" a="1"/>
  <c r="GS43" i="185" s="1"/>
  <c r="GT43" i="185" a="1"/>
  <c r="GT43" i="185" s="1"/>
  <c r="GU43" i="185" a="1"/>
  <c r="GU43" i="185" s="1"/>
  <c r="GV43" i="185" a="1"/>
  <c r="GV43" i="185" s="1"/>
  <c r="GW43" i="185" a="1"/>
  <c r="GW43" i="185" s="1"/>
  <c r="GX43" i="185" a="1"/>
  <c r="GX43" i="185" s="1"/>
  <c r="GY43" i="185" a="1"/>
  <c r="GY43" i="185" s="1"/>
  <c r="GZ43" i="185" a="1"/>
  <c r="GZ43" i="185"/>
  <c r="HA43" i="185" a="1"/>
  <c r="HA43" i="185"/>
  <c r="HB43" i="185" a="1"/>
  <c r="HB43" i="185"/>
  <c r="HC43" i="185" a="1"/>
  <c r="HC43" i="185" s="1"/>
  <c r="HD43" i="185" a="1"/>
  <c r="HD43" i="185"/>
  <c r="HE43" i="185" a="1"/>
  <c r="HE43" i="185"/>
  <c r="HF43" i="185" a="1"/>
  <c r="HF43" i="185" s="1"/>
  <c r="HG43" i="185" a="1"/>
  <c r="HG43" i="185" s="1"/>
  <c r="HH43" i="185" a="1"/>
  <c r="HH43" i="185" s="1"/>
  <c r="HI43" i="185" a="1"/>
  <c r="HI43" i="185" s="1"/>
  <c r="FJ44" i="185" a="1"/>
  <c r="FJ44" i="185" s="1"/>
  <c r="FK44" i="185" a="1"/>
  <c r="FK44" i="185" s="1"/>
  <c r="FL44" i="185" a="1"/>
  <c r="FL44" i="185" s="1"/>
  <c r="FM44" i="185" a="1"/>
  <c r="FM44" i="185" s="1"/>
  <c r="FN44" i="185" a="1"/>
  <c r="FN44" i="185"/>
  <c r="FO44" i="185" a="1"/>
  <c r="FO44" i="185"/>
  <c r="FP44" i="185" a="1"/>
  <c r="FP44" i="185"/>
  <c r="FQ44" i="185" a="1"/>
  <c r="FQ44" i="185" s="1"/>
  <c r="FR44" i="185" a="1"/>
  <c r="FR44" i="185"/>
  <c r="FS44" i="185" a="1"/>
  <c r="FS44" i="185"/>
  <c r="FT44" i="185" a="1"/>
  <c r="FT44" i="185" s="1"/>
  <c r="FU44" i="185" a="1"/>
  <c r="FU44" i="185" s="1"/>
  <c r="FV44" i="185" a="1"/>
  <c r="FV44" i="185" s="1"/>
  <c r="FW44" i="185" a="1"/>
  <c r="FW44" i="185" s="1"/>
  <c r="FX44" i="185" a="1"/>
  <c r="FX44" i="185" s="1"/>
  <c r="FY44" i="185" a="1"/>
  <c r="FY44" i="185" s="1"/>
  <c r="FZ44" i="185" a="1"/>
  <c r="FZ44" i="185" s="1"/>
  <c r="GA44" i="185" a="1"/>
  <c r="GA44" i="185" s="1"/>
  <c r="GB44" i="185" a="1"/>
  <c r="GB44" i="185"/>
  <c r="GC44" i="185" a="1"/>
  <c r="GC44" i="185"/>
  <c r="GD44" i="185" a="1"/>
  <c r="GD44" i="185"/>
  <c r="GE44" i="185" a="1"/>
  <c r="GE44" i="185" s="1"/>
  <c r="GF44" i="185" a="1"/>
  <c r="GF44" i="185"/>
  <c r="GG44" i="185" a="1"/>
  <c r="GG44" i="185"/>
  <c r="GH44" i="185" a="1"/>
  <c r="GH44" i="185" s="1"/>
  <c r="GI44" i="185" a="1"/>
  <c r="GI44" i="185" s="1"/>
  <c r="GJ44" i="185" a="1"/>
  <c r="GJ44" i="185" s="1"/>
  <c r="GK44" i="185" a="1"/>
  <c r="GK44" i="185" s="1"/>
  <c r="GL44" i="185" a="1"/>
  <c r="GL44" i="185" s="1"/>
  <c r="GM44" i="185" a="1"/>
  <c r="GM44" i="185" s="1"/>
  <c r="GN44" i="185" a="1"/>
  <c r="GN44" i="185" s="1"/>
  <c r="GO44" i="185" a="1"/>
  <c r="GO44" i="185" s="1"/>
  <c r="GP44" i="185" a="1"/>
  <c r="GP44" i="185"/>
  <c r="GQ44" i="185" a="1"/>
  <c r="GQ44" i="185"/>
  <c r="GR44" i="185" a="1"/>
  <c r="GR44" i="185"/>
  <c r="GS44" i="185" a="1"/>
  <c r="GS44" i="185" s="1"/>
  <c r="GT44" i="185" a="1"/>
  <c r="GT44" i="185"/>
  <c r="GU44" i="185" a="1"/>
  <c r="GU44" i="185"/>
  <c r="GV44" i="185" a="1"/>
  <c r="GV44" i="185" s="1"/>
  <c r="GW44" i="185" a="1"/>
  <c r="GW44" i="185" s="1"/>
  <c r="GX44" i="185" a="1"/>
  <c r="GX44" i="185" s="1"/>
  <c r="GY44" i="185" a="1"/>
  <c r="GY44" i="185" s="1"/>
  <c r="GZ44" i="185" a="1"/>
  <c r="GZ44" i="185" s="1"/>
  <c r="HA44" i="185" a="1"/>
  <c r="HA44" i="185" s="1"/>
  <c r="HB44" i="185" a="1"/>
  <c r="HB44" i="185" s="1"/>
  <c r="HC44" i="185" a="1"/>
  <c r="HC44" i="185" s="1"/>
  <c r="HD44" i="185" a="1"/>
  <c r="HD44" i="185"/>
  <c r="HE44" i="185" a="1"/>
  <c r="HE44" i="185"/>
  <c r="HF44" i="185" a="1"/>
  <c r="HF44" i="185"/>
  <c r="HG44" i="185" a="1"/>
  <c r="HG44" i="185" s="1"/>
  <c r="HH44" i="185" a="1"/>
  <c r="HH44" i="185"/>
  <c r="HI44" i="185" a="1"/>
  <c r="HI44" i="185"/>
  <c r="FJ45" i="185" a="1"/>
  <c r="FJ45" i="185" s="1"/>
  <c r="FK45" i="185" a="1"/>
  <c r="FK45" i="185" s="1"/>
  <c r="FL45" i="185" a="1"/>
  <c r="FL45" i="185" s="1"/>
  <c r="FM45" i="185" a="1"/>
  <c r="FM45" i="185" s="1"/>
  <c r="FN45" i="185" a="1"/>
  <c r="FN45" i="185" s="1"/>
  <c r="FO45" i="185" a="1"/>
  <c r="FO45" i="185" s="1"/>
  <c r="FP45" i="185" a="1"/>
  <c r="FP45" i="185" s="1"/>
  <c r="FQ45" i="185" a="1"/>
  <c r="FQ45" i="185" s="1"/>
  <c r="FR45" i="185" a="1"/>
  <c r="FR45" i="185"/>
  <c r="FS45" i="185" a="1"/>
  <c r="FS45" i="185"/>
  <c r="FT45" i="185" a="1"/>
  <c r="FT45" i="185"/>
  <c r="FU45" i="185" a="1"/>
  <c r="FU45" i="185" s="1"/>
  <c r="FV45" i="185" a="1"/>
  <c r="FV45" i="185"/>
  <c r="FW45" i="185" a="1"/>
  <c r="FW45" i="185"/>
  <c r="FX45" i="185" a="1"/>
  <c r="FX45" i="185" s="1"/>
  <c r="FY45" i="185" a="1"/>
  <c r="FY45" i="185" s="1"/>
  <c r="FZ45" i="185" a="1"/>
  <c r="FZ45" i="185" s="1"/>
  <c r="GA45" i="185" a="1"/>
  <c r="GA45" i="185" s="1"/>
  <c r="GB45" i="185" a="1"/>
  <c r="GB45" i="185" s="1"/>
  <c r="GC45" i="185" a="1"/>
  <c r="GC45" i="185" s="1"/>
  <c r="GD45" i="185" a="1"/>
  <c r="GD45" i="185" s="1"/>
  <c r="GE45" i="185" a="1"/>
  <c r="GE45" i="185" s="1"/>
  <c r="GF45" i="185" a="1"/>
  <c r="GF45" i="185"/>
  <c r="GG45" i="185" a="1"/>
  <c r="GG45" i="185"/>
  <c r="GH45" i="185" a="1"/>
  <c r="GH45" i="185"/>
  <c r="GI45" i="185" a="1"/>
  <c r="GI45" i="185" s="1"/>
  <c r="GJ45" i="185" a="1"/>
  <c r="GJ45" i="185"/>
  <c r="GK45" i="185" a="1"/>
  <c r="GK45" i="185"/>
  <c r="GL45" i="185" a="1"/>
  <c r="GL45" i="185" s="1"/>
  <c r="GM45" i="185" a="1"/>
  <c r="GM45" i="185" s="1"/>
  <c r="GN45" i="185" a="1"/>
  <c r="GN45" i="185" s="1"/>
  <c r="GO45" i="185" a="1"/>
  <c r="GO45" i="185" s="1"/>
  <c r="GP45" i="185" a="1"/>
  <c r="GP45" i="185" s="1"/>
  <c r="GQ45" i="185" a="1"/>
  <c r="GQ45" i="185" s="1"/>
  <c r="GR45" i="185" a="1"/>
  <c r="GR45" i="185" s="1"/>
  <c r="GS45" i="185" a="1"/>
  <c r="GS45" i="185" s="1"/>
  <c r="GT45" i="185" a="1"/>
  <c r="GT45" i="185"/>
  <c r="GU45" i="185" a="1"/>
  <c r="GU45" i="185"/>
  <c r="GV45" i="185" a="1"/>
  <c r="GV45" i="185"/>
  <c r="GW45" i="185" a="1"/>
  <c r="GW45" i="185" s="1"/>
  <c r="GX45" i="185" a="1"/>
  <c r="GX45" i="185"/>
  <c r="GY45" i="185" a="1"/>
  <c r="GY45" i="185"/>
  <c r="GZ45" i="185" a="1"/>
  <c r="GZ45" i="185" s="1"/>
  <c r="HA45" i="185" a="1"/>
  <c r="HA45" i="185" s="1"/>
  <c r="HB45" i="185" a="1"/>
  <c r="HB45" i="185" s="1"/>
  <c r="HC45" i="185" a="1"/>
  <c r="HC45" i="185" s="1"/>
  <c r="HD45" i="185" a="1"/>
  <c r="HD45" i="185" s="1"/>
  <c r="HE45" i="185" a="1"/>
  <c r="HE45" i="185" s="1"/>
  <c r="HF45" i="185" a="1"/>
  <c r="HF45" i="185" s="1"/>
  <c r="HG45" i="185" a="1"/>
  <c r="HG45" i="185" s="1"/>
  <c r="HH45" i="185" a="1"/>
  <c r="HH45" i="185"/>
  <c r="HI45" i="185" a="1"/>
  <c r="HI45" i="185"/>
  <c r="FJ46" i="185" a="1"/>
  <c r="FJ46" i="185"/>
  <c r="FK46" i="185" a="1"/>
  <c r="FK46" i="185" s="1"/>
  <c r="FL46" i="185" a="1"/>
  <c r="FL46" i="185"/>
  <c r="FM46" i="185" a="1"/>
  <c r="FM46" i="185"/>
  <c r="FN46" i="185" a="1"/>
  <c r="FN46" i="185" s="1"/>
  <c r="FO46" i="185" a="1"/>
  <c r="FO46" i="185" s="1"/>
  <c r="FP46" i="185" a="1"/>
  <c r="FP46" i="185" s="1"/>
  <c r="FQ46" i="185" a="1"/>
  <c r="FQ46" i="185" s="1"/>
  <c r="FR46" i="185" a="1"/>
  <c r="FR46" i="185" s="1"/>
  <c r="FS46" i="185" a="1"/>
  <c r="FS46" i="185" s="1"/>
  <c r="FT46" i="185" a="1"/>
  <c r="FT46" i="185" s="1"/>
  <c r="FU46" i="185" a="1"/>
  <c r="FU46" i="185" s="1"/>
  <c r="FV46" i="185" a="1"/>
  <c r="FV46" i="185"/>
  <c r="FW46" i="185" a="1"/>
  <c r="FW46" i="185"/>
  <c r="FX46" i="185" a="1"/>
  <c r="FX46" i="185"/>
  <c r="FY46" i="185" a="1"/>
  <c r="FY46" i="185" s="1"/>
  <c r="FZ46" i="185" a="1"/>
  <c r="FZ46" i="185"/>
  <c r="GA46" i="185" a="1"/>
  <c r="GA46" i="185"/>
  <c r="GB46" i="185" a="1"/>
  <c r="GB46" i="185" s="1"/>
  <c r="GC46" i="185" a="1"/>
  <c r="GC46" i="185" s="1"/>
  <c r="GD46" i="185" a="1"/>
  <c r="GD46" i="185" s="1"/>
  <c r="GE46" i="185" a="1"/>
  <c r="GE46" i="185" s="1"/>
  <c r="GF46" i="185" a="1"/>
  <c r="GF46" i="185" s="1"/>
  <c r="GG46" i="185" a="1"/>
  <c r="GG46" i="185" s="1"/>
  <c r="GH46" i="185" a="1"/>
  <c r="GH46" i="185" s="1"/>
  <c r="GI46" i="185" a="1"/>
  <c r="GI46" i="185" s="1"/>
  <c r="GJ46" i="185" a="1"/>
  <c r="GJ46" i="185"/>
  <c r="GK46" i="185" a="1"/>
  <c r="GK46" i="185"/>
  <c r="GL46" i="185" a="1"/>
  <c r="GL46" i="185"/>
  <c r="GM46" i="185" a="1"/>
  <c r="GM46" i="185" s="1"/>
  <c r="GN46" i="185" a="1"/>
  <c r="GN46" i="185"/>
  <c r="GO46" i="185" a="1"/>
  <c r="GO46" i="185"/>
  <c r="GP46" i="185" a="1"/>
  <c r="GP46" i="185" s="1"/>
  <c r="GQ46" i="185" a="1"/>
  <c r="GQ46" i="185" s="1"/>
  <c r="GR46" i="185" a="1"/>
  <c r="GR46" i="185" s="1"/>
  <c r="GS46" i="185" a="1"/>
  <c r="GS46" i="185" s="1"/>
  <c r="GT46" i="185" a="1"/>
  <c r="GT46" i="185" s="1"/>
  <c r="GU46" i="185" a="1"/>
  <c r="GU46" i="185" s="1"/>
  <c r="GV46" i="185" a="1"/>
  <c r="GV46" i="185" s="1"/>
  <c r="GW46" i="185" a="1"/>
  <c r="GW46" i="185" s="1"/>
  <c r="GX46" i="185" a="1"/>
  <c r="GX46" i="185"/>
  <c r="GY46" i="185" a="1"/>
  <c r="GY46" i="185"/>
  <c r="GZ46" i="185" a="1"/>
  <c r="GZ46" i="185"/>
  <c r="HA46" i="185" a="1"/>
  <c r="HA46" i="185" s="1"/>
  <c r="HB46" i="185" a="1"/>
  <c r="HB46" i="185"/>
  <c r="HC46" i="185" a="1"/>
  <c r="HC46" i="185"/>
  <c r="HD46" i="185" a="1"/>
  <c r="HD46" i="185" s="1"/>
  <c r="HE46" i="185" a="1"/>
  <c r="HE46" i="185" s="1"/>
  <c r="HF46" i="185" a="1"/>
  <c r="HF46" i="185" s="1"/>
  <c r="HG46" i="185" a="1"/>
  <c r="HG46" i="185" s="1"/>
  <c r="HH46" i="185" a="1"/>
  <c r="HH46" i="185" s="1"/>
  <c r="HI46" i="185" a="1"/>
  <c r="HI46" i="185" s="1"/>
  <c r="FK5" i="185" a="1"/>
  <c r="FK5" i="185" s="1"/>
  <c r="FL5" i="185" a="1"/>
  <c r="FL5" i="185"/>
  <c r="FM5" i="185" a="1"/>
  <c r="FM5" i="185"/>
  <c r="FN5" i="185" a="1"/>
  <c r="FN5" i="185" s="1"/>
  <c r="FO5" i="185" a="1"/>
  <c r="FO5" i="185"/>
  <c r="FP5" i="185" a="1"/>
  <c r="FP5" i="185"/>
  <c r="FQ5" i="185" a="1"/>
  <c r="FQ5" i="185"/>
  <c r="FR5" i="185" a="1"/>
  <c r="FR5" i="185" s="1"/>
  <c r="FS5" i="185" a="1"/>
  <c r="FS5" i="185" s="1"/>
  <c r="FT5" i="185" a="1"/>
  <c r="FT5" i="185" s="1"/>
  <c r="FU5" i="185" a="1"/>
  <c r="FU5" i="185" s="1"/>
  <c r="FV5" i="185" a="1"/>
  <c r="FV5" i="185"/>
  <c r="FW5" i="185" a="1"/>
  <c r="FW5" i="185"/>
  <c r="FX5" i="185" a="1"/>
  <c r="FX5" i="185"/>
  <c r="FY5" i="185" a="1"/>
  <c r="FY5" i="185" s="1"/>
  <c r="FZ5" i="185" a="1"/>
  <c r="FZ5" i="185"/>
  <c r="GA5" i="185" a="1"/>
  <c r="GA5" i="185"/>
  <c r="GB5" i="185" a="1"/>
  <c r="GB5" i="185" s="1"/>
  <c r="GC5" i="185" a="1"/>
  <c r="GC5" i="185"/>
  <c r="GD5" i="185" a="1"/>
  <c r="GD5" i="185"/>
  <c r="GE5" i="185" a="1"/>
  <c r="GE5" i="185"/>
  <c r="GF5" i="185" a="1"/>
  <c r="GF5" i="185" s="1"/>
  <c r="GG5" i="185" a="1"/>
  <c r="GG5" i="185" s="1"/>
  <c r="GH5" i="185" a="1"/>
  <c r="GH5" i="185" s="1"/>
  <c r="GI5" i="185" a="1"/>
  <c r="GI5" i="185" s="1"/>
  <c r="GJ5" i="185" a="1"/>
  <c r="GJ5" i="185"/>
  <c r="GK5" i="185" a="1"/>
  <c r="GK5" i="185"/>
  <c r="GL5" i="185" a="1"/>
  <c r="GL5" i="185"/>
  <c r="GM5" i="185" a="1"/>
  <c r="GM5" i="185" s="1"/>
  <c r="GN5" i="185" a="1"/>
  <c r="GN5" i="185"/>
  <c r="GO5" i="185" a="1"/>
  <c r="GO5" i="185"/>
  <c r="GP5" i="185" a="1"/>
  <c r="GP5" i="185" s="1"/>
  <c r="GQ5" i="185" a="1"/>
  <c r="GQ5" i="185"/>
  <c r="GR5" i="185" a="1"/>
  <c r="GR5" i="185"/>
  <c r="GS5" i="185" a="1"/>
  <c r="GS5" i="185"/>
  <c r="GT5" i="185" a="1"/>
  <c r="GT5" i="185" s="1"/>
  <c r="GU5" i="185" a="1"/>
  <c r="GU5" i="185" s="1"/>
  <c r="GV5" i="185" a="1"/>
  <c r="GV5" i="185" s="1"/>
  <c r="GW5" i="185" a="1"/>
  <c r="GW5" i="185" s="1"/>
  <c r="GX5" i="185" a="1"/>
  <c r="GX5" i="185"/>
  <c r="GY5" i="185" a="1"/>
  <c r="GY5" i="185"/>
  <c r="GZ5" i="185" a="1"/>
  <c r="GZ5" i="185"/>
  <c r="HA5" i="185" a="1"/>
  <c r="HA5" i="185" s="1"/>
  <c r="HB5" i="185" a="1"/>
  <c r="HB5" i="185"/>
  <c r="HC5" i="185" a="1"/>
  <c r="HC5" i="185"/>
  <c r="HD5" i="185" a="1"/>
  <c r="HD5" i="185" s="1"/>
  <c r="HE5" i="185" a="1"/>
  <c r="HE5" i="185"/>
  <c r="HF5" i="185" a="1"/>
  <c r="HF5" i="185"/>
  <c r="HG5" i="185" a="1"/>
  <c r="HG5" i="185"/>
  <c r="HH5" i="185" a="1"/>
  <c r="HH5" i="185" s="1"/>
  <c r="HI5" i="185" a="1"/>
  <c r="HI5" i="185" s="1"/>
  <c r="DH5" i="185"/>
  <c r="JO4" i="185" l="1"/>
  <c r="JP4" i="185"/>
  <c r="F45" i="185"/>
  <c r="B6" i="185"/>
  <c r="C6" i="185"/>
  <c r="D6" i="185"/>
  <c r="F6" i="185"/>
  <c r="G6" i="185"/>
  <c r="H6" i="185"/>
  <c r="I6" i="185"/>
  <c r="J6" i="185"/>
  <c r="K6" i="185"/>
  <c r="L6" i="185"/>
  <c r="M6" i="185"/>
  <c r="N6" i="185"/>
  <c r="O6" i="185"/>
  <c r="P6" i="185"/>
  <c r="Q6" i="185"/>
  <c r="R6" i="185"/>
  <c r="S6" i="185"/>
  <c r="T6" i="185"/>
  <c r="U6" i="185"/>
  <c r="V6" i="185"/>
  <c r="W6" i="185"/>
  <c r="X6" i="185"/>
  <c r="Y6" i="185"/>
  <c r="Z6" i="185"/>
  <c r="AA6" i="185"/>
  <c r="AB6" i="185"/>
  <c r="AC6" i="185"/>
  <c r="AD6" i="185"/>
  <c r="AE6" i="185"/>
  <c r="AF6" i="185"/>
  <c r="AG6" i="185"/>
  <c r="AH6" i="185"/>
  <c r="AI6" i="185"/>
  <c r="AJ6" i="185"/>
  <c r="AK6" i="185"/>
  <c r="AL6" i="185"/>
  <c r="AM6" i="185"/>
  <c r="AN6" i="185"/>
  <c r="AO6" i="185"/>
  <c r="AP6" i="185"/>
  <c r="AQ6" i="185"/>
  <c r="AR6" i="185"/>
  <c r="AS6" i="185"/>
  <c r="AT6" i="185"/>
  <c r="AU6" i="185"/>
  <c r="AV6" i="185"/>
  <c r="AW6" i="185"/>
  <c r="AX6" i="185"/>
  <c r="AY6" i="185"/>
  <c r="AZ6" i="185"/>
  <c r="BA6" i="185"/>
  <c r="BB6" i="185"/>
  <c r="BC6" i="185"/>
  <c r="BD6" i="185"/>
  <c r="BE6" i="185"/>
  <c r="BH9" i="182"/>
  <c r="HL4" i="185"/>
  <c r="FK4" i="185"/>
  <c r="FL4" i="185"/>
  <c r="FM4" i="185"/>
  <c r="FN4" i="185"/>
  <c r="FO4" i="185"/>
  <c r="FP4" i="185"/>
  <c r="FQ4" i="185"/>
  <c r="FR4" i="185"/>
  <c r="FS4" i="185"/>
  <c r="FT4" i="185"/>
  <c r="FU4" i="185"/>
  <c r="FV4" i="185"/>
  <c r="FW4" i="185"/>
  <c r="FX4" i="185"/>
  <c r="FY4" i="185"/>
  <c r="FZ4" i="185"/>
  <c r="GA4" i="185"/>
  <c r="GB4" i="185"/>
  <c r="GC4" i="185"/>
  <c r="GD4" i="185"/>
  <c r="GE4" i="185"/>
  <c r="GF4" i="185"/>
  <c r="GG4" i="185"/>
  <c r="GH4" i="185"/>
  <c r="GI4" i="185"/>
  <c r="GJ4" i="185"/>
  <c r="GK4" i="185"/>
  <c r="GL4" i="185"/>
  <c r="GM4" i="185"/>
  <c r="GN4" i="185"/>
  <c r="GO4" i="185"/>
  <c r="GP4" i="185"/>
  <c r="GQ4" i="185"/>
  <c r="GR4" i="185"/>
  <c r="GS4" i="185"/>
  <c r="GT4" i="185"/>
  <c r="GU4" i="185"/>
  <c r="GV4" i="185"/>
  <c r="GW4" i="185"/>
  <c r="GX4" i="185"/>
  <c r="GY4" i="185"/>
  <c r="GZ4" i="185"/>
  <c r="HA4" i="185"/>
  <c r="HB4" i="185"/>
  <c r="HC4" i="185"/>
  <c r="HD4" i="185"/>
  <c r="HE4" i="185"/>
  <c r="HF4" i="185"/>
  <c r="HG4" i="185"/>
  <c r="HH4" i="185"/>
  <c r="HI4" i="185"/>
  <c r="FJ4" i="185"/>
  <c r="DI4" i="185"/>
  <c r="DJ4" i="185"/>
  <c r="DK4" i="185"/>
  <c r="DL4" i="185"/>
  <c r="DM4" i="185"/>
  <c r="DN4" i="185"/>
  <c r="DO4" i="185"/>
  <c r="DP4" i="185"/>
  <c r="DQ4" i="185"/>
  <c r="DR4" i="185"/>
  <c r="DS4" i="185"/>
  <c r="DT4" i="185"/>
  <c r="DU4" i="185"/>
  <c r="DV4" i="185"/>
  <c r="DW4" i="185"/>
  <c r="DX4" i="185"/>
  <c r="DY4" i="185"/>
  <c r="DZ4" i="185"/>
  <c r="EA4" i="185"/>
  <c r="EB4" i="185"/>
  <c r="EC4" i="185"/>
  <c r="ED4" i="185"/>
  <c r="EE4" i="185"/>
  <c r="EF4" i="185"/>
  <c r="EG4" i="185"/>
  <c r="EH4" i="185"/>
  <c r="EI4" i="185"/>
  <c r="EJ4" i="185"/>
  <c r="EK4" i="185"/>
  <c r="EL4" i="185"/>
  <c r="EM4" i="185"/>
  <c r="EN4" i="185"/>
  <c r="EO4" i="185"/>
  <c r="EP4" i="185"/>
  <c r="EQ4" i="185"/>
  <c r="ER4" i="185"/>
  <c r="ES4" i="185"/>
  <c r="ET4" i="185"/>
  <c r="EU4" i="185"/>
  <c r="EV4" i="185"/>
  <c r="EW4" i="185"/>
  <c r="EX4" i="185"/>
  <c r="EY4" i="185"/>
  <c r="EZ4" i="185"/>
  <c r="FA4" i="185"/>
  <c r="FB4" i="185"/>
  <c r="FC4" i="185"/>
  <c r="FD4" i="185"/>
  <c r="FE4" i="185"/>
  <c r="FF4" i="185"/>
  <c r="FG4" i="185"/>
  <c r="DH4" i="185"/>
  <c r="F4" i="185"/>
  <c r="HM4" i="185"/>
  <c r="HN4" i="185"/>
  <c r="HO4" i="185"/>
  <c r="HP4" i="185"/>
  <c r="HQ4" i="185"/>
  <c r="HR4" i="185"/>
  <c r="HS4" i="185"/>
  <c r="HT4" i="185"/>
  <c r="HU4" i="185"/>
  <c r="HV4" i="185"/>
  <c r="HW4" i="185"/>
  <c r="HX4" i="185"/>
  <c r="HY4" i="185"/>
  <c r="HZ4" i="185"/>
  <c r="IA4" i="185"/>
  <c r="IB4" i="185"/>
  <c r="IC4" i="185"/>
  <c r="ID4" i="185"/>
  <c r="IE4" i="185"/>
  <c r="IF4" i="185"/>
  <c r="IG4" i="185"/>
  <c r="IH4" i="185"/>
  <c r="II4" i="185"/>
  <c r="IJ4" i="185"/>
  <c r="IK4" i="185"/>
  <c r="IL4" i="185"/>
  <c r="IM4" i="185"/>
  <c r="IN4" i="185"/>
  <c r="IO4" i="185"/>
  <c r="IP4" i="185"/>
  <c r="IQ4" i="185"/>
  <c r="IR4" i="185"/>
  <c r="IS4" i="185"/>
  <c r="IT4" i="185"/>
  <c r="IU4" i="185"/>
  <c r="IV4" i="185"/>
  <c r="IW4" i="185"/>
  <c r="IX4" i="185"/>
  <c r="IY4" i="185"/>
  <c r="IZ4" i="185"/>
  <c r="JA4" i="185"/>
  <c r="JB4" i="185"/>
  <c r="JC4" i="185"/>
  <c r="JD4" i="185"/>
  <c r="JE4" i="185"/>
  <c r="JF4" i="185"/>
  <c r="JG4" i="185"/>
  <c r="JH4" i="185"/>
  <c r="JI4" i="185"/>
  <c r="JJ4" i="185"/>
  <c r="JK4" i="185"/>
  <c r="B46" i="185"/>
  <c r="F46" i="185"/>
  <c r="G46" i="185"/>
  <c r="H46" i="185"/>
  <c r="I46" i="185"/>
  <c r="J46" i="185"/>
  <c r="K46" i="185"/>
  <c r="L46" i="185"/>
  <c r="M46" i="185"/>
  <c r="N46" i="185"/>
  <c r="O46" i="185"/>
  <c r="P46" i="185"/>
  <c r="Q46" i="185"/>
  <c r="R46" i="185"/>
  <c r="S46" i="185"/>
  <c r="T46" i="185"/>
  <c r="U46" i="185"/>
  <c r="V46" i="185"/>
  <c r="W46" i="185"/>
  <c r="X46" i="185"/>
  <c r="Y46" i="185"/>
  <c r="Z46" i="185"/>
  <c r="AA46" i="185"/>
  <c r="AB46" i="185"/>
  <c r="AC46" i="185"/>
  <c r="AD46" i="185"/>
  <c r="AE46" i="185"/>
  <c r="AF46" i="185"/>
  <c r="AG46" i="185"/>
  <c r="AH46" i="185"/>
  <c r="AI46" i="185"/>
  <c r="AJ46" i="185"/>
  <c r="AK46" i="185"/>
  <c r="AL46" i="185"/>
  <c r="AM46" i="185"/>
  <c r="AN46" i="185"/>
  <c r="AO46" i="185"/>
  <c r="AP46" i="185"/>
  <c r="AQ46" i="185"/>
  <c r="AR46" i="185"/>
  <c r="AS46" i="185"/>
  <c r="AT46" i="185"/>
  <c r="AU46" i="185"/>
  <c r="AV46" i="185"/>
  <c r="AW46" i="185"/>
  <c r="AX46" i="185"/>
  <c r="AY46" i="185"/>
  <c r="AZ46" i="185"/>
  <c r="BA46" i="185"/>
  <c r="BB46" i="185"/>
  <c r="BC46" i="185"/>
  <c r="BD46" i="185"/>
  <c r="BE46" i="185"/>
  <c r="D46" i="185"/>
  <c r="C46" i="185"/>
  <c r="BH4" i="185"/>
  <c r="BI4" i="185"/>
  <c r="BJ4" i="185"/>
  <c r="BK4" i="185"/>
  <c r="BL4" i="185"/>
  <c r="BM4" i="185"/>
  <c r="BN4" i="185"/>
  <c r="BO4" i="185"/>
  <c r="BP4" i="185"/>
  <c r="BQ4" i="185"/>
  <c r="BR4" i="185"/>
  <c r="BS4" i="185"/>
  <c r="BT4" i="185"/>
  <c r="BU4" i="185"/>
  <c r="BV4" i="185"/>
  <c r="BW4" i="185"/>
  <c r="BX4" i="185"/>
  <c r="BY4" i="185"/>
  <c r="BZ4" i="185"/>
  <c r="CA4" i="185"/>
  <c r="CB4" i="185"/>
  <c r="CC4" i="185"/>
  <c r="CD4" i="185"/>
  <c r="CE4" i="185"/>
  <c r="CF4" i="185"/>
  <c r="CG4" i="185"/>
  <c r="CH4" i="185"/>
  <c r="CI4" i="185"/>
  <c r="CJ4" i="185"/>
  <c r="CK4" i="185"/>
  <c r="CL4" i="185"/>
  <c r="CM4" i="185"/>
  <c r="CN4" i="185"/>
  <c r="CO4" i="185"/>
  <c r="CP4" i="185"/>
  <c r="CQ4" i="185"/>
  <c r="CR4" i="185"/>
  <c r="CS4" i="185"/>
  <c r="CT4" i="185"/>
  <c r="CU4" i="185"/>
  <c r="CV4" i="185"/>
  <c r="CW4" i="185"/>
  <c r="CX4" i="185"/>
  <c r="CY4" i="185"/>
  <c r="CZ4" i="185"/>
  <c r="DA4" i="185"/>
  <c r="DB4" i="185"/>
  <c r="DC4" i="185"/>
  <c r="DD4" i="185"/>
  <c r="DE4" i="185"/>
  <c r="DF4" i="185"/>
  <c r="BG4" i="185"/>
  <c r="BE4" i="185"/>
  <c r="BE45" i="185"/>
  <c r="BE44" i="185"/>
  <c r="BE43" i="185"/>
  <c r="BE42" i="185"/>
  <c r="BE41" i="185"/>
  <c r="BE40" i="185"/>
  <c r="BE39" i="185"/>
  <c r="BE38" i="185"/>
  <c r="BE37" i="185"/>
  <c r="BE36" i="185"/>
  <c r="BE35" i="185"/>
  <c r="BE34" i="185"/>
  <c r="BE33" i="185"/>
  <c r="BE32" i="185"/>
  <c r="BE31" i="185"/>
  <c r="BE30" i="185"/>
  <c r="BE29" i="185"/>
  <c r="BE28" i="185"/>
  <c r="BE27" i="185"/>
  <c r="BE26" i="185"/>
  <c r="BE25" i="185"/>
  <c r="BE24" i="185"/>
  <c r="BE23" i="185"/>
  <c r="BE22" i="185"/>
  <c r="BE21" i="185"/>
  <c r="BE20" i="185"/>
  <c r="BE19" i="185"/>
  <c r="BE18" i="185"/>
  <c r="BE17" i="185"/>
  <c r="BE16" i="185"/>
  <c r="BE15" i="185"/>
  <c r="BE14" i="185"/>
  <c r="BE13" i="185"/>
  <c r="BE12" i="185"/>
  <c r="BE11" i="185"/>
  <c r="BE10" i="185"/>
  <c r="BE9" i="185"/>
  <c r="BE8" i="185"/>
  <c r="BE7" i="185"/>
  <c r="BE5" i="185"/>
  <c r="BB4" i="185"/>
  <c r="BC4" i="185"/>
  <c r="BD4" i="185"/>
  <c r="BB5" i="185"/>
  <c r="BC5" i="185"/>
  <c r="BD5" i="185"/>
  <c r="BB7" i="185"/>
  <c r="BC7" i="185"/>
  <c r="BD7" i="185"/>
  <c r="BB8" i="185"/>
  <c r="BC8" i="185"/>
  <c r="BD8" i="185"/>
  <c r="BB9" i="185"/>
  <c r="BC9" i="185"/>
  <c r="BD9" i="185"/>
  <c r="BB10" i="185"/>
  <c r="BC10" i="185"/>
  <c r="BD10" i="185"/>
  <c r="BB11" i="185"/>
  <c r="BC11" i="185"/>
  <c r="BD11" i="185"/>
  <c r="BB12" i="185"/>
  <c r="BC12" i="185"/>
  <c r="BD12" i="185"/>
  <c r="BB13" i="185"/>
  <c r="BC13" i="185"/>
  <c r="BD13" i="185"/>
  <c r="BB14" i="185"/>
  <c r="BC14" i="185"/>
  <c r="BD14" i="185"/>
  <c r="BB15" i="185"/>
  <c r="BC15" i="185"/>
  <c r="BD15" i="185"/>
  <c r="BB16" i="185"/>
  <c r="BC16" i="185"/>
  <c r="BD16" i="185"/>
  <c r="BB17" i="185"/>
  <c r="BC17" i="185"/>
  <c r="BD17" i="185"/>
  <c r="BB18" i="185"/>
  <c r="BC18" i="185"/>
  <c r="BD18" i="185"/>
  <c r="BB19" i="185"/>
  <c r="BC19" i="185"/>
  <c r="BD19" i="185"/>
  <c r="BB20" i="185"/>
  <c r="BC20" i="185"/>
  <c r="BD20" i="185"/>
  <c r="BB21" i="185"/>
  <c r="BC21" i="185"/>
  <c r="BD21" i="185"/>
  <c r="BB22" i="185"/>
  <c r="BC22" i="185"/>
  <c r="BD22" i="185"/>
  <c r="BB23" i="185"/>
  <c r="BC23" i="185"/>
  <c r="BD23" i="185"/>
  <c r="BB24" i="185"/>
  <c r="BC24" i="185"/>
  <c r="BD24" i="185"/>
  <c r="BB25" i="185"/>
  <c r="BC25" i="185"/>
  <c r="BD25" i="185"/>
  <c r="BB26" i="185"/>
  <c r="BC26" i="185"/>
  <c r="BD26" i="185"/>
  <c r="BB27" i="185"/>
  <c r="BC27" i="185"/>
  <c r="BD27" i="185"/>
  <c r="BB28" i="185"/>
  <c r="BC28" i="185"/>
  <c r="BD28" i="185"/>
  <c r="BB29" i="185"/>
  <c r="BC29" i="185"/>
  <c r="BD29" i="185"/>
  <c r="BB30" i="185"/>
  <c r="BC30" i="185"/>
  <c r="BD30" i="185"/>
  <c r="BB31" i="185"/>
  <c r="BC31" i="185"/>
  <c r="BD31" i="185"/>
  <c r="BB32" i="185"/>
  <c r="BC32" i="185"/>
  <c r="BD32" i="185"/>
  <c r="BB33" i="185"/>
  <c r="BC33" i="185"/>
  <c r="BD33" i="185"/>
  <c r="BB34" i="185"/>
  <c r="BC34" i="185"/>
  <c r="BD34" i="185"/>
  <c r="BB35" i="185"/>
  <c r="BC35" i="185"/>
  <c r="BD35" i="185"/>
  <c r="BB36" i="185"/>
  <c r="BC36" i="185"/>
  <c r="BD36" i="185"/>
  <c r="BB37" i="185"/>
  <c r="BC37" i="185"/>
  <c r="BD37" i="185"/>
  <c r="BB38" i="185"/>
  <c r="BC38" i="185"/>
  <c r="BD38" i="185"/>
  <c r="BB39" i="185"/>
  <c r="BC39" i="185"/>
  <c r="BD39" i="185"/>
  <c r="BB40" i="185"/>
  <c r="BC40" i="185"/>
  <c r="BD40" i="185"/>
  <c r="BB41" i="185"/>
  <c r="BC41" i="185"/>
  <c r="BD41" i="185"/>
  <c r="BB42" i="185"/>
  <c r="BC42" i="185"/>
  <c r="BD42" i="185"/>
  <c r="BB43" i="185"/>
  <c r="BC43" i="185"/>
  <c r="BD43" i="185"/>
  <c r="BB44" i="185"/>
  <c r="BC44" i="185"/>
  <c r="BD44" i="185"/>
  <c r="BB45" i="185"/>
  <c r="BC45" i="185"/>
  <c r="BD45" i="185"/>
  <c r="AM4" i="185"/>
  <c r="AN4" i="185"/>
  <c r="AO4" i="185"/>
  <c r="AP4" i="185"/>
  <c r="AQ4" i="185"/>
  <c r="AR4" i="185"/>
  <c r="AS4" i="185"/>
  <c r="AT4" i="185"/>
  <c r="AU4" i="185"/>
  <c r="AV4" i="185"/>
  <c r="AW4" i="185"/>
  <c r="AX4" i="185"/>
  <c r="AY4" i="185"/>
  <c r="AZ4" i="185"/>
  <c r="BA4" i="185"/>
  <c r="AM5" i="185"/>
  <c r="AN5" i="185"/>
  <c r="AO5" i="185"/>
  <c r="AP5" i="185"/>
  <c r="AQ5" i="185"/>
  <c r="AR5" i="185"/>
  <c r="AS5" i="185"/>
  <c r="AT5" i="185"/>
  <c r="AU5" i="185"/>
  <c r="AV5" i="185"/>
  <c r="AW5" i="185"/>
  <c r="AX5" i="185"/>
  <c r="AY5" i="185"/>
  <c r="AZ5" i="185"/>
  <c r="BA5" i="185"/>
  <c r="AM7" i="185"/>
  <c r="AN7" i="185"/>
  <c r="AO7" i="185"/>
  <c r="AP7" i="185"/>
  <c r="AQ7" i="185"/>
  <c r="AR7" i="185"/>
  <c r="AS7" i="185"/>
  <c r="AT7" i="185"/>
  <c r="AU7" i="185"/>
  <c r="AV7" i="185"/>
  <c r="AW7" i="185"/>
  <c r="AX7" i="185"/>
  <c r="AY7" i="185"/>
  <c r="AZ7" i="185"/>
  <c r="BA7" i="185"/>
  <c r="AM8" i="185"/>
  <c r="AN8" i="185"/>
  <c r="AO8" i="185"/>
  <c r="AP8" i="185"/>
  <c r="AQ8" i="185"/>
  <c r="AR8" i="185"/>
  <c r="AS8" i="185"/>
  <c r="AT8" i="185"/>
  <c r="AU8" i="185"/>
  <c r="AV8" i="185"/>
  <c r="AW8" i="185"/>
  <c r="AX8" i="185"/>
  <c r="AY8" i="185"/>
  <c r="AZ8" i="185"/>
  <c r="BA8" i="185"/>
  <c r="AM9" i="185"/>
  <c r="AN9" i="185"/>
  <c r="AO9" i="185"/>
  <c r="AP9" i="185"/>
  <c r="AQ9" i="185"/>
  <c r="AR9" i="185"/>
  <c r="AS9" i="185"/>
  <c r="AT9" i="185"/>
  <c r="AU9" i="185"/>
  <c r="AV9" i="185"/>
  <c r="AW9" i="185"/>
  <c r="AX9" i="185"/>
  <c r="AY9" i="185"/>
  <c r="AZ9" i="185"/>
  <c r="BA9" i="185"/>
  <c r="AM10" i="185"/>
  <c r="AN10" i="185"/>
  <c r="AO10" i="185"/>
  <c r="AP10" i="185"/>
  <c r="AQ10" i="185"/>
  <c r="AR10" i="185"/>
  <c r="AS10" i="185"/>
  <c r="AT10" i="185"/>
  <c r="AU10" i="185"/>
  <c r="AV10" i="185"/>
  <c r="AW10" i="185"/>
  <c r="AX10" i="185"/>
  <c r="AY10" i="185"/>
  <c r="AZ10" i="185"/>
  <c r="BA10" i="185"/>
  <c r="AM11" i="185"/>
  <c r="AN11" i="185"/>
  <c r="AO11" i="185"/>
  <c r="AP11" i="185"/>
  <c r="AQ11" i="185"/>
  <c r="AR11" i="185"/>
  <c r="AS11" i="185"/>
  <c r="AT11" i="185"/>
  <c r="AU11" i="185"/>
  <c r="AV11" i="185"/>
  <c r="AW11" i="185"/>
  <c r="AX11" i="185"/>
  <c r="AY11" i="185"/>
  <c r="AZ11" i="185"/>
  <c r="BA11" i="185"/>
  <c r="AM12" i="185"/>
  <c r="AN12" i="185"/>
  <c r="AO12" i="185"/>
  <c r="AP12" i="185"/>
  <c r="AQ12" i="185"/>
  <c r="AR12" i="185"/>
  <c r="AS12" i="185"/>
  <c r="AT12" i="185"/>
  <c r="AU12" i="185"/>
  <c r="AV12" i="185"/>
  <c r="AW12" i="185"/>
  <c r="AX12" i="185"/>
  <c r="AY12" i="185"/>
  <c r="AZ12" i="185"/>
  <c r="BA12" i="185"/>
  <c r="AM13" i="185"/>
  <c r="AN13" i="185"/>
  <c r="AO13" i="185"/>
  <c r="AP13" i="185"/>
  <c r="AQ13" i="185"/>
  <c r="AR13" i="185"/>
  <c r="AS13" i="185"/>
  <c r="AT13" i="185"/>
  <c r="AU13" i="185"/>
  <c r="AV13" i="185"/>
  <c r="AW13" i="185"/>
  <c r="AX13" i="185"/>
  <c r="AY13" i="185"/>
  <c r="AZ13" i="185"/>
  <c r="BA13" i="185"/>
  <c r="AM14" i="185"/>
  <c r="AN14" i="185"/>
  <c r="AO14" i="185"/>
  <c r="AP14" i="185"/>
  <c r="AQ14" i="185"/>
  <c r="AR14" i="185"/>
  <c r="AS14" i="185"/>
  <c r="AT14" i="185"/>
  <c r="AU14" i="185"/>
  <c r="AV14" i="185"/>
  <c r="AW14" i="185"/>
  <c r="AX14" i="185"/>
  <c r="AY14" i="185"/>
  <c r="AZ14" i="185"/>
  <c r="BA14" i="185"/>
  <c r="AM15" i="185"/>
  <c r="AN15" i="185"/>
  <c r="AO15" i="185"/>
  <c r="AP15" i="185"/>
  <c r="AQ15" i="185"/>
  <c r="AR15" i="185"/>
  <c r="AS15" i="185"/>
  <c r="AT15" i="185"/>
  <c r="AU15" i="185"/>
  <c r="AV15" i="185"/>
  <c r="AW15" i="185"/>
  <c r="AX15" i="185"/>
  <c r="AY15" i="185"/>
  <c r="AZ15" i="185"/>
  <c r="BA15" i="185"/>
  <c r="AM16" i="185"/>
  <c r="AN16" i="185"/>
  <c r="AO16" i="185"/>
  <c r="AP16" i="185"/>
  <c r="AQ16" i="185"/>
  <c r="AR16" i="185"/>
  <c r="AS16" i="185"/>
  <c r="AT16" i="185"/>
  <c r="AU16" i="185"/>
  <c r="AV16" i="185"/>
  <c r="AW16" i="185"/>
  <c r="AX16" i="185"/>
  <c r="AY16" i="185"/>
  <c r="AZ16" i="185"/>
  <c r="BA16" i="185"/>
  <c r="AM17" i="185"/>
  <c r="AN17" i="185"/>
  <c r="AO17" i="185"/>
  <c r="AP17" i="185"/>
  <c r="AQ17" i="185"/>
  <c r="AR17" i="185"/>
  <c r="AS17" i="185"/>
  <c r="AT17" i="185"/>
  <c r="AU17" i="185"/>
  <c r="AV17" i="185"/>
  <c r="AW17" i="185"/>
  <c r="AX17" i="185"/>
  <c r="AY17" i="185"/>
  <c r="AZ17" i="185"/>
  <c r="BA17" i="185"/>
  <c r="AM18" i="185"/>
  <c r="AN18" i="185"/>
  <c r="AO18" i="185"/>
  <c r="AP18" i="185"/>
  <c r="AQ18" i="185"/>
  <c r="AR18" i="185"/>
  <c r="AS18" i="185"/>
  <c r="AT18" i="185"/>
  <c r="AU18" i="185"/>
  <c r="AV18" i="185"/>
  <c r="AW18" i="185"/>
  <c r="AX18" i="185"/>
  <c r="AY18" i="185"/>
  <c r="AZ18" i="185"/>
  <c r="BA18" i="185"/>
  <c r="AM19" i="185"/>
  <c r="AN19" i="185"/>
  <c r="AO19" i="185"/>
  <c r="AP19" i="185"/>
  <c r="AQ19" i="185"/>
  <c r="AR19" i="185"/>
  <c r="AS19" i="185"/>
  <c r="AT19" i="185"/>
  <c r="AU19" i="185"/>
  <c r="AV19" i="185"/>
  <c r="AW19" i="185"/>
  <c r="AX19" i="185"/>
  <c r="AY19" i="185"/>
  <c r="AZ19" i="185"/>
  <c r="BA19" i="185"/>
  <c r="AM20" i="185"/>
  <c r="AN20" i="185"/>
  <c r="AO20" i="185"/>
  <c r="AP20" i="185"/>
  <c r="AQ20" i="185"/>
  <c r="AR20" i="185"/>
  <c r="AS20" i="185"/>
  <c r="AT20" i="185"/>
  <c r="AU20" i="185"/>
  <c r="AV20" i="185"/>
  <c r="AW20" i="185"/>
  <c r="AX20" i="185"/>
  <c r="AY20" i="185"/>
  <c r="AZ20" i="185"/>
  <c r="BA20" i="185"/>
  <c r="AM21" i="185"/>
  <c r="AN21" i="185"/>
  <c r="AO21" i="185"/>
  <c r="AP21" i="185"/>
  <c r="AQ21" i="185"/>
  <c r="AR21" i="185"/>
  <c r="AS21" i="185"/>
  <c r="AT21" i="185"/>
  <c r="AU21" i="185"/>
  <c r="AV21" i="185"/>
  <c r="AW21" i="185"/>
  <c r="AX21" i="185"/>
  <c r="AY21" i="185"/>
  <c r="AZ21" i="185"/>
  <c r="BA21" i="185"/>
  <c r="AM22" i="185"/>
  <c r="AN22" i="185"/>
  <c r="AO22" i="185"/>
  <c r="AP22" i="185"/>
  <c r="AQ22" i="185"/>
  <c r="AR22" i="185"/>
  <c r="AS22" i="185"/>
  <c r="AT22" i="185"/>
  <c r="AU22" i="185"/>
  <c r="AV22" i="185"/>
  <c r="AW22" i="185"/>
  <c r="AX22" i="185"/>
  <c r="AY22" i="185"/>
  <c r="AZ22" i="185"/>
  <c r="BA22" i="185"/>
  <c r="AM23" i="185"/>
  <c r="AN23" i="185"/>
  <c r="AO23" i="185"/>
  <c r="AP23" i="185"/>
  <c r="AQ23" i="185"/>
  <c r="AR23" i="185"/>
  <c r="AS23" i="185"/>
  <c r="AT23" i="185"/>
  <c r="AU23" i="185"/>
  <c r="AV23" i="185"/>
  <c r="AW23" i="185"/>
  <c r="AX23" i="185"/>
  <c r="AY23" i="185"/>
  <c r="AZ23" i="185"/>
  <c r="BA23" i="185"/>
  <c r="AM24" i="185"/>
  <c r="AN24" i="185"/>
  <c r="AO24" i="185"/>
  <c r="AP24" i="185"/>
  <c r="AQ24" i="185"/>
  <c r="AR24" i="185"/>
  <c r="AS24" i="185"/>
  <c r="AT24" i="185"/>
  <c r="AU24" i="185"/>
  <c r="AV24" i="185"/>
  <c r="AW24" i="185"/>
  <c r="AX24" i="185"/>
  <c r="AY24" i="185"/>
  <c r="AZ24" i="185"/>
  <c r="BA24" i="185"/>
  <c r="AM25" i="185"/>
  <c r="AN25" i="185"/>
  <c r="AO25" i="185"/>
  <c r="AP25" i="185"/>
  <c r="AQ25" i="185"/>
  <c r="AR25" i="185"/>
  <c r="AS25" i="185"/>
  <c r="AT25" i="185"/>
  <c r="AU25" i="185"/>
  <c r="AV25" i="185"/>
  <c r="AW25" i="185"/>
  <c r="AX25" i="185"/>
  <c r="AY25" i="185"/>
  <c r="AZ25" i="185"/>
  <c r="BA25" i="185"/>
  <c r="AM26" i="185"/>
  <c r="AN26" i="185"/>
  <c r="AO26" i="185"/>
  <c r="AP26" i="185"/>
  <c r="AQ26" i="185"/>
  <c r="AR26" i="185"/>
  <c r="AS26" i="185"/>
  <c r="AT26" i="185"/>
  <c r="AU26" i="185"/>
  <c r="AV26" i="185"/>
  <c r="AW26" i="185"/>
  <c r="AX26" i="185"/>
  <c r="AY26" i="185"/>
  <c r="AZ26" i="185"/>
  <c r="BA26" i="185"/>
  <c r="AM27" i="185"/>
  <c r="AN27" i="185"/>
  <c r="AO27" i="185"/>
  <c r="AP27" i="185"/>
  <c r="AQ27" i="185"/>
  <c r="AR27" i="185"/>
  <c r="AS27" i="185"/>
  <c r="AT27" i="185"/>
  <c r="AU27" i="185"/>
  <c r="AV27" i="185"/>
  <c r="AW27" i="185"/>
  <c r="AX27" i="185"/>
  <c r="AY27" i="185"/>
  <c r="AZ27" i="185"/>
  <c r="BA27" i="185"/>
  <c r="AM28" i="185"/>
  <c r="AN28" i="185"/>
  <c r="AO28" i="185"/>
  <c r="AP28" i="185"/>
  <c r="AQ28" i="185"/>
  <c r="AR28" i="185"/>
  <c r="AS28" i="185"/>
  <c r="AT28" i="185"/>
  <c r="AU28" i="185"/>
  <c r="AV28" i="185"/>
  <c r="AW28" i="185"/>
  <c r="AX28" i="185"/>
  <c r="AY28" i="185"/>
  <c r="AZ28" i="185"/>
  <c r="BA28" i="185"/>
  <c r="AM29" i="185"/>
  <c r="AN29" i="185"/>
  <c r="AO29" i="185"/>
  <c r="AP29" i="185"/>
  <c r="AQ29" i="185"/>
  <c r="AR29" i="185"/>
  <c r="AS29" i="185"/>
  <c r="AT29" i="185"/>
  <c r="AU29" i="185"/>
  <c r="AV29" i="185"/>
  <c r="AW29" i="185"/>
  <c r="AX29" i="185"/>
  <c r="AY29" i="185"/>
  <c r="AZ29" i="185"/>
  <c r="BA29" i="185"/>
  <c r="AM30" i="185"/>
  <c r="AN30" i="185"/>
  <c r="AO30" i="185"/>
  <c r="AP30" i="185"/>
  <c r="AQ30" i="185"/>
  <c r="AR30" i="185"/>
  <c r="AS30" i="185"/>
  <c r="AT30" i="185"/>
  <c r="AU30" i="185"/>
  <c r="AV30" i="185"/>
  <c r="AW30" i="185"/>
  <c r="AX30" i="185"/>
  <c r="AY30" i="185"/>
  <c r="AZ30" i="185"/>
  <c r="BA30" i="185"/>
  <c r="AM31" i="185"/>
  <c r="AN31" i="185"/>
  <c r="AO31" i="185"/>
  <c r="AP31" i="185"/>
  <c r="AQ31" i="185"/>
  <c r="AR31" i="185"/>
  <c r="AS31" i="185"/>
  <c r="AT31" i="185"/>
  <c r="AU31" i="185"/>
  <c r="AV31" i="185"/>
  <c r="AW31" i="185"/>
  <c r="AX31" i="185"/>
  <c r="AY31" i="185"/>
  <c r="AZ31" i="185"/>
  <c r="BA31" i="185"/>
  <c r="AM32" i="185"/>
  <c r="AN32" i="185"/>
  <c r="AO32" i="185"/>
  <c r="AP32" i="185"/>
  <c r="AQ32" i="185"/>
  <c r="AR32" i="185"/>
  <c r="AS32" i="185"/>
  <c r="AT32" i="185"/>
  <c r="AU32" i="185"/>
  <c r="AV32" i="185"/>
  <c r="AW32" i="185"/>
  <c r="AX32" i="185"/>
  <c r="AY32" i="185"/>
  <c r="AZ32" i="185"/>
  <c r="BA32" i="185"/>
  <c r="AM33" i="185"/>
  <c r="AN33" i="185"/>
  <c r="AO33" i="185"/>
  <c r="AP33" i="185"/>
  <c r="AQ33" i="185"/>
  <c r="AR33" i="185"/>
  <c r="AS33" i="185"/>
  <c r="AT33" i="185"/>
  <c r="AU33" i="185"/>
  <c r="AV33" i="185"/>
  <c r="AW33" i="185"/>
  <c r="AX33" i="185"/>
  <c r="AY33" i="185"/>
  <c r="AZ33" i="185"/>
  <c r="BA33" i="185"/>
  <c r="AM34" i="185"/>
  <c r="AN34" i="185"/>
  <c r="AO34" i="185"/>
  <c r="AP34" i="185"/>
  <c r="AQ34" i="185"/>
  <c r="AR34" i="185"/>
  <c r="AS34" i="185"/>
  <c r="AT34" i="185"/>
  <c r="AU34" i="185"/>
  <c r="AV34" i="185"/>
  <c r="AW34" i="185"/>
  <c r="AX34" i="185"/>
  <c r="AY34" i="185"/>
  <c r="AZ34" i="185"/>
  <c r="BA34" i="185"/>
  <c r="AM35" i="185"/>
  <c r="AN35" i="185"/>
  <c r="AO35" i="185"/>
  <c r="AP35" i="185"/>
  <c r="AQ35" i="185"/>
  <c r="AR35" i="185"/>
  <c r="AS35" i="185"/>
  <c r="AT35" i="185"/>
  <c r="AU35" i="185"/>
  <c r="AV35" i="185"/>
  <c r="AW35" i="185"/>
  <c r="AX35" i="185"/>
  <c r="AY35" i="185"/>
  <c r="AZ35" i="185"/>
  <c r="BA35" i="185"/>
  <c r="AM36" i="185"/>
  <c r="AN36" i="185"/>
  <c r="AO36" i="185"/>
  <c r="AP36" i="185"/>
  <c r="AQ36" i="185"/>
  <c r="AR36" i="185"/>
  <c r="AS36" i="185"/>
  <c r="AT36" i="185"/>
  <c r="AU36" i="185"/>
  <c r="AV36" i="185"/>
  <c r="AW36" i="185"/>
  <c r="AX36" i="185"/>
  <c r="AY36" i="185"/>
  <c r="AZ36" i="185"/>
  <c r="BA36" i="185"/>
  <c r="AM37" i="185"/>
  <c r="AN37" i="185"/>
  <c r="AO37" i="185"/>
  <c r="AP37" i="185"/>
  <c r="AQ37" i="185"/>
  <c r="AR37" i="185"/>
  <c r="AS37" i="185"/>
  <c r="AT37" i="185"/>
  <c r="AU37" i="185"/>
  <c r="AV37" i="185"/>
  <c r="AW37" i="185"/>
  <c r="AX37" i="185"/>
  <c r="AY37" i="185"/>
  <c r="AZ37" i="185"/>
  <c r="BA37" i="185"/>
  <c r="AM38" i="185"/>
  <c r="AN38" i="185"/>
  <c r="AO38" i="185"/>
  <c r="AP38" i="185"/>
  <c r="AQ38" i="185"/>
  <c r="AR38" i="185"/>
  <c r="AS38" i="185"/>
  <c r="AT38" i="185"/>
  <c r="AU38" i="185"/>
  <c r="AV38" i="185"/>
  <c r="AW38" i="185"/>
  <c r="AX38" i="185"/>
  <c r="AY38" i="185"/>
  <c r="AZ38" i="185"/>
  <c r="BA38" i="185"/>
  <c r="AM39" i="185"/>
  <c r="AN39" i="185"/>
  <c r="AO39" i="185"/>
  <c r="AP39" i="185"/>
  <c r="AQ39" i="185"/>
  <c r="AR39" i="185"/>
  <c r="AS39" i="185"/>
  <c r="AT39" i="185"/>
  <c r="AU39" i="185"/>
  <c r="AV39" i="185"/>
  <c r="AW39" i="185"/>
  <c r="AX39" i="185"/>
  <c r="AY39" i="185"/>
  <c r="AZ39" i="185"/>
  <c r="BA39" i="185"/>
  <c r="AM40" i="185"/>
  <c r="AN40" i="185"/>
  <c r="AO40" i="185"/>
  <c r="AP40" i="185"/>
  <c r="AQ40" i="185"/>
  <c r="AR40" i="185"/>
  <c r="AS40" i="185"/>
  <c r="AT40" i="185"/>
  <c r="AU40" i="185"/>
  <c r="AV40" i="185"/>
  <c r="AW40" i="185"/>
  <c r="AX40" i="185"/>
  <c r="AY40" i="185"/>
  <c r="AZ40" i="185"/>
  <c r="BA40" i="185"/>
  <c r="AM41" i="185"/>
  <c r="AN41" i="185"/>
  <c r="AO41" i="185"/>
  <c r="AP41" i="185"/>
  <c r="AQ41" i="185"/>
  <c r="AR41" i="185"/>
  <c r="AS41" i="185"/>
  <c r="AT41" i="185"/>
  <c r="AU41" i="185"/>
  <c r="AV41" i="185"/>
  <c r="AW41" i="185"/>
  <c r="AX41" i="185"/>
  <c r="AY41" i="185"/>
  <c r="AZ41" i="185"/>
  <c r="BA41" i="185"/>
  <c r="AM42" i="185"/>
  <c r="AN42" i="185"/>
  <c r="AO42" i="185"/>
  <c r="AP42" i="185"/>
  <c r="AQ42" i="185"/>
  <c r="AR42" i="185"/>
  <c r="AS42" i="185"/>
  <c r="AT42" i="185"/>
  <c r="AU42" i="185"/>
  <c r="AV42" i="185"/>
  <c r="AW42" i="185"/>
  <c r="AX42" i="185"/>
  <c r="AY42" i="185"/>
  <c r="AZ42" i="185"/>
  <c r="BA42" i="185"/>
  <c r="AM43" i="185"/>
  <c r="AN43" i="185"/>
  <c r="AO43" i="185"/>
  <c r="AP43" i="185"/>
  <c r="AQ43" i="185"/>
  <c r="AR43" i="185"/>
  <c r="AS43" i="185"/>
  <c r="AT43" i="185"/>
  <c r="AU43" i="185"/>
  <c r="AV43" i="185"/>
  <c r="AW43" i="185"/>
  <c r="AX43" i="185"/>
  <c r="AY43" i="185"/>
  <c r="AZ43" i="185"/>
  <c r="BA43" i="185"/>
  <c r="AM44" i="185"/>
  <c r="AN44" i="185"/>
  <c r="AO44" i="185"/>
  <c r="AP44" i="185"/>
  <c r="AQ44" i="185"/>
  <c r="AR44" i="185"/>
  <c r="AS44" i="185"/>
  <c r="AT44" i="185"/>
  <c r="AU44" i="185"/>
  <c r="AV44" i="185"/>
  <c r="AW44" i="185"/>
  <c r="AX44" i="185"/>
  <c r="AY44" i="185"/>
  <c r="AZ44" i="185"/>
  <c r="BA44" i="185"/>
  <c r="AM45" i="185"/>
  <c r="AN45" i="185"/>
  <c r="AO45" i="185"/>
  <c r="AP45" i="185"/>
  <c r="AQ45" i="185"/>
  <c r="AR45" i="185"/>
  <c r="AS45" i="185"/>
  <c r="AT45" i="185"/>
  <c r="AU45" i="185"/>
  <c r="AV45" i="185"/>
  <c r="AW45" i="185"/>
  <c r="AX45" i="185"/>
  <c r="AY45" i="185"/>
  <c r="AZ45" i="185"/>
  <c r="BA45" i="185"/>
  <c r="Z4" i="185"/>
  <c r="AA4" i="185"/>
  <c r="AB4" i="185"/>
  <c r="AC4" i="185"/>
  <c r="AD4" i="185"/>
  <c r="AE4" i="185"/>
  <c r="AF4" i="185"/>
  <c r="AG4" i="185"/>
  <c r="AH4" i="185"/>
  <c r="AI4" i="185"/>
  <c r="AJ4" i="185"/>
  <c r="AK4" i="185"/>
  <c r="AL4" i="185"/>
  <c r="Z5" i="185"/>
  <c r="AA5" i="185"/>
  <c r="AB5" i="185"/>
  <c r="AC5" i="185"/>
  <c r="AD5" i="185"/>
  <c r="AE5" i="185"/>
  <c r="AF5" i="185"/>
  <c r="AG5" i="185"/>
  <c r="AH5" i="185"/>
  <c r="AI5" i="185"/>
  <c r="AJ5" i="185"/>
  <c r="AK5" i="185"/>
  <c r="AL5" i="185"/>
  <c r="Z7" i="185"/>
  <c r="AA7" i="185"/>
  <c r="AB7" i="185"/>
  <c r="AC7" i="185"/>
  <c r="AD7" i="185"/>
  <c r="AE7" i="185"/>
  <c r="AF7" i="185"/>
  <c r="AG7" i="185"/>
  <c r="AH7" i="185"/>
  <c r="AI7" i="185"/>
  <c r="AJ7" i="185"/>
  <c r="AK7" i="185"/>
  <c r="AL7" i="185"/>
  <c r="Z8" i="185"/>
  <c r="AA8" i="185"/>
  <c r="AB8" i="185"/>
  <c r="AC8" i="185"/>
  <c r="AD8" i="185"/>
  <c r="AE8" i="185"/>
  <c r="AF8" i="185"/>
  <c r="AG8" i="185"/>
  <c r="AH8" i="185"/>
  <c r="AI8" i="185"/>
  <c r="AJ8" i="185"/>
  <c r="AK8" i="185"/>
  <c r="AL8" i="185"/>
  <c r="Z9" i="185"/>
  <c r="AA9" i="185"/>
  <c r="AB9" i="185"/>
  <c r="AC9" i="185"/>
  <c r="AD9" i="185"/>
  <c r="AE9" i="185"/>
  <c r="AF9" i="185"/>
  <c r="AG9" i="185"/>
  <c r="AH9" i="185"/>
  <c r="AI9" i="185"/>
  <c r="AJ9" i="185"/>
  <c r="AK9" i="185"/>
  <c r="AL9" i="185"/>
  <c r="Z10" i="185"/>
  <c r="AA10" i="185"/>
  <c r="AB10" i="185"/>
  <c r="AC10" i="185"/>
  <c r="AD10" i="185"/>
  <c r="AE10" i="185"/>
  <c r="AF10" i="185"/>
  <c r="AG10" i="185"/>
  <c r="AH10" i="185"/>
  <c r="AI10" i="185"/>
  <c r="AJ10" i="185"/>
  <c r="AK10" i="185"/>
  <c r="AL10" i="185"/>
  <c r="Z11" i="185"/>
  <c r="AA11" i="185"/>
  <c r="AB11" i="185"/>
  <c r="AC11" i="185"/>
  <c r="AD11" i="185"/>
  <c r="AE11" i="185"/>
  <c r="AF11" i="185"/>
  <c r="AG11" i="185"/>
  <c r="AH11" i="185"/>
  <c r="AI11" i="185"/>
  <c r="AJ11" i="185"/>
  <c r="AK11" i="185"/>
  <c r="AL11" i="185"/>
  <c r="Z12" i="185"/>
  <c r="AA12" i="185"/>
  <c r="AB12" i="185"/>
  <c r="AC12" i="185"/>
  <c r="AD12" i="185"/>
  <c r="AE12" i="185"/>
  <c r="AF12" i="185"/>
  <c r="AG12" i="185"/>
  <c r="AH12" i="185"/>
  <c r="AI12" i="185"/>
  <c r="AJ12" i="185"/>
  <c r="AK12" i="185"/>
  <c r="AL12" i="185"/>
  <c r="Z13" i="185"/>
  <c r="AA13" i="185"/>
  <c r="AB13" i="185"/>
  <c r="AC13" i="185"/>
  <c r="AD13" i="185"/>
  <c r="AE13" i="185"/>
  <c r="AF13" i="185"/>
  <c r="AG13" i="185"/>
  <c r="AH13" i="185"/>
  <c r="AI13" i="185"/>
  <c r="AJ13" i="185"/>
  <c r="AK13" i="185"/>
  <c r="AL13" i="185"/>
  <c r="Z14" i="185"/>
  <c r="AA14" i="185"/>
  <c r="AB14" i="185"/>
  <c r="AC14" i="185"/>
  <c r="AD14" i="185"/>
  <c r="AE14" i="185"/>
  <c r="AF14" i="185"/>
  <c r="AG14" i="185"/>
  <c r="AH14" i="185"/>
  <c r="AI14" i="185"/>
  <c r="AJ14" i="185"/>
  <c r="AK14" i="185"/>
  <c r="AL14" i="185"/>
  <c r="Z15" i="185"/>
  <c r="AA15" i="185"/>
  <c r="AB15" i="185"/>
  <c r="AC15" i="185"/>
  <c r="AD15" i="185"/>
  <c r="AE15" i="185"/>
  <c r="AF15" i="185"/>
  <c r="AG15" i="185"/>
  <c r="AH15" i="185"/>
  <c r="AI15" i="185"/>
  <c r="AJ15" i="185"/>
  <c r="AK15" i="185"/>
  <c r="AL15" i="185"/>
  <c r="Z16" i="185"/>
  <c r="AA16" i="185"/>
  <c r="AB16" i="185"/>
  <c r="AC16" i="185"/>
  <c r="AD16" i="185"/>
  <c r="AE16" i="185"/>
  <c r="AF16" i="185"/>
  <c r="AG16" i="185"/>
  <c r="AH16" i="185"/>
  <c r="AI16" i="185"/>
  <c r="AJ16" i="185"/>
  <c r="AK16" i="185"/>
  <c r="AL16" i="185"/>
  <c r="Z17" i="185"/>
  <c r="AA17" i="185"/>
  <c r="AB17" i="185"/>
  <c r="AC17" i="185"/>
  <c r="AD17" i="185"/>
  <c r="AE17" i="185"/>
  <c r="AF17" i="185"/>
  <c r="AG17" i="185"/>
  <c r="AH17" i="185"/>
  <c r="AI17" i="185"/>
  <c r="AJ17" i="185"/>
  <c r="AK17" i="185"/>
  <c r="AL17" i="185"/>
  <c r="Z18" i="185"/>
  <c r="AA18" i="185"/>
  <c r="AB18" i="185"/>
  <c r="AC18" i="185"/>
  <c r="AD18" i="185"/>
  <c r="AE18" i="185"/>
  <c r="AF18" i="185"/>
  <c r="AG18" i="185"/>
  <c r="AH18" i="185"/>
  <c r="AI18" i="185"/>
  <c r="AJ18" i="185"/>
  <c r="AK18" i="185"/>
  <c r="AL18" i="185"/>
  <c r="Z19" i="185"/>
  <c r="AA19" i="185"/>
  <c r="AB19" i="185"/>
  <c r="AC19" i="185"/>
  <c r="AD19" i="185"/>
  <c r="AE19" i="185"/>
  <c r="AF19" i="185"/>
  <c r="AG19" i="185"/>
  <c r="AH19" i="185"/>
  <c r="AI19" i="185"/>
  <c r="AJ19" i="185"/>
  <c r="AK19" i="185"/>
  <c r="AL19" i="185"/>
  <c r="Z20" i="185"/>
  <c r="AA20" i="185"/>
  <c r="AB20" i="185"/>
  <c r="AC20" i="185"/>
  <c r="AD20" i="185"/>
  <c r="AE20" i="185"/>
  <c r="AF20" i="185"/>
  <c r="AG20" i="185"/>
  <c r="AH20" i="185"/>
  <c r="AI20" i="185"/>
  <c r="AJ20" i="185"/>
  <c r="AK20" i="185"/>
  <c r="AL20" i="185"/>
  <c r="Z21" i="185"/>
  <c r="AA21" i="185"/>
  <c r="AB21" i="185"/>
  <c r="AC21" i="185"/>
  <c r="AD21" i="185"/>
  <c r="AE21" i="185"/>
  <c r="AF21" i="185"/>
  <c r="AG21" i="185"/>
  <c r="AH21" i="185"/>
  <c r="AI21" i="185"/>
  <c r="AJ21" i="185"/>
  <c r="AK21" i="185"/>
  <c r="AL21" i="185"/>
  <c r="Z22" i="185"/>
  <c r="AA22" i="185"/>
  <c r="AB22" i="185"/>
  <c r="AC22" i="185"/>
  <c r="AD22" i="185"/>
  <c r="AE22" i="185"/>
  <c r="AF22" i="185"/>
  <c r="AG22" i="185"/>
  <c r="AH22" i="185"/>
  <c r="AI22" i="185"/>
  <c r="AJ22" i="185"/>
  <c r="AK22" i="185"/>
  <c r="AL22" i="185"/>
  <c r="Z23" i="185"/>
  <c r="AA23" i="185"/>
  <c r="AB23" i="185"/>
  <c r="AC23" i="185"/>
  <c r="AD23" i="185"/>
  <c r="AE23" i="185"/>
  <c r="AF23" i="185"/>
  <c r="AG23" i="185"/>
  <c r="AH23" i="185"/>
  <c r="AI23" i="185"/>
  <c r="AJ23" i="185"/>
  <c r="AK23" i="185"/>
  <c r="AL23" i="185"/>
  <c r="Z24" i="185"/>
  <c r="AA24" i="185"/>
  <c r="AB24" i="185"/>
  <c r="AC24" i="185"/>
  <c r="AD24" i="185"/>
  <c r="AE24" i="185"/>
  <c r="AF24" i="185"/>
  <c r="AG24" i="185"/>
  <c r="AH24" i="185"/>
  <c r="AI24" i="185"/>
  <c r="AJ24" i="185"/>
  <c r="AK24" i="185"/>
  <c r="AL24" i="185"/>
  <c r="Z25" i="185"/>
  <c r="AA25" i="185"/>
  <c r="AB25" i="185"/>
  <c r="AC25" i="185"/>
  <c r="AD25" i="185"/>
  <c r="AE25" i="185"/>
  <c r="AF25" i="185"/>
  <c r="AG25" i="185"/>
  <c r="AH25" i="185"/>
  <c r="AI25" i="185"/>
  <c r="AJ25" i="185"/>
  <c r="AK25" i="185"/>
  <c r="AL25" i="185"/>
  <c r="Z26" i="185"/>
  <c r="AA26" i="185"/>
  <c r="AB26" i="185"/>
  <c r="AC26" i="185"/>
  <c r="AD26" i="185"/>
  <c r="AE26" i="185"/>
  <c r="AF26" i="185"/>
  <c r="AG26" i="185"/>
  <c r="AH26" i="185"/>
  <c r="AI26" i="185"/>
  <c r="AJ26" i="185"/>
  <c r="AK26" i="185"/>
  <c r="AL26" i="185"/>
  <c r="Z27" i="185"/>
  <c r="AA27" i="185"/>
  <c r="AB27" i="185"/>
  <c r="AC27" i="185"/>
  <c r="AD27" i="185"/>
  <c r="AE27" i="185"/>
  <c r="AF27" i="185"/>
  <c r="AG27" i="185"/>
  <c r="AH27" i="185"/>
  <c r="AI27" i="185"/>
  <c r="AJ27" i="185"/>
  <c r="AK27" i="185"/>
  <c r="AL27" i="185"/>
  <c r="Z28" i="185"/>
  <c r="AA28" i="185"/>
  <c r="AB28" i="185"/>
  <c r="AC28" i="185"/>
  <c r="AD28" i="185"/>
  <c r="AE28" i="185"/>
  <c r="AF28" i="185"/>
  <c r="AG28" i="185"/>
  <c r="AH28" i="185"/>
  <c r="AI28" i="185"/>
  <c r="AJ28" i="185"/>
  <c r="AK28" i="185"/>
  <c r="AL28" i="185"/>
  <c r="Z29" i="185"/>
  <c r="AA29" i="185"/>
  <c r="AB29" i="185"/>
  <c r="AC29" i="185"/>
  <c r="AD29" i="185"/>
  <c r="AE29" i="185"/>
  <c r="AF29" i="185"/>
  <c r="AG29" i="185"/>
  <c r="AH29" i="185"/>
  <c r="AI29" i="185"/>
  <c r="AJ29" i="185"/>
  <c r="AK29" i="185"/>
  <c r="AL29" i="185"/>
  <c r="Z30" i="185"/>
  <c r="AA30" i="185"/>
  <c r="AB30" i="185"/>
  <c r="AC30" i="185"/>
  <c r="AD30" i="185"/>
  <c r="AE30" i="185"/>
  <c r="AF30" i="185"/>
  <c r="AG30" i="185"/>
  <c r="AH30" i="185"/>
  <c r="AI30" i="185"/>
  <c r="AJ30" i="185"/>
  <c r="AK30" i="185"/>
  <c r="AL30" i="185"/>
  <c r="Z31" i="185"/>
  <c r="AA31" i="185"/>
  <c r="AB31" i="185"/>
  <c r="AC31" i="185"/>
  <c r="AD31" i="185"/>
  <c r="AE31" i="185"/>
  <c r="AF31" i="185"/>
  <c r="AG31" i="185"/>
  <c r="AH31" i="185"/>
  <c r="AI31" i="185"/>
  <c r="AJ31" i="185"/>
  <c r="AK31" i="185"/>
  <c r="AL31" i="185"/>
  <c r="Z32" i="185"/>
  <c r="AA32" i="185"/>
  <c r="AB32" i="185"/>
  <c r="AC32" i="185"/>
  <c r="AD32" i="185"/>
  <c r="AE32" i="185"/>
  <c r="AF32" i="185"/>
  <c r="AG32" i="185"/>
  <c r="AH32" i="185"/>
  <c r="AI32" i="185"/>
  <c r="AJ32" i="185"/>
  <c r="AK32" i="185"/>
  <c r="AL32" i="185"/>
  <c r="Z33" i="185"/>
  <c r="AA33" i="185"/>
  <c r="AB33" i="185"/>
  <c r="AC33" i="185"/>
  <c r="AD33" i="185"/>
  <c r="AE33" i="185"/>
  <c r="AF33" i="185"/>
  <c r="AG33" i="185"/>
  <c r="AH33" i="185"/>
  <c r="AI33" i="185"/>
  <c r="AJ33" i="185"/>
  <c r="AK33" i="185"/>
  <c r="AL33" i="185"/>
  <c r="Z34" i="185"/>
  <c r="AA34" i="185"/>
  <c r="AB34" i="185"/>
  <c r="AC34" i="185"/>
  <c r="AD34" i="185"/>
  <c r="AE34" i="185"/>
  <c r="AF34" i="185"/>
  <c r="AG34" i="185"/>
  <c r="AH34" i="185"/>
  <c r="AI34" i="185"/>
  <c r="AJ34" i="185"/>
  <c r="AK34" i="185"/>
  <c r="AL34" i="185"/>
  <c r="Z35" i="185"/>
  <c r="AA35" i="185"/>
  <c r="AB35" i="185"/>
  <c r="AC35" i="185"/>
  <c r="AD35" i="185"/>
  <c r="AE35" i="185"/>
  <c r="AF35" i="185"/>
  <c r="AG35" i="185"/>
  <c r="AH35" i="185"/>
  <c r="AI35" i="185"/>
  <c r="AJ35" i="185"/>
  <c r="AK35" i="185"/>
  <c r="AL35" i="185"/>
  <c r="Z36" i="185"/>
  <c r="AA36" i="185"/>
  <c r="AB36" i="185"/>
  <c r="AC36" i="185"/>
  <c r="AD36" i="185"/>
  <c r="AE36" i="185"/>
  <c r="AF36" i="185"/>
  <c r="AG36" i="185"/>
  <c r="AH36" i="185"/>
  <c r="AI36" i="185"/>
  <c r="AJ36" i="185"/>
  <c r="AK36" i="185"/>
  <c r="AL36" i="185"/>
  <c r="Z37" i="185"/>
  <c r="AA37" i="185"/>
  <c r="AB37" i="185"/>
  <c r="AC37" i="185"/>
  <c r="AD37" i="185"/>
  <c r="AE37" i="185"/>
  <c r="AF37" i="185"/>
  <c r="AG37" i="185"/>
  <c r="AH37" i="185"/>
  <c r="AI37" i="185"/>
  <c r="AJ37" i="185"/>
  <c r="AK37" i="185"/>
  <c r="AL37" i="185"/>
  <c r="Z38" i="185"/>
  <c r="AA38" i="185"/>
  <c r="AB38" i="185"/>
  <c r="AC38" i="185"/>
  <c r="AD38" i="185"/>
  <c r="AE38" i="185"/>
  <c r="AF38" i="185"/>
  <c r="AG38" i="185"/>
  <c r="AH38" i="185"/>
  <c r="AI38" i="185"/>
  <c r="AJ38" i="185"/>
  <c r="AK38" i="185"/>
  <c r="AL38" i="185"/>
  <c r="Z39" i="185"/>
  <c r="AA39" i="185"/>
  <c r="AB39" i="185"/>
  <c r="AC39" i="185"/>
  <c r="AD39" i="185"/>
  <c r="AE39" i="185"/>
  <c r="AF39" i="185"/>
  <c r="AG39" i="185"/>
  <c r="AH39" i="185"/>
  <c r="AI39" i="185"/>
  <c r="AJ39" i="185"/>
  <c r="AK39" i="185"/>
  <c r="AL39" i="185"/>
  <c r="Z40" i="185"/>
  <c r="AA40" i="185"/>
  <c r="AB40" i="185"/>
  <c r="AC40" i="185"/>
  <c r="AD40" i="185"/>
  <c r="AE40" i="185"/>
  <c r="AF40" i="185"/>
  <c r="AG40" i="185"/>
  <c r="AH40" i="185"/>
  <c r="AI40" i="185"/>
  <c r="AJ40" i="185"/>
  <c r="AK40" i="185"/>
  <c r="AL40" i="185"/>
  <c r="Z41" i="185"/>
  <c r="AA41" i="185"/>
  <c r="AB41" i="185"/>
  <c r="AC41" i="185"/>
  <c r="AD41" i="185"/>
  <c r="AE41" i="185"/>
  <c r="AF41" i="185"/>
  <c r="AG41" i="185"/>
  <c r="AH41" i="185"/>
  <c r="AI41" i="185"/>
  <c r="AJ41" i="185"/>
  <c r="AK41" i="185"/>
  <c r="AL41" i="185"/>
  <c r="Z42" i="185"/>
  <c r="AA42" i="185"/>
  <c r="AB42" i="185"/>
  <c r="AC42" i="185"/>
  <c r="AD42" i="185"/>
  <c r="AE42" i="185"/>
  <c r="AF42" i="185"/>
  <c r="AG42" i="185"/>
  <c r="AH42" i="185"/>
  <c r="AI42" i="185"/>
  <c r="AJ42" i="185"/>
  <c r="AK42" i="185"/>
  <c r="AL42" i="185"/>
  <c r="Z43" i="185"/>
  <c r="AA43" i="185"/>
  <c r="AB43" i="185"/>
  <c r="AC43" i="185"/>
  <c r="AD43" i="185"/>
  <c r="AE43" i="185"/>
  <c r="AF43" i="185"/>
  <c r="AG43" i="185"/>
  <c r="AH43" i="185"/>
  <c r="AI43" i="185"/>
  <c r="AJ43" i="185"/>
  <c r="AK43" i="185"/>
  <c r="AL43" i="185"/>
  <c r="Z44" i="185"/>
  <c r="AA44" i="185"/>
  <c r="AB44" i="185"/>
  <c r="AC44" i="185"/>
  <c r="AD44" i="185"/>
  <c r="AE44" i="185"/>
  <c r="AF44" i="185"/>
  <c r="AG44" i="185"/>
  <c r="AH44" i="185"/>
  <c r="AI44" i="185"/>
  <c r="AJ44" i="185"/>
  <c r="AK44" i="185"/>
  <c r="AL44" i="185"/>
  <c r="Z45" i="185"/>
  <c r="AA45" i="185"/>
  <c r="AB45" i="185"/>
  <c r="AC45" i="185"/>
  <c r="AD45" i="185"/>
  <c r="AE45" i="185"/>
  <c r="AF45" i="185"/>
  <c r="AG45" i="185"/>
  <c r="AH45" i="185"/>
  <c r="AI45" i="185"/>
  <c r="AJ45" i="185"/>
  <c r="AK45" i="185"/>
  <c r="AL45" i="185"/>
  <c r="Q4" i="185"/>
  <c r="R4" i="185"/>
  <c r="S4" i="185"/>
  <c r="T4" i="185"/>
  <c r="U4" i="185"/>
  <c r="V4" i="185"/>
  <c r="W4" i="185"/>
  <c r="X4" i="185"/>
  <c r="Y4" i="185"/>
  <c r="Q5" i="185"/>
  <c r="R5" i="185"/>
  <c r="S5" i="185"/>
  <c r="T5" i="185"/>
  <c r="U5" i="185"/>
  <c r="V5" i="185"/>
  <c r="W5" i="185"/>
  <c r="X5" i="185"/>
  <c r="Y5" i="185"/>
  <c r="Q7" i="185"/>
  <c r="R7" i="185"/>
  <c r="S7" i="185"/>
  <c r="T7" i="185"/>
  <c r="U7" i="185"/>
  <c r="V7" i="185"/>
  <c r="W7" i="185"/>
  <c r="X7" i="185"/>
  <c r="Y7" i="185"/>
  <c r="Q8" i="185"/>
  <c r="R8" i="185"/>
  <c r="S8" i="185"/>
  <c r="T8" i="185"/>
  <c r="U8" i="185"/>
  <c r="V8" i="185"/>
  <c r="W8" i="185"/>
  <c r="X8" i="185"/>
  <c r="Y8" i="185"/>
  <c r="Q9" i="185"/>
  <c r="R9" i="185"/>
  <c r="S9" i="185"/>
  <c r="T9" i="185"/>
  <c r="U9" i="185"/>
  <c r="V9" i="185"/>
  <c r="W9" i="185"/>
  <c r="X9" i="185"/>
  <c r="Y9" i="185"/>
  <c r="Q10" i="185"/>
  <c r="R10" i="185"/>
  <c r="S10" i="185"/>
  <c r="T10" i="185"/>
  <c r="U10" i="185"/>
  <c r="V10" i="185"/>
  <c r="W10" i="185"/>
  <c r="X10" i="185"/>
  <c r="Y10" i="185"/>
  <c r="Q11" i="185"/>
  <c r="R11" i="185"/>
  <c r="S11" i="185"/>
  <c r="T11" i="185"/>
  <c r="U11" i="185"/>
  <c r="V11" i="185"/>
  <c r="W11" i="185"/>
  <c r="X11" i="185"/>
  <c r="Y11" i="185"/>
  <c r="Q12" i="185"/>
  <c r="R12" i="185"/>
  <c r="S12" i="185"/>
  <c r="T12" i="185"/>
  <c r="U12" i="185"/>
  <c r="V12" i="185"/>
  <c r="W12" i="185"/>
  <c r="X12" i="185"/>
  <c r="Y12" i="185"/>
  <c r="Q13" i="185"/>
  <c r="R13" i="185"/>
  <c r="S13" i="185"/>
  <c r="T13" i="185"/>
  <c r="U13" i="185"/>
  <c r="V13" i="185"/>
  <c r="W13" i="185"/>
  <c r="X13" i="185"/>
  <c r="Y13" i="185"/>
  <c r="Q14" i="185"/>
  <c r="R14" i="185"/>
  <c r="S14" i="185"/>
  <c r="T14" i="185"/>
  <c r="U14" i="185"/>
  <c r="V14" i="185"/>
  <c r="W14" i="185"/>
  <c r="X14" i="185"/>
  <c r="Y14" i="185"/>
  <c r="Q15" i="185"/>
  <c r="R15" i="185"/>
  <c r="S15" i="185"/>
  <c r="T15" i="185"/>
  <c r="U15" i="185"/>
  <c r="V15" i="185"/>
  <c r="W15" i="185"/>
  <c r="X15" i="185"/>
  <c r="Y15" i="185"/>
  <c r="Q16" i="185"/>
  <c r="R16" i="185"/>
  <c r="S16" i="185"/>
  <c r="T16" i="185"/>
  <c r="U16" i="185"/>
  <c r="V16" i="185"/>
  <c r="W16" i="185"/>
  <c r="X16" i="185"/>
  <c r="Y16" i="185"/>
  <c r="Q17" i="185"/>
  <c r="R17" i="185"/>
  <c r="S17" i="185"/>
  <c r="T17" i="185"/>
  <c r="U17" i="185"/>
  <c r="V17" i="185"/>
  <c r="W17" i="185"/>
  <c r="X17" i="185"/>
  <c r="Y17" i="185"/>
  <c r="Q18" i="185"/>
  <c r="R18" i="185"/>
  <c r="S18" i="185"/>
  <c r="T18" i="185"/>
  <c r="U18" i="185"/>
  <c r="V18" i="185"/>
  <c r="W18" i="185"/>
  <c r="X18" i="185"/>
  <c r="Y18" i="185"/>
  <c r="Q19" i="185"/>
  <c r="R19" i="185"/>
  <c r="S19" i="185"/>
  <c r="T19" i="185"/>
  <c r="U19" i="185"/>
  <c r="V19" i="185"/>
  <c r="W19" i="185"/>
  <c r="X19" i="185"/>
  <c r="Y19" i="185"/>
  <c r="Q20" i="185"/>
  <c r="R20" i="185"/>
  <c r="S20" i="185"/>
  <c r="T20" i="185"/>
  <c r="U20" i="185"/>
  <c r="V20" i="185"/>
  <c r="W20" i="185"/>
  <c r="X20" i="185"/>
  <c r="Y20" i="185"/>
  <c r="Q21" i="185"/>
  <c r="R21" i="185"/>
  <c r="S21" i="185"/>
  <c r="T21" i="185"/>
  <c r="U21" i="185"/>
  <c r="V21" i="185"/>
  <c r="W21" i="185"/>
  <c r="X21" i="185"/>
  <c r="Y21" i="185"/>
  <c r="Q22" i="185"/>
  <c r="R22" i="185"/>
  <c r="S22" i="185"/>
  <c r="T22" i="185"/>
  <c r="U22" i="185"/>
  <c r="V22" i="185"/>
  <c r="W22" i="185"/>
  <c r="X22" i="185"/>
  <c r="Y22" i="185"/>
  <c r="Q23" i="185"/>
  <c r="R23" i="185"/>
  <c r="S23" i="185"/>
  <c r="T23" i="185"/>
  <c r="U23" i="185"/>
  <c r="V23" i="185"/>
  <c r="W23" i="185"/>
  <c r="X23" i="185"/>
  <c r="Y23" i="185"/>
  <c r="Q24" i="185"/>
  <c r="R24" i="185"/>
  <c r="S24" i="185"/>
  <c r="T24" i="185"/>
  <c r="U24" i="185"/>
  <c r="V24" i="185"/>
  <c r="W24" i="185"/>
  <c r="X24" i="185"/>
  <c r="Y24" i="185"/>
  <c r="Q25" i="185"/>
  <c r="R25" i="185"/>
  <c r="S25" i="185"/>
  <c r="T25" i="185"/>
  <c r="U25" i="185"/>
  <c r="V25" i="185"/>
  <c r="W25" i="185"/>
  <c r="X25" i="185"/>
  <c r="Y25" i="185"/>
  <c r="Q26" i="185"/>
  <c r="R26" i="185"/>
  <c r="S26" i="185"/>
  <c r="T26" i="185"/>
  <c r="U26" i="185"/>
  <c r="V26" i="185"/>
  <c r="W26" i="185"/>
  <c r="X26" i="185"/>
  <c r="Y26" i="185"/>
  <c r="Q27" i="185"/>
  <c r="R27" i="185"/>
  <c r="S27" i="185"/>
  <c r="T27" i="185"/>
  <c r="U27" i="185"/>
  <c r="V27" i="185"/>
  <c r="W27" i="185"/>
  <c r="X27" i="185"/>
  <c r="Y27" i="185"/>
  <c r="Q28" i="185"/>
  <c r="R28" i="185"/>
  <c r="S28" i="185"/>
  <c r="T28" i="185"/>
  <c r="U28" i="185"/>
  <c r="V28" i="185"/>
  <c r="W28" i="185"/>
  <c r="X28" i="185"/>
  <c r="Y28" i="185"/>
  <c r="Q29" i="185"/>
  <c r="R29" i="185"/>
  <c r="S29" i="185"/>
  <c r="T29" i="185"/>
  <c r="U29" i="185"/>
  <c r="V29" i="185"/>
  <c r="W29" i="185"/>
  <c r="X29" i="185"/>
  <c r="Y29" i="185"/>
  <c r="Q30" i="185"/>
  <c r="R30" i="185"/>
  <c r="S30" i="185"/>
  <c r="T30" i="185"/>
  <c r="U30" i="185"/>
  <c r="V30" i="185"/>
  <c r="W30" i="185"/>
  <c r="X30" i="185"/>
  <c r="Y30" i="185"/>
  <c r="Q31" i="185"/>
  <c r="R31" i="185"/>
  <c r="S31" i="185"/>
  <c r="T31" i="185"/>
  <c r="U31" i="185"/>
  <c r="V31" i="185"/>
  <c r="W31" i="185"/>
  <c r="X31" i="185"/>
  <c r="Y31" i="185"/>
  <c r="Q32" i="185"/>
  <c r="R32" i="185"/>
  <c r="S32" i="185"/>
  <c r="T32" i="185"/>
  <c r="U32" i="185"/>
  <c r="V32" i="185"/>
  <c r="W32" i="185"/>
  <c r="X32" i="185"/>
  <c r="Y32" i="185"/>
  <c r="Q33" i="185"/>
  <c r="R33" i="185"/>
  <c r="S33" i="185"/>
  <c r="T33" i="185"/>
  <c r="U33" i="185"/>
  <c r="V33" i="185"/>
  <c r="W33" i="185"/>
  <c r="X33" i="185"/>
  <c r="Y33" i="185"/>
  <c r="Q34" i="185"/>
  <c r="R34" i="185"/>
  <c r="S34" i="185"/>
  <c r="T34" i="185"/>
  <c r="U34" i="185"/>
  <c r="V34" i="185"/>
  <c r="W34" i="185"/>
  <c r="X34" i="185"/>
  <c r="Y34" i="185"/>
  <c r="Q35" i="185"/>
  <c r="R35" i="185"/>
  <c r="S35" i="185"/>
  <c r="T35" i="185"/>
  <c r="U35" i="185"/>
  <c r="V35" i="185"/>
  <c r="W35" i="185"/>
  <c r="X35" i="185"/>
  <c r="Y35" i="185"/>
  <c r="Q36" i="185"/>
  <c r="R36" i="185"/>
  <c r="S36" i="185"/>
  <c r="T36" i="185"/>
  <c r="U36" i="185"/>
  <c r="V36" i="185"/>
  <c r="W36" i="185"/>
  <c r="X36" i="185"/>
  <c r="Y36" i="185"/>
  <c r="Q37" i="185"/>
  <c r="R37" i="185"/>
  <c r="S37" i="185"/>
  <c r="T37" i="185"/>
  <c r="U37" i="185"/>
  <c r="V37" i="185"/>
  <c r="W37" i="185"/>
  <c r="X37" i="185"/>
  <c r="Y37" i="185"/>
  <c r="Q38" i="185"/>
  <c r="R38" i="185"/>
  <c r="S38" i="185"/>
  <c r="T38" i="185"/>
  <c r="U38" i="185"/>
  <c r="V38" i="185"/>
  <c r="W38" i="185"/>
  <c r="X38" i="185"/>
  <c r="Y38" i="185"/>
  <c r="Q39" i="185"/>
  <c r="R39" i="185"/>
  <c r="S39" i="185"/>
  <c r="T39" i="185"/>
  <c r="U39" i="185"/>
  <c r="V39" i="185"/>
  <c r="W39" i="185"/>
  <c r="X39" i="185"/>
  <c r="Y39" i="185"/>
  <c r="Q40" i="185"/>
  <c r="R40" i="185"/>
  <c r="S40" i="185"/>
  <c r="T40" i="185"/>
  <c r="U40" i="185"/>
  <c r="V40" i="185"/>
  <c r="W40" i="185"/>
  <c r="X40" i="185"/>
  <c r="Y40" i="185"/>
  <c r="Q41" i="185"/>
  <c r="R41" i="185"/>
  <c r="S41" i="185"/>
  <c r="T41" i="185"/>
  <c r="U41" i="185"/>
  <c r="V41" i="185"/>
  <c r="W41" i="185"/>
  <c r="X41" i="185"/>
  <c r="Y41" i="185"/>
  <c r="Q42" i="185"/>
  <c r="R42" i="185"/>
  <c r="S42" i="185"/>
  <c r="T42" i="185"/>
  <c r="U42" i="185"/>
  <c r="V42" i="185"/>
  <c r="W42" i="185"/>
  <c r="X42" i="185"/>
  <c r="Y42" i="185"/>
  <c r="Q43" i="185"/>
  <c r="R43" i="185"/>
  <c r="S43" i="185"/>
  <c r="T43" i="185"/>
  <c r="U43" i="185"/>
  <c r="V43" i="185"/>
  <c r="W43" i="185"/>
  <c r="X43" i="185"/>
  <c r="Y43" i="185"/>
  <c r="Q44" i="185"/>
  <c r="R44" i="185"/>
  <c r="S44" i="185"/>
  <c r="T44" i="185"/>
  <c r="U44" i="185"/>
  <c r="V44" i="185"/>
  <c r="W44" i="185"/>
  <c r="X44" i="185"/>
  <c r="Y44" i="185"/>
  <c r="Q45" i="185"/>
  <c r="R45" i="185"/>
  <c r="S45" i="185"/>
  <c r="T45" i="185"/>
  <c r="U45" i="185"/>
  <c r="V45" i="185"/>
  <c r="W45" i="185"/>
  <c r="X45" i="185"/>
  <c r="Y45" i="185"/>
  <c r="C14" i="184"/>
  <c r="C13" i="184"/>
  <c r="C12" i="184"/>
  <c r="F5" i="185"/>
  <c r="B7" i="185"/>
  <c r="B8" i="185"/>
  <c r="B9" i="185"/>
  <c r="B10" i="185"/>
  <c r="B11" i="185"/>
  <c r="B12" i="185"/>
  <c r="B13" i="185"/>
  <c r="B14" i="185"/>
  <c r="B15" i="185"/>
  <c r="B16" i="185"/>
  <c r="B17" i="185"/>
  <c r="B18" i="185"/>
  <c r="B19" i="185"/>
  <c r="B20" i="185"/>
  <c r="B21" i="185"/>
  <c r="B22" i="185"/>
  <c r="B23" i="185"/>
  <c r="B24" i="185"/>
  <c r="B25" i="185"/>
  <c r="B26" i="185"/>
  <c r="B27" i="185"/>
  <c r="B28" i="185"/>
  <c r="B29" i="185"/>
  <c r="B30" i="185"/>
  <c r="B31" i="185"/>
  <c r="B32" i="185"/>
  <c r="B33" i="185"/>
  <c r="B34" i="185"/>
  <c r="B35" i="185"/>
  <c r="B36" i="185"/>
  <c r="B37" i="185"/>
  <c r="B38" i="185"/>
  <c r="B39" i="185"/>
  <c r="B40" i="185"/>
  <c r="B41" i="185"/>
  <c r="B42" i="185"/>
  <c r="B43" i="185"/>
  <c r="B44" i="185"/>
  <c r="B45" i="185"/>
  <c r="B5" i="185"/>
  <c r="F7" i="185"/>
  <c r="G7" i="185"/>
  <c r="H7" i="185"/>
  <c r="I7" i="185"/>
  <c r="J7" i="185"/>
  <c r="K7" i="185"/>
  <c r="L7" i="185"/>
  <c r="M7" i="185"/>
  <c r="N7" i="185"/>
  <c r="O7" i="185"/>
  <c r="P7" i="185"/>
  <c r="F8" i="185"/>
  <c r="G8" i="185"/>
  <c r="H8" i="185"/>
  <c r="I8" i="185"/>
  <c r="J8" i="185"/>
  <c r="K8" i="185"/>
  <c r="L8" i="185"/>
  <c r="M8" i="185"/>
  <c r="N8" i="185"/>
  <c r="O8" i="185"/>
  <c r="P8" i="185"/>
  <c r="F9" i="185"/>
  <c r="G9" i="185"/>
  <c r="H9" i="185"/>
  <c r="I9" i="185"/>
  <c r="J9" i="185"/>
  <c r="K9" i="185"/>
  <c r="L9" i="185"/>
  <c r="M9" i="185"/>
  <c r="N9" i="185"/>
  <c r="O9" i="185"/>
  <c r="P9" i="185"/>
  <c r="F10" i="185"/>
  <c r="G10" i="185"/>
  <c r="H10" i="185"/>
  <c r="I10" i="185"/>
  <c r="J10" i="185"/>
  <c r="K10" i="185"/>
  <c r="L10" i="185"/>
  <c r="M10" i="185"/>
  <c r="N10" i="185"/>
  <c r="O10" i="185"/>
  <c r="P10" i="185"/>
  <c r="F11" i="185"/>
  <c r="G11" i="185"/>
  <c r="H11" i="185"/>
  <c r="I11" i="185"/>
  <c r="J11" i="185"/>
  <c r="K11" i="185"/>
  <c r="L11" i="185"/>
  <c r="M11" i="185"/>
  <c r="N11" i="185"/>
  <c r="O11" i="185"/>
  <c r="P11" i="185"/>
  <c r="F12" i="185"/>
  <c r="G12" i="185"/>
  <c r="H12" i="185"/>
  <c r="I12" i="185"/>
  <c r="J12" i="185"/>
  <c r="K12" i="185"/>
  <c r="L12" i="185"/>
  <c r="M12" i="185"/>
  <c r="N12" i="185"/>
  <c r="O12" i="185"/>
  <c r="P12" i="185"/>
  <c r="F13" i="185"/>
  <c r="G13" i="185"/>
  <c r="H13" i="185"/>
  <c r="I13" i="185"/>
  <c r="J13" i="185"/>
  <c r="K13" i="185"/>
  <c r="L13" i="185"/>
  <c r="M13" i="185"/>
  <c r="N13" i="185"/>
  <c r="O13" i="185"/>
  <c r="P13" i="185"/>
  <c r="F14" i="185"/>
  <c r="G14" i="185"/>
  <c r="H14" i="185"/>
  <c r="I14" i="185"/>
  <c r="J14" i="185"/>
  <c r="K14" i="185"/>
  <c r="L14" i="185"/>
  <c r="M14" i="185"/>
  <c r="N14" i="185"/>
  <c r="O14" i="185"/>
  <c r="P14" i="185"/>
  <c r="F15" i="185"/>
  <c r="G15" i="185"/>
  <c r="H15" i="185"/>
  <c r="I15" i="185"/>
  <c r="J15" i="185"/>
  <c r="K15" i="185"/>
  <c r="L15" i="185"/>
  <c r="M15" i="185"/>
  <c r="N15" i="185"/>
  <c r="O15" i="185"/>
  <c r="P15" i="185"/>
  <c r="F16" i="185"/>
  <c r="G16" i="185"/>
  <c r="H16" i="185"/>
  <c r="I16" i="185"/>
  <c r="J16" i="185"/>
  <c r="K16" i="185"/>
  <c r="L16" i="185"/>
  <c r="M16" i="185"/>
  <c r="N16" i="185"/>
  <c r="O16" i="185"/>
  <c r="P16" i="185"/>
  <c r="F17" i="185"/>
  <c r="G17" i="185"/>
  <c r="H17" i="185"/>
  <c r="I17" i="185"/>
  <c r="J17" i="185"/>
  <c r="K17" i="185"/>
  <c r="L17" i="185"/>
  <c r="M17" i="185"/>
  <c r="N17" i="185"/>
  <c r="O17" i="185"/>
  <c r="P17" i="185"/>
  <c r="F18" i="185"/>
  <c r="G18" i="185"/>
  <c r="H18" i="185"/>
  <c r="I18" i="185"/>
  <c r="J18" i="185"/>
  <c r="K18" i="185"/>
  <c r="L18" i="185"/>
  <c r="M18" i="185"/>
  <c r="N18" i="185"/>
  <c r="O18" i="185"/>
  <c r="P18" i="185"/>
  <c r="F19" i="185"/>
  <c r="G19" i="185"/>
  <c r="H19" i="185"/>
  <c r="I19" i="185"/>
  <c r="J19" i="185"/>
  <c r="K19" i="185"/>
  <c r="L19" i="185"/>
  <c r="M19" i="185"/>
  <c r="N19" i="185"/>
  <c r="O19" i="185"/>
  <c r="P19" i="185"/>
  <c r="F20" i="185"/>
  <c r="G20" i="185"/>
  <c r="H20" i="185"/>
  <c r="I20" i="185"/>
  <c r="J20" i="185"/>
  <c r="K20" i="185"/>
  <c r="L20" i="185"/>
  <c r="M20" i="185"/>
  <c r="N20" i="185"/>
  <c r="O20" i="185"/>
  <c r="P20" i="185"/>
  <c r="F21" i="185"/>
  <c r="G21" i="185"/>
  <c r="H21" i="185"/>
  <c r="I21" i="185"/>
  <c r="J21" i="185"/>
  <c r="K21" i="185"/>
  <c r="L21" i="185"/>
  <c r="M21" i="185"/>
  <c r="N21" i="185"/>
  <c r="O21" i="185"/>
  <c r="P21" i="185"/>
  <c r="F22" i="185"/>
  <c r="G22" i="185"/>
  <c r="H22" i="185"/>
  <c r="I22" i="185"/>
  <c r="J22" i="185"/>
  <c r="K22" i="185"/>
  <c r="L22" i="185"/>
  <c r="M22" i="185"/>
  <c r="N22" i="185"/>
  <c r="O22" i="185"/>
  <c r="P22" i="185"/>
  <c r="F23" i="185"/>
  <c r="G23" i="185"/>
  <c r="H23" i="185"/>
  <c r="I23" i="185"/>
  <c r="J23" i="185"/>
  <c r="K23" i="185"/>
  <c r="L23" i="185"/>
  <c r="M23" i="185"/>
  <c r="N23" i="185"/>
  <c r="O23" i="185"/>
  <c r="P23" i="185"/>
  <c r="F24" i="185"/>
  <c r="G24" i="185"/>
  <c r="H24" i="185"/>
  <c r="I24" i="185"/>
  <c r="J24" i="185"/>
  <c r="K24" i="185"/>
  <c r="L24" i="185"/>
  <c r="M24" i="185"/>
  <c r="N24" i="185"/>
  <c r="O24" i="185"/>
  <c r="P24" i="185"/>
  <c r="F25" i="185"/>
  <c r="G25" i="185"/>
  <c r="H25" i="185"/>
  <c r="I25" i="185"/>
  <c r="J25" i="185"/>
  <c r="K25" i="185"/>
  <c r="L25" i="185"/>
  <c r="M25" i="185"/>
  <c r="N25" i="185"/>
  <c r="O25" i="185"/>
  <c r="P25" i="185"/>
  <c r="F26" i="185"/>
  <c r="G26" i="185"/>
  <c r="H26" i="185"/>
  <c r="I26" i="185"/>
  <c r="J26" i="185"/>
  <c r="K26" i="185"/>
  <c r="L26" i="185"/>
  <c r="M26" i="185"/>
  <c r="N26" i="185"/>
  <c r="O26" i="185"/>
  <c r="P26" i="185"/>
  <c r="F27" i="185"/>
  <c r="G27" i="185"/>
  <c r="H27" i="185"/>
  <c r="I27" i="185"/>
  <c r="J27" i="185"/>
  <c r="K27" i="185"/>
  <c r="L27" i="185"/>
  <c r="M27" i="185"/>
  <c r="N27" i="185"/>
  <c r="O27" i="185"/>
  <c r="P27" i="185"/>
  <c r="F28" i="185"/>
  <c r="G28" i="185"/>
  <c r="H28" i="185"/>
  <c r="I28" i="185"/>
  <c r="J28" i="185"/>
  <c r="K28" i="185"/>
  <c r="L28" i="185"/>
  <c r="M28" i="185"/>
  <c r="N28" i="185"/>
  <c r="O28" i="185"/>
  <c r="P28" i="185"/>
  <c r="F29" i="185"/>
  <c r="G29" i="185"/>
  <c r="H29" i="185"/>
  <c r="I29" i="185"/>
  <c r="J29" i="185"/>
  <c r="K29" i="185"/>
  <c r="L29" i="185"/>
  <c r="M29" i="185"/>
  <c r="N29" i="185"/>
  <c r="O29" i="185"/>
  <c r="P29" i="185"/>
  <c r="F30" i="185"/>
  <c r="G30" i="185"/>
  <c r="H30" i="185"/>
  <c r="I30" i="185"/>
  <c r="J30" i="185"/>
  <c r="K30" i="185"/>
  <c r="L30" i="185"/>
  <c r="M30" i="185"/>
  <c r="N30" i="185"/>
  <c r="O30" i="185"/>
  <c r="P30" i="185"/>
  <c r="F31" i="185"/>
  <c r="G31" i="185"/>
  <c r="H31" i="185"/>
  <c r="I31" i="185"/>
  <c r="J31" i="185"/>
  <c r="K31" i="185"/>
  <c r="L31" i="185"/>
  <c r="M31" i="185"/>
  <c r="N31" i="185"/>
  <c r="O31" i="185"/>
  <c r="P31" i="185"/>
  <c r="F32" i="185"/>
  <c r="G32" i="185"/>
  <c r="H32" i="185"/>
  <c r="I32" i="185"/>
  <c r="J32" i="185"/>
  <c r="K32" i="185"/>
  <c r="L32" i="185"/>
  <c r="M32" i="185"/>
  <c r="N32" i="185"/>
  <c r="O32" i="185"/>
  <c r="P32" i="185"/>
  <c r="F33" i="185"/>
  <c r="G33" i="185"/>
  <c r="K33" i="185"/>
  <c r="L33" i="185"/>
  <c r="M33" i="185"/>
  <c r="N33" i="185"/>
  <c r="O33" i="185"/>
  <c r="P33" i="185"/>
  <c r="F34" i="185"/>
  <c r="G34" i="185"/>
  <c r="H34" i="185"/>
  <c r="I34" i="185"/>
  <c r="J34" i="185"/>
  <c r="K34" i="185"/>
  <c r="L34" i="185"/>
  <c r="M34" i="185"/>
  <c r="N34" i="185"/>
  <c r="O34" i="185"/>
  <c r="P34" i="185"/>
  <c r="F35" i="185"/>
  <c r="G35" i="185"/>
  <c r="H35" i="185"/>
  <c r="I35" i="185"/>
  <c r="J35" i="185"/>
  <c r="K35" i="185"/>
  <c r="L35" i="185"/>
  <c r="M35" i="185"/>
  <c r="N35" i="185"/>
  <c r="O35" i="185"/>
  <c r="P35" i="185"/>
  <c r="F36" i="185"/>
  <c r="G36" i="185"/>
  <c r="H36" i="185"/>
  <c r="I36" i="185"/>
  <c r="J36" i="185"/>
  <c r="K36" i="185"/>
  <c r="L36" i="185"/>
  <c r="M36" i="185"/>
  <c r="N36" i="185"/>
  <c r="O36" i="185"/>
  <c r="P36" i="185"/>
  <c r="F37" i="185"/>
  <c r="G37" i="185"/>
  <c r="H37" i="185"/>
  <c r="I37" i="185"/>
  <c r="J37" i="185"/>
  <c r="K37" i="185"/>
  <c r="L37" i="185"/>
  <c r="M37" i="185"/>
  <c r="N37" i="185"/>
  <c r="O37" i="185"/>
  <c r="P37" i="185"/>
  <c r="F38" i="185"/>
  <c r="G38" i="185"/>
  <c r="H38" i="185"/>
  <c r="I38" i="185"/>
  <c r="J38" i="185"/>
  <c r="K38" i="185"/>
  <c r="L38" i="185"/>
  <c r="M38" i="185"/>
  <c r="N38" i="185"/>
  <c r="O38" i="185"/>
  <c r="P38" i="185"/>
  <c r="F39" i="185"/>
  <c r="G39" i="185"/>
  <c r="H39" i="185"/>
  <c r="I39" i="185"/>
  <c r="J39" i="185"/>
  <c r="K39" i="185"/>
  <c r="L39" i="185"/>
  <c r="M39" i="185"/>
  <c r="N39" i="185"/>
  <c r="O39" i="185"/>
  <c r="P39" i="185"/>
  <c r="F40" i="185"/>
  <c r="G40" i="185"/>
  <c r="H40" i="185"/>
  <c r="I40" i="185"/>
  <c r="J40" i="185"/>
  <c r="K40" i="185"/>
  <c r="L40" i="185"/>
  <c r="M40" i="185"/>
  <c r="N40" i="185"/>
  <c r="O40" i="185"/>
  <c r="P40" i="185"/>
  <c r="F41" i="185"/>
  <c r="G41" i="185"/>
  <c r="H41" i="185"/>
  <c r="I41" i="185"/>
  <c r="J41" i="185"/>
  <c r="K41" i="185"/>
  <c r="L41" i="185"/>
  <c r="M41" i="185"/>
  <c r="N41" i="185"/>
  <c r="O41" i="185"/>
  <c r="P41" i="185"/>
  <c r="F42" i="185"/>
  <c r="G42" i="185"/>
  <c r="H42" i="185"/>
  <c r="I42" i="185"/>
  <c r="J42" i="185"/>
  <c r="K42" i="185"/>
  <c r="L42" i="185"/>
  <c r="M42" i="185"/>
  <c r="N42" i="185"/>
  <c r="O42" i="185"/>
  <c r="P42" i="185"/>
  <c r="F43" i="185"/>
  <c r="G43" i="185"/>
  <c r="H43" i="185"/>
  <c r="I43" i="185"/>
  <c r="J43" i="185"/>
  <c r="K43" i="185"/>
  <c r="L43" i="185"/>
  <c r="M43" i="185"/>
  <c r="N43" i="185"/>
  <c r="O43" i="185"/>
  <c r="P43" i="185"/>
  <c r="F44" i="185"/>
  <c r="G44" i="185"/>
  <c r="H44" i="185"/>
  <c r="I44" i="185"/>
  <c r="J44" i="185"/>
  <c r="K44" i="185"/>
  <c r="L44" i="185"/>
  <c r="M44" i="185"/>
  <c r="N44" i="185"/>
  <c r="O44" i="185"/>
  <c r="P44" i="185"/>
  <c r="G45" i="185"/>
  <c r="H45" i="185"/>
  <c r="I45" i="185"/>
  <c r="J45" i="185"/>
  <c r="K45" i="185"/>
  <c r="L45" i="185"/>
  <c r="M45" i="185"/>
  <c r="N45" i="185"/>
  <c r="O45" i="185"/>
  <c r="P45" i="185"/>
  <c r="G5" i="185"/>
  <c r="H5" i="185"/>
  <c r="I5" i="185"/>
  <c r="J5" i="185"/>
  <c r="K5" i="185"/>
  <c r="L5" i="185"/>
  <c r="M5" i="185"/>
  <c r="N5" i="185"/>
  <c r="O5" i="185"/>
  <c r="P5" i="185"/>
  <c r="G4" i="185"/>
  <c r="H4" i="185"/>
  <c r="I4" i="185"/>
  <c r="J4" i="185"/>
  <c r="K4" i="185"/>
  <c r="L4" i="185"/>
  <c r="M4" i="185"/>
  <c r="N4" i="185"/>
  <c r="O4" i="185"/>
  <c r="P4" i="185"/>
  <c r="C5" i="185"/>
  <c r="D5" i="185"/>
  <c r="C7" i="185"/>
  <c r="D7" i="185"/>
  <c r="C8" i="185"/>
  <c r="D8" i="185"/>
  <c r="C9" i="185"/>
  <c r="D9" i="185"/>
  <c r="C10" i="185"/>
  <c r="D10" i="185"/>
  <c r="C11" i="185"/>
  <c r="D11" i="185"/>
  <c r="C12" i="185"/>
  <c r="D12" i="185"/>
  <c r="C13" i="185"/>
  <c r="C14" i="185"/>
  <c r="D14" i="185"/>
  <c r="C15" i="185"/>
  <c r="D15" i="185"/>
  <c r="C16" i="185"/>
  <c r="D16" i="185"/>
  <c r="C17" i="185"/>
  <c r="D17" i="185"/>
  <c r="C18" i="185"/>
  <c r="D18" i="185"/>
  <c r="C19" i="185"/>
  <c r="D19" i="185"/>
  <c r="C20" i="185"/>
  <c r="D20" i="185"/>
  <c r="C21" i="185"/>
  <c r="D21" i="185"/>
  <c r="C22" i="185"/>
  <c r="D22" i="185"/>
  <c r="C23" i="185"/>
  <c r="D23" i="185"/>
  <c r="C24" i="185"/>
  <c r="D24" i="185"/>
  <c r="C25" i="185"/>
  <c r="D25" i="185"/>
  <c r="C26" i="185"/>
  <c r="D26" i="185"/>
  <c r="C27" i="185"/>
  <c r="D27" i="185"/>
  <c r="C28" i="185"/>
  <c r="D28" i="185"/>
  <c r="C29" i="185"/>
  <c r="D29" i="185"/>
  <c r="C30" i="185"/>
  <c r="D30" i="185"/>
  <c r="C31" i="185"/>
  <c r="D31" i="185"/>
  <c r="C32" i="185"/>
  <c r="D32" i="185"/>
  <c r="C33" i="185"/>
  <c r="D33" i="185"/>
  <c r="C34" i="185"/>
  <c r="D34" i="185"/>
  <c r="C35" i="185"/>
  <c r="D35" i="185"/>
  <c r="C36" i="185"/>
  <c r="D36" i="185"/>
  <c r="C37" i="185"/>
  <c r="D37" i="185"/>
  <c r="C38" i="185"/>
  <c r="D38" i="185"/>
  <c r="C39" i="185"/>
  <c r="D39" i="185"/>
  <c r="C40" i="185"/>
  <c r="D40" i="185"/>
  <c r="C41" i="185"/>
  <c r="D41" i="185"/>
  <c r="C42" i="185"/>
  <c r="D42" i="185"/>
  <c r="C43" i="185"/>
  <c r="D43" i="185"/>
  <c r="C44" i="185"/>
  <c r="D44" i="185"/>
  <c r="C45" i="185"/>
  <c r="D45" i="185"/>
  <c r="D4" i="185"/>
  <c r="C4" i="185"/>
  <c r="DN14" i="185" l="1"/>
  <c r="EP14" i="185"/>
  <c r="DO14" i="185"/>
  <c r="EQ14" i="185"/>
  <c r="DP14" i="185"/>
  <c r="ER14" i="185"/>
  <c r="DQ14" i="185"/>
  <c r="ES14" i="185"/>
  <c r="ED14" i="185"/>
  <c r="FF14" i="185"/>
  <c r="DU14" i="185"/>
  <c r="FB14" i="185"/>
  <c r="DZ14" i="185"/>
  <c r="DV14" i="185"/>
  <c r="FC14" i="185"/>
  <c r="DW14" i="185"/>
  <c r="FD14" i="185"/>
  <c r="DX14" i="185"/>
  <c r="FE14" i="185"/>
  <c r="DY14" i="185"/>
  <c r="FG14" i="185"/>
  <c r="EA14" i="185"/>
  <c r="EL14" i="185"/>
  <c r="IP14" i="185" s="1"/>
  <c r="DT14" i="185"/>
  <c r="EB14" i="185"/>
  <c r="EC14" i="185"/>
  <c r="EE14" i="185"/>
  <c r="EG14" i="185"/>
  <c r="EI14" i="185"/>
  <c r="EJ14" i="185"/>
  <c r="EF14" i="185"/>
  <c r="EH14" i="185"/>
  <c r="EK14" i="185"/>
  <c r="EM14" i="185"/>
  <c r="EN14" i="185"/>
  <c r="EO14" i="185"/>
  <c r="IT14" i="185" s="1"/>
  <c r="ET14" i="185"/>
  <c r="IY14" i="185" s="1"/>
  <c r="EU14" i="185"/>
  <c r="EW14" i="185"/>
  <c r="EX14" i="185"/>
  <c r="EY14" i="185"/>
  <c r="DM14" i="185"/>
  <c r="HR14" i="185" s="1"/>
  <c r="DL14" i="185"/>
  <c r="DH14" i="185"/>
  <c r="HL14" i="185" s="1"/>
  <c r="DI14" i="185"/>
  <c r="DJ14" i="185"/>
  <c r="DK14" i="185"/>
  <c r="HP14" i="185" s="1"/>
  <c r="DR14" i="185"/>
  <c r="DS14" i="185"/>
  <c r="EV14" i="185"/>
  <c r="EZ14" i="185"/>
  <c r="FA14" i="185"/>
  <c r="EA39" i="185"/>
  <c r="FC39" i="185"/>
  <c r="EB39" i="185"/>
  <c r="FD39" i="185"/>
  <c r="JI39" i="185" s="1"/>
  <c r="EC39" i="185"/>
  <c r="FE39" i="185"/>
  <c r="ED39" i="185"/>
  <c r="FF39" i="185"/>
  <c r="EE39" i="185"/>
  <c r="FG39" i="185"/>
  <c r="EG39" i="185"/>
  <c r="DO39" i="185"/>
  <c r="EQ39" i="185"/>
  <c r="DM39" i="185"/>
  <c r="EW39" i="185"/>
  <c r="DS39" i="185"/>
  <c r="DN39" i="185"/>
  <c r="EX39" i="185"/>
  <c r="DP39" i="185"/>
  <c r="EY39" i="185"/>
  <c r="DU39" i="185"/>
  <c r="DV39" i="185"/>
  <c r="DW39" i="185"/>
  <c r="DQ39" i="185"/>
  <c r="EZ39" i="185"/>
  <c r="DR39" i="185"/>
  <c r="FB39" i="185"/>
  <c r="FA39" i="185"/>
  <c r="JF39" i="185" s="1"/>
  <c r="DT39" i="185"/>
  <c r="EF39" i="185"/>
  <c r="EH39" i="185"/>
  <c r="EJ39" i="185"/>
  <c r="EK39" i="185"/>
  <c r="DK39" i="185"/>
  <c r="DL39" i="185"/>
  <c r="EM39" i="185"/>
  <c r="EN39" i="185"/>
  <c r="ES39" i="185"/>
  <c r="DX39" i="185"/>
  <c r="EI39" i="185"/>
  <c r="EO39" i="185"/>
  <c r="DY39" i="185"/>
  <c r="DZ39" i="185"/>
  <c r="EL39" i="185"/>
  <c r="IQ39" i="185" s="1"/>
  <c r="EV39" i="185"/>
  <c r="JA39" i="185" s="1"/>
  <c r="ET39" i="185"/>
  <c r="EP39" i="185"/>
  <c r="ER39" i="185"/>
  <c r="EU39" i="185"/>
  <c r="DH39" i="185"/>
  <c r="DI39" i="185"/>
  <c r="DJ39" i="185"/>
  <c r="EH12" i="185"/>
  <c r="EI12" i="185"/>
  <c r="DH12" i="185"/>
  <c r="EJ12" i="185"/>
  <c r="DI12" i="185"/>
  <c r="EK12" i="185"/>
  <c r="IP12" i="185" s="1"/>
  <c r="DV12" i="185"/>
  <c r="EX12" i="185"/>
  <c r="DU12" i="185"/>
  <c r="FC12" i="185"/>
  <c r="EA12" i="185"/>
  <c r="DW12" i="185"/>
  <c r="FD12" i="185"/>
  <c r="JH12" i="185" s="1"/>
  <c r="DX12" i="185"/>
  <c r="FE12" i="185"/>
  <c r="DY12" i="185"/>
  <c r="FF12" i="185"/>
  <c r="DZ12" i="185"/>
  <c r="FG12" i="185"/>
  <c r="EB12" i="185"/>
  <c r="IG12" i="185" s="1"/>
  <c r="EP12" i="185"/>
  <c r="EF12" i="185"/>
  <c r="ES12" i="185"/>
  <c r="EG12" i="185"/>
  <c r="EO12" i="185"/>
  <c r="EL12" i="185"/>
  <c r="EM12" i="185"/>
  <c r="EN12" i="185"/>
  <c r="EQ12" i="185"/>
  <c r="ER12" i="185"/>
  <c r="ET12" i="185"/>
  <c r="EU12" i="185"/>
  <c r="EV12" i="185"/>
  <c r="EW12" i="185"/>
  <c r="EY12" i="185"/>
  <c r="DJ12" i="185"/>
  <c r="EZ12" i="185"/>
  <c r="DL12" i="185"/>
  <c r="FB12" i="185"/>
  <c r="DM12" i="185"/>
  <c r="DN12" i="185"/>
  <c r="DS12" i="185"/>
  <c r="DT12" i="185"/>
  <c r="HY12" i="185" s="1"/>
  <c r="DK12" i="185"/>
  <c r="DO12" i="185"/>
  <c r="DP12" i="185"/>
  <c r="DQ12" i="185"/>
  <c r="DR12" i="185"/>
  <c r="ED12" i="185"/>
  <c r="IH12" i="185" s="1"/>
  <c r="EE12" i="185"/>
  <c r="EC12" i="185"/>
  <c r="FA12" i="185"/>
  <c r="EA25" i="185"/>
  <c r="FC25" i="185"/>
  <c r="EB25" i="185"/>
  <c r="FD25" i="185"/>
  <c r="EC25" i="185"/>
  <c r="FE25" i="185"/>
  <c r="ED25" i="185"/>
  <c r="FF25" i="185"/>
  <c r="EE25" i="185"/>
  <c r="FG25" i="185"/>
  <c r="EG25" i="185"/>
  <c r="DO25" i="185"/>
  <c r="EQ25" i="185"/>
  <c r="EH25" i="185"/>
  <c r="EM25" i="185"/>
  <c r="EO25" i="185"/>
  <c r="EI25" i="185"/>
  <c r="EJ25" i="185"/>
  <c r="EK25" i="185"/>
  <c r="EP25" i="185"/>
  <c r="EL25" i="185"/>
  <c r="IQ25" i="185" s="1"/>
  <c r="EN25" i="185"/>
  <c r="DH25" i="185"/>
  <c r="ER25" i="185"/>
  <c r="DL25" i="185"/>
  <c r="EV25" i="185"/>
  <c r="DM25" i="185"/>
  <c r="EW25" i="185"/>
  <c r="DP25" i="185"/>
  <c r="EY25" i="185"/>
  <c r="DQ25" i="185"/>
  <c r="EZ25" i="185"/>
  <c r="DR25" i="185"/>
  <c r="FA25" i="185"/>
  <c r="DY25" i="185"/>
  <c r="DN25" i="185"/>
  <c r="DZ25" i="185"/>
  <c r="IE25" i="185" s="1"/>
  <c r="EU25" i="185"/>
  <c r="EF25" i="185"/>
  <c r="ES25" i="185"/>
  <c r="ET25" i="185"/>
  <c r="EX25" i="185"/>
  <c r="FB25" i="185"/>
  <c r="DI25" i="185"/>
  <c r="DJ25" i="185"/>
  <c r="DK25" i="185"/>
  <c r="DT25" i="185"/>
  <c r="DW25" i="185"/>
  <c r="DS25" i="185"/>
  <c r="DU25" i="185"/>
  <c r="DV25" i="185"/>
  <c r="DX25" i="185"/>
  <c r="ED11" i="185"/>
  <c r="FF11" i="185"/>
  <c r="EE11" i="185"/>
  <c r="FG11" i="185"/>
  <c r="EF11" i="185"/>
  <c r="EG11" i="185"/>
  <c r="EH11" i="185"/>
  <c r="DR11" i="185"/>
  <c r="ET11" i="185"/>
  <c r="EN11" i="185"/>
  <c r="DK11" i="185"/>
  <c r="EO11" i="185"/>
  <c r="DH11" i="185"/>
  <c r="EP11" i="185"/>
  <c r="DI11" i="185"/>
  <c r="EQ11" i="185"/>
  <c r="ES11" i="185"/>
  <c r="DJ11" i="185"/>
  <c r="ER11" i="185"/>
  <c r="DL11" i="185"/>
  <c r="EU11" i="185"/>
  <c r="DW11" i="185"/>
  <c r="FE11" i="185"/>
  <c r="EI11" i="185"/>
  <c r="EJ11" i="185"/>
  <c r="EX11" i="185"/>
  <c r="EK11" i="185"/>
  <c r="EV11" i="185"/>
  <c r="EL11" i="185"/>
  <c r="EM11" i="185"/>
  <c r="EW11" i="185"/>
  <c r="EY11" i="185"/>
  <c r="EZ11" i="185"/>
  <c r="FA11" i="185"/>
  <c r="FB11" i="185"/>
  <c r="FC11" i="185"/>
  <c r="DM11" i="185"/>
  <c r="FD11" i="185"/>
  <c r="DN11" i="185"/>
  <c r="DP11" i="185"/>
  <c r="DQ11" i="185"/>
  <c r="DS11" i="185"/>
  <c r="EB11" i="185"/>
  <c r="EC11" i="185"/>
  <c r="DU11" i="185"/>
  <c r="DO11" i="185"/>
  <c r="DT11" i="185"/>
  <c r="DV11" i="185"/>
  <c r="HZ11" i="185" s="1"/>
  <c r="DX11" i="185"/>
  <c r="DY11" i="185"/>
  <c r="DZ11" i="185"/>
  <c r="EA11" i="185"/>
  <c r="EE26" i="185"/>
  <c r="IJ26" i="185" s="1"/>
  <c r="FG26" i="185"/>
  <c r="EF26" i="185"/>
  <c r="EG26" i="185"/>
  <c r="EH26" i="185"/>
  <c r="EI26" i="185"/>
  <c r="IN26" i="185" s="1"/>
  <c r="DI26" i="185"/>
  <c r="EK26" i="185"/>
  <c r="IP26" i="185" s="1"/>
  <c r="DS26" i="185"/>
  <c r="EU26" i="185"/>
  <c r="IZ26" i="185" s="1"/>
  <c r="DQ26" i="185"/>
  <c r="FA26" i="185"/>
  <c r="JE26" i="185" s="1"/>
  <c r="FF26" i="185"/>
  <c r="JJ26" i="185" s="1"/>
  <c r="IK26" i="185"/>
  <c r="DR26" i="185"/>
  <c r="FB26" i="185"/>
  <c r="DW26" i="185"/>
  <c r="DT26" i="185"/>
  <c r="FC26" i="185"/>
  <c r="DZ26" i="185"/>
  <c r="DU26" i="185"/>
  <c r="FD26" i="185"/>
  <c r="DY26" i="185"/>
  <c r="DV26" i="185"/>
  <c r="FE26" i="185"/>
  <c r="DX26" i="185"/>
  <c r="EA26" i="185"/>
  <c r="EJ26" i="185"/>
  <c r="EL26" i="185"/>
  <c r="EN26" i="185"/>
  <c r="EO26" i="185"/>
  <c r="EP26" i="185"/>
  <c r="EZ26" i="185"/>
  <c r="DO26" i="185"/>
  <c r="DJ26" i="185"/>
  <c r="DH26" i="185"/>
  <c r="HL26" i="185" s="1"/>
  <c r="DN26" i="185"/>
  <c r="DK26" i="185"/>
  <c r="HO26" i="185" s="1"/>
  <c r="DL26" i="185"/>
  <c r="DP26" i="185"/>
  <c r="HU26" i="185" s="1"/>
  <c r="DM26" i="185"/>
  <c r="EB26" i="185"/>
  <c r="EC26" i="185"/>
  <c r="ED26" i="185"/>
  <c r="EM26" i="185"/>
  <c r="EQ26" i="185"/>
  <c r="ER26" i="185"/>
  <c r="EX26" i="185"/>
  <c r="ES26" i="185"/>
  <c r="EY26" i="185"/>
  <c r="EV26" i="185"/>
  <c r="EW26" i="185"/>
  <c r="ET26" i="185"/>
  <c r="EI41" i="185"/>
  <c r="DH41" i="185"/>
  <c r="HL41" i="185" s="1"/>
  <c r="EJ41" i="185"/>
  <c r="DI41" i="185"/>
  <c r="EK41" i="185"/>
  <c r="DJ41" i="185"/>
  <c r="EL41" i="185"/>
  <c r="DK41" i="185"/>
  <c r="EM41" i="185"/>
  <c r="DM41" i="185"/>
  <c r="EO41" i="185"/>
  <c r="DW41" i="185"/>
  <c r="EY41" i="185"/>
  <c r="DU41" i="185"/>
  <c r="FE41" i="185"/>
  <c r="DV41" i="185"/>
  <c r="IA41" i="185" s="1"/>
  <c r="FF41" i="185"/>
  <c r="JJ41" i="185" s="1"/>
  <c r="EA41" i="185"/>
  <c r="DX41" i="185"/>
  <c r="FG41" i="185"/>
  <c r="EC41" i="185"/>
  <c r="ED41" i="185"/>
  <c r="II41" i="185" s="1"/>
  <c r="DY41" i="185"/>
  <c r="DZ41" i="185"/>
  <c r="EB41" i="185"/>
  <c r="EE41" i="185"/>
  <c r="EN41" i="185"/>
  <c r="EP41" i="185"/>
  <c r="ER41" i="185"/>
  <c r="ES41" i="185"/>
  <c r="FC41" i="185"/>
  <c r="FD41" i="185"/>
  <c r="DN41" i="185"/>
  <c r="DL41" i="185"/>
  <c r="DR41" i="185"/>
  <c r="DT41" i="185"/>
  <c r="DS41" i="185"/>
  <c r="EU41" i="185"/>
  <c r="DO41" i="185"/>
  <c r="DP41" i="185"/>
  <c r="DQ41" i="185"/>
  <c r="HV41" i="185" s="1"/>
  <c r="EF41" i="185"/>
  <c r="EG41" i="185"/>
  <c r="EH41" i="185"/>
  <c r="EQ41" i="185"/>
  <c r="ET41" i="185"/>
  <c r="EV41" i="185"/>
  <c r="EW41" i="185"/>
  <c r="EZ41" i="185"/>
  <c r="FB41" i="185"/>
  <c r="EX41" i="185"/>
  <c r="FA41" i="185"/>
  <c r="DJ13" i="185"/>
  <c r="EL13" i="185"/>
  <c r="DK13" i="185"/>
  <c r="HO13" i="185" s="1"/>
  <c r="EM13" i="185"/>
  <c r="DL13" i="185"/>
  <c r="EN13" i="185"/>
  <c r="DM13" i="185"/>
  <c r="EO13" i="185"/>
  <c r="DZ13" i="185"/>
  <c r="FB13" i="185"/>
  <c r="EJ13" i="185"/>
  <c r="EK13" i="185"/>
  <c r="IP13" i="185" s="1"/>
  <c r="ES13" i="185"/>
  <c r="EP13" i="185"/>
  <c r="DH13" i="185"/>
  <c r="HL13" i="185" s="1"/>
  <c r="EQ13" i="185"/>
  <c r="ER13" i="185"/>
  <c r="DI13" i="185"/>
  <c r="ET13" i="185"/>
  <c r="DW13" i="185"/>
  <c r="FE13" i="185"/>
  <c r="EA13" i="185"/>
  <c r="EF13" i="185"/>
  <c r="EB13" i="185"/>
  <c r="EC13" i="185"/>
  <c r="ED13" i="185"/>
  <c r="EE13" i="185"/>
  <c r="EG13" i="185"/>
  <c r="EH13" i="185"/>
  <c r="EI13" i="185"/>
  <c r="EU13" i="185"/>
  <c r="EV13" i="185"/>
  <c r="EW13" i="185"/>
  <c r="EX13" i="185"/>
  <c r="EY13" i="185"/>
  <c r="EZ13" i="185"/>
  <c r="FC13" i="185"/>
  <c r="DN13" i="185"/>
  <c r="FD13" i="185"/>
  <c r="DO13" i="185"/>
  <c r="FF13" i="185"/>
  <c r="DQ13" i="185"/>
  <c r="DV13" i="185"/>
  <c r="FG13" i="185"/>
  <c r="DR13" i="185"/>
  <c r="DS13" i="185"/>
  <c r="DT13" i="185"/>
  <c r="FA13" i="185"/>
  <c r="DU13" i="185"/>
  <c r="DY13" i="185"/>
  <c r="DX13" i="185"/>
  <c r="IC13" i="185" s="1"/>
  <c r="DP13" i="185"/>
  <c r="DK28" i="185"/>
  <c r="EM28" i="185"/>
  <c r="DL28" i="185"/>
  <c r="EN28" i="185"/>
  <c r="DM28" i="185"/>
  <c r="EO28" i="185"/>
  <c r="DN28" i="185"/>
  <c r="EP28" i="185"/>
  <c r="DO28" i="185"/>
  <c r="EQ28" i="185"/>
  <c r="DQ28" i="185"/>
  <c r="ES28" i="185"/>
  <c r="EA28" i="185"/>
  <c r="FC28" i="185"/>
  <c r="DY28" i="185"/>
  <c r="EE28" i="185"/>
  <c r="DZ28" i="185"/>
  <c r="EB28" i="185"/>
  <c r="EG28" i="185"/>
  <c r="EC28" i="185"/>
  <c r="EI28" i="185"/>
  <c r="ED28" i="185"/>
  <c r="EF28" i="185"/>
  <c r="EH28" i="185"/>
  <c r="ER28" i="185"/>
  <c r="ET28" i="185"/>
  <c r="EV28" i="185"/>
  <c r="DH28" i="185"/>
  <c r="HL28" i="185" s="1"/>
  <c r="EW28" i="185"/>
  <c r="DI28" i="185"/>
  <c r="EX28" i="185"/>
  <c r="EK28" i="185"/>
  <c r="FA28" i="185"/>
  <c r="FF28" i="185"/>
  <c r="EL28" i="185"/>
  <c r="FE28" i="185"/>
  <c r="EU28" i="185"/>
  <c r="FD28" i="185"/>
  <c r="EY28" i="185"/>
  <c r="EZ28" i="185"/>
  <c r="DS28" i="185"/>
  <c r="FB28" i="185"/>
  <c r="JG28" i="185" s="1"/>
  <c r="FG28" i="185"/>
  <c r="DJ28" i="185"/>
  <c r="DP28" i="185"/>
  <c r="DR28" i="185"/>
  <c r="DU28" i="185"/>
  <c r="DX28" i="185"/>
  <c r="DT28" i="185"/>
  <c r="DV28" i="185"/>
  <c r="EJ28" i="185"/>
  <c r="DW28" i="185"/>
  <c r="DK42" i="185"/>
  <c r="EM42" i="185"/>
  <c r="DL42" i="185"/>
  <c r="EN42" i="185"/>
  <c r="DM42" i="185"/>
  <c r="EO42" i="185"/>
  <c r="DN42" i="185"/>
  <c r="EP42" i="185"/>
  <c r="DO42" i="185"/>
  <c r="EQ42" i="185"/>
  <c r="DQ42" i="185"/>
  <c r="ES42" i="185"/>
  <c r="EA42" i="185"/>
  <c r="FC42" i="185"/>
  <c r="ET42" i="185"/>
  <c r="DJ42" i="185"/>
  <c r="DS42" i="185"/>
  <c r="EU42" i="185"/>
  <c r="EV42" i="185"/>
  <c r="EY42" i="185"/>
  <c r="DH42" i="185"/>
  <c r="EW42" i="185"/>
  <c r="EX42" i="185"/>
  <c r="FB42" i="185"/>
  <c r="FD42" i="185"/>
  <c r="DI42" i="185"/>
  <c r="FA42" i="185"/>
  <c r="JF42" i="185" s="1"/>
  <c r="DP42" i="185"/>
  <c r="EZ42" i="185"/>
  <c r="DR42" i="185"/>
  <c r="DT42" i="185"/>
  <c r="DX42" i="185"/>
  <c r="DY42" i="185"/>
  <c r="EB42" i="185"/>
  <c r="EC42" i="185"/>
  <c r="EF42" i="185"/>
  <c r="DU42" i="185"/>
  <c r="DZ42" i="185"/>
  <c r="ER42" i="185"/>
  <c r="DV42" i="185"/>
  <c r="DW42" i="185"/>
  <c r="EE42" i="185"/>
  <c r="EL42" i="185"/>
  <c r="ED42" i="185"/>
  <c r="EJ42" i="185"/>
  <c r="EG42" i="185"/>
  <c r="EH42" i="185"/>
  <c r="EI42" i="185"/>
  <c r="EK42" i="185"/>
  <c r="FE42" i="185"/>
  <c r="FF42" i="185"/>
  <c r="FG42" i="185"/>
  <c r="EI27" i="185"/>
  <c r="DH27" i="185"/>
  <c r="HL27" i="185" s="1"/>
  <c r="EJ27" i="185"/>
  <c r="DI27" i="185"/>
  <c r="EK27" i="185"/>
  <c r="IO27" i="185" s="1"/>
  <c r="DJ27" i="185"/>
  <c r="EL27" i="185"/>
  <c r="DK27" i="185"/>
  <c r="HP27" i="185" s="1"/>
  <c r="EM27" i="185"/>
  <c r="DM27" i="185"/>
  <c r="EO27" i="185"/>
  <c r="DW27" i="185"/>
  <c r="EY27" i="185"/>
  <c r="EP27" i="185"/>
  <c r="DO27" i="185"/>
  <c r="EQ27" i="185"/>
  <c r="EW27" i="185"/>
  <c r="EX27" i="185"/>
  <c r="ER27" i="185"/>
  <c r="DP27" i="185"/>
  <c r="ES27" i="185"/>
  <c r="EU27" i="185"/>
  <c r="ET27" i="185"/>
  <c r="DL27" i="185"/>
  <c r="EV27" i="185"/>
  <c r="DN27" i="185"/>
  <c r="EZ27" i="185"/>
  <c r="DT27" i="185"/>
  <c r="FD27" i="185"/>
  <c r="DU27" i="185"/>
  <c r="FE27" i="185"/>
  <c r="DX27" i="185"/>
  <c r="FG27" i="185"/>
  <c r="DY27" i="185"/>
  <c r="DZ27" i="185"/>
  <c r="IE27" i="185" s="1"/>
  <c r="EC27" i="185"/>
  <c r="IH27" i="185" s="1"/>
  <c r="EE27" i="185"/>
  <c r="DQ27" i="185"/>
  <c r="DR27" i="185"/>
  <c r="EA27" i="185"/>
  <c r="ED27" i="185"/>
  <c r="DS27" i="185"/>
  <c r="EN27" i="185"/>
  <c r="DV27" i="185"/>
  <c r="IA27" i="185" s="1"/>
  <c r="EB27" i="185"/>
  <c r="FA27" i="185"/>
  <c r="EH27" i="185"/>
  <c r="FB27" i="185"/>
  <c r="EF27" i="185"/>
  <c r="EG27" i="185"/>
  <c r="FC27" i="185"/>
  <c r="FF27" i="185"/>
  <c r="EE40" i="185"/>
  <c r="FG40" i="185"/>
  <c r="EF40" i="185"/>
  <c r="EG40" i="185"/>
  <c r="EH40" i="185"/>
  <c r="EI40" i="185"/>
  <c r="DI40" i="185"/>
  <c r="EK40" i="185"/>
  <c r="DS40" i="185"/>
  <c r="EU40" i="185"/>
  <c r="EL40" i="185"/>
  <c r="EV40" i="185"/>
  <c r="EM40" i="185"/>
  <c r="DJ40" i="185"/>
  <c r="ET40" i="185"/>
  <c r="DL40" i="185"/>
  <c r="EN40" i="185"/>
  <c r="EO40" i="185"/>
  <c r="EP40" i="185"/>
  <c r="ES40" i="185"/>
  <c r="DK40" i="185"/>
  <c r="EQ40" i="185"/>
  <c r="DH40" i="185"/>
  <c r="HL40" i="185" s="1"/>
  <c r="ER40" i="185"/>
  <c r="DP40" i="185"/>
  <c r="EZ40" i="185"/>
  <c r="DQ40" i="185"/>
  <c r="FA40" i="185"/>
  <c r="DT40" i="185"/>
  <c r="FC40" i="185"/>
  <c r="DU40" i="185"/>
  <c r="FD40" i="185"/>
  <c r="ED40" i="185"/>
  <c r="FF40" i="185"/>
  <c r="EJ40" i="185"/>
  <c r="IN40" i="185" s="1"/>
  <c r="FB40" i="185"/>
  <c r="IM40" i="185"/>
  <c r="EW40" i="185"/>
  <c r="EX40" i="185"/>
  <c r="EY40" i="185"/>
  <c r="FE40" i="185"/>
  <c r="DW40" i="185"/>
  <c r="DM40" i="185"/>
  <c r="DN40" i="185"/>
  <c r="DO40" i="185"/>
  <c r="DR40" i="185"/>
  <c r="DV40" i="185"/>
  <c r="EB40" i="185"/>
  <c r="EC40" i="185"/>
  <c r="DX40" i="185"/>
  <c r="DY40" i="185"/>
  <c r="IC40" i="185" s="1"/>
  <c r="DZ40" i="185"/>
  <c r="EA40" i="185"/>
  <c r="DS23" i="185"/>
  <c r="EU23" i="185"/>
  <c r="DT23" i="185"/>
  <c r="EV23" i="185"/>
  <c r="DU23" i="185"/>
  <c r="EW23" i="185"/>
  <c r="DV23" i="185"/>
  <c r="EX23" i="185"/>
  <c r="DW23" i="185"/>
  <c r="EY23" i="185"/>
  <c r="JD23" i="185" s="1"/>
  <c r="DY23" i="185"/>
  <c r="FA23" i="185"/>
  <c r="EI23" i="185"/>
  <c r="IN23" i="185" s="1"/>
  <c r="DZ23" i="185"/>
  <c r="EH23" i="185"/>
  <c r="IM23" i="185" s="1"/>
  <c r="EA23" i="185"/>
  <c r="EB23" i="185"/>
  <c r="EE23" i="185"/>
  <c r="EC23" i="185"/>
  <c r="ED23" i="185"/>
  <c r="EF23" i="185"/>
  <c r="EG23" i="185"/>
  <c r="EJ23" i="185"/>
  <c r="EN23" i="185"/>
  <c r="EO23" i="185"/>
  <c r="DH23" i="185"/>
  <c r="HL23" i="185" s="1"/>
  <c r="EQ23" i="185"/>
  <c r="DI23" i="185"/>
  <c r="ER23" i="185"/>
  <c r="DJ23" i="185"/>
  <c r="ES23" i="185"/>
  <c r="IX23" i="185" s="1"/>
  <c r="FD23" i="185"/>
  <c r="FE23" i="185"/>
  <c r="DO23" i="185"/>
  <c r="FF23" i="185"/>
  <c r="DL23" i="185"/>
  <c r="FG23" i="185"/>
  <c r="EL23" i="185"/>
  <c r="DN23" i="185"/>
  <c r="DK23" i="185"/>
  <c r="HO23" i="185" s="1"/>
  <c r="DM23" i="185"/>
  <c r="HR23" i="185" s="1"/>
  <c r="DP23" i="185"/>
  <c r="DQ23" i="185"/>
  <c r="DR23" i="185"/>
  <c r="DX23" i="185"/>
  <c r="EK23" i="185"/>
  <c r="FB23" i="185"/>
  <c r="FC23" i="185"/>
  <c r="EM23" i="185"/>
  <c r="EZ23" i="185"/>
  <c r="EP23" i="185"/>
  <c r="ET23" i="185"/>
  <c r="DQ8" i="185"/>
  <c r="ES8" i="185"/>
  <c r="DR8" i="185"/>
  <c r="ET8" i="185"/>
  <c r="DS8" i="185"/>
  <c r="EU8" i="185"/>
  <c r="DT8" i="185"/>
  <c r="EV8" i="185"/>
  <c r="DU8" i="185"/>
  <c r="EW8" i="185"/>
  <c r="EG8" i="185"/>
  <c r="DN8" i="185"/>
  <c r="FA8" i="185"/>
  <c r="DO8" i="185"/>
  <c r="FB8" i="185"/>
  <c r="DP8" i="185"/>
  <c r="FC8" i="185"/>
  <c r="FF8" i="185"/>
  <c r="DV8" i="185"/>
  <c r="FD8" i="185"/>
  <c r="DX8" i="185"/>
  <c r="DW8" i="185"/>
  <c r="FE8" i="185"/>
  <c r="DY8" i="185"/>
  <c r="FG8" i="185"/>
  <c r="EJ8" i="185"/>
  <c r="EM8" i="185"/>
  <c r="ER8" i="185"/>
  <c r="EN8" i="185"/>
  <c r="EO8" i="185"/>
  <c r="EP8" i="185"/>
  <c r="EQ8" i="185"/>
  <c r="EX8" i="185"/>
  <c r="EY8" i="185"/>
  <c r="EZ8" i="185"/>
  <c r="DH8" i="185"/>
  <c r="DI8" i="185"/>
  <c r="DJ8" i="185"/>
  <c r="DK8" i="185"/>
  <c r="DM8" i="185"/>
  <c r="DZ8" i="185"/>
  <c r="EA8" i="185"/>
  <c r="EE8" i="185"/>
  <c r="EF8" i="185"/>
  <c r="IK8" i="185" s="1"/>
  <c r="ED8" i="185"/>
  <c r="DL8" i="185"/>
  <c r="EB8" i="185"/>
  <c r="EC8" i="185"/>
  <c r="EH8" i="185"/>
  <c r="EI8" i="185"/>
  <c r="EK8" i="185"/>
  <c r="EL8" i="185"/>
  <c r="DZ10" i="185"/>
  <c r="FB10" i="185"/>
  <c r="EA10" i="185"/>
  <c r="FC10" i="185"/>
  <c r="EB10" i="185"/>
  <c r="FD10" i="185"/>
  <c r="EC10" i="185"/>
  <c r="FE10" i="185"/>
  <c r="ED10" i="185"/>
  <c r="FF10" i="185"/>
  <c r="DN10" i="185"/>
  <c r="EP10" i="185"/>
  <c r="DS10" i="185"/>
  <c r="FA10" i="185"/>
  <c r="DX10" i="185"/>
  <c r="DT10" i="185"/>
  <c r="FG10" i="185"/>
  <c r="DU10" i="185"/>
  <c r="HY10" i="185" s="1"/>
  <c r="DV10" i="185"/>
  <c r="DW10" i="185"/>
  <c r="DY10" i="185"/>
  <c r="EN10" i="185"/>
  <c r="EL10" i="185"/>
  <c r="ES10" i="185"/>
  <c r="EM10" i="185"/>
  <c r="EO10" i="185"/>
  <c r="EU10" i="185"/>
  <c r="EQ10" i="185"/>
  <c r="ER10" i="185"/>
  <c r="ET10" i="185"/>
  <c r="EV10" i="185"/>
  <c r="EW10" i="185"/>
  <c r="EX10" i="185"/>
  <c r="DH10" i="185"/>
  <c r="HL10" i="185" s="1"/>
  <c r="EY10" i="185"/>
  <c r="DI10" i="185"/>
  <c r="EZ10" i="185"/>
  <c r="DJ10" i="185"/>
  <c r="DK10" i="185"/>
  <c r="DM10" i="185"/>
  <c r="DO10" i="185"/>
  <c r="DP10" i="185"/>
  <c r="EF10" i="185"/>
  <c r="EG10" i="185"/>
  <c r="EH10" i="185"/>
  <c r="EK10" i="185"/>
  <c r="EI10" i="185"/>
  <c r="EJ10" i="185"/>
  <c r="IO10" i="185" s="1"/>
  <c r="DQ10" i="185"/>
  <c r="DL10" i="185"/>
  <c r="DR10" i="185"/>
  <c r="EE10" i="185"/>
  <c r="IT6" i="185"/>
  <c r="DI6" i="185"/>
  <c r="HM6" i="185" s="1"/>
  <c r="EK6" i="185"/>
  <c r="IO6" i="185" s="1"/>
  <c r="DJ6" i="185"/>
  <c r="HN6" i="185" s="1"/>
  <c r="EL6" i="185"/>
  <c r="IP6" i="185" s="1"/>
  <c r="DK6" i="185"/>
  <c r="HO6" i="185" s="1"/>
  <c r="EM6" i="185"/>
  <c r="IQ6" i="185" s="1"/>
  <c r="DL6" i="185"/>
  <c r="HP6" i="185" s="1"/>
  <c r="EN6" i="185"/>
  <c r="IR6" i="185" s="1"/>
  <c r="DM6" i="185"/>
  <c r="HQ6" i="185" s="1"/>
  <c r="EO6" i="185"/>
  <c r="IS6" i="185" s="1"/>
  <c r="DO6" i="185"/>
  <c r="HS6" i="185" s="1"/>
  <c r="DY6" i="185"/>
  <c r="IC6" i="185" s="1"/>
  <c r="FA6" i="185"/>
  <c r="DN6" i="185"/>
  <c r="HR6" i="185" s="1"/>
  <c r="EW6" i="185"/>
  <c r="JA6" i="185" s="1"/>
  <c r="DP6" i="185"/>
  <c r="HT6" i="185" s="1"/>
  <c r="EX6" i="185"/>
  <c r="JB6" i="185" s="1"/>
  <c r="FC6" i="185"/>
  <c r="JG6" i="185" s="1"/>
  <c r="DQ6" i="185"/>
  <c r="HU6" i="185" s="1"/>
  <c r="EY6" i="185"/>
  <c r="JC6" i="185" s="1"/>
  <c r="DT6" i="185"/>
  <c r="HX6" i="185" s="1"/>
  <c r="DR6" i="185"/>
  <c r="HV6" i="185" s="1"/>
  <c r="EZ6" i="185"/>
  <c r="DS6" i="185"/>
  <c r="HW6" i="185" s="1"/>
  <c r="FB6" i="185"/>
  <c r="DU6" i="185"/>
  <c r="HY6" i="185" s="1"/>
  <c r="FD6" i="185"/>
  <c r="JH6" i="185" s="1"/>
  <c r="EF6" i="185"/>
  <c r="ER6" i="185"/>
  <c r="IV6" i="185" s="1"/>
  <c r="ES6" i="185"/>
  <c r="IW6" i="185" s="1"/>
  <c r="ET6" i="185"/>
  <c r="IX6" i="185" s="1"/>
  <c r="EU6" i="185"/>
  <c r="IY6" i="185" s="1"/>
  <c r="EV6" i="185"/>
  <c r="IZ6" i="185" s="1"/>
  <c r="FE6" i="185"/>
  <c r="JI6" i="185" s="1"/>
  <c r="FF6" i="185"/>
  <c r="JJ6" i="185" s="1"/>
  <c r="FG6" i="185"/>
  <c r="JK6" i="185" s="1"/>
  <c r="DH6" i="185"/>
  <c r="DV6" i="185"/>
  <c r="HZ6" i="185" s="1"/>
  <c r="DW6" i="185"/>
  <c r="IA6" i="185" s="1"/>
  <c r="DZ6" i="185"/>
  <c r="ID6" i="185" s="1"/>
  <c r="EA6" i="185"/>
  <c r="IE6" i="185" s="1"/>
  <c r="EB6" i="185"/>
  <c r="IF6" i="185" s="1"/>
  <c r="EQ6" i="185"/>
  <c r="IU6" i="185" s="1"/>
  <c r="ED6" i="185"/>
  <c r="EE6" i="185"/>
  <c r="II6" i="185" s="1"/>
  <c r="DX6" i="185"/>
  <c r="IB6" i="185" s="1"/>
  <c r="EC6" i="185"/>
  <c r="EG6" i="185"/>
  <c r="IK6" i="185" s="1"/>
  <c r="EH6" i="185"/>
  <c r="IL6" i="185" s="1"/>
  <c r="EI6" i="185"/>
  <c r="IM6" i="185" s="1"/>
  <c r="EJ6" i="185"/>
  <c r="IN6" i="185" s="1"/>
  <c r="EP6" i="185"/>
  <c r="DM7" i="185"/>
  <c r="EO7" i="185"/>
  <c r="DN7" i="185"/>
  <c r="EP7" i="185"/>
  <c r="DO7" i="185"/>
  <c r="EQ7" i="185"/>
  <c r="DP7" i="185"/>
  <c r="ER7" i="185"/>
  <c r="DQ7" i="185"/>
  <c r="ES7" i="185"/>
  <c r="EC7" i="185"/>
  <c r="FE7" i="185"/>
  <c r="EF7" i="185"/>
  <c r="EK7" i="185"/>
  <c r="EG7" i="185"/>
  <c r="EH7" i="185"/>
  <c r="EI7" i="185"/>
  <c r="EJ7" i="185"/>
  <c r="EL7" i="185"/>
  <c r="DS7" i="185"/>
  <c r="FA7" i="185"/>
  <c r="EU7" i="185"/>
  <c r="EV7" i="185"/>
  <c r="EZ7" i="185"/>
  <c r="EW7" i="185"/>
  <c r="EX7" i="185"/>
  <c r="EY7" i="185"/>
  <c r="FB7" i="185"/>
  <c r="FC7" i="185"/>
  <c r="FD7" i="185"/>
  <c r="DH7" i="185"/>
  <c r="HL7" i="185" s="1"/>
  <c r="DI7" i="185"/>
  <c r="FF7" i="185"/>
  <c r="DJ7" i="185"/>
  <c r="FG7" i="185"/>
  <c r="DK7" i="185"/>
  <c r="DL7" i="185"/>
  <c r="DR7" i="185"/>
  <c r="DT7" i="185"/>
  <c r="DV7" i="185"/>
  <c r="DW7" i="185"/>
  <c r="DX7" i="185"/>
  <c r="EE7" i="185"/>
  <c r="EM7" i="185"/>
  <c r="EN7" i="185"/>
  <c r="ET7" i="185"/>
  <c r="DU7" i="185"/>
  <c r="EB7" i="185"/>
  <c r="DY7" i="185"/>
  <c r="EA7" i="185"/>
  <c r="ED7" i="185"/>
  <c r="DZ7" i="185"/>
  <c r="DU9" i="185"/>
  <c r="EX9" i="185"/>
  <c r="DV9" i="185"/>
  <c r="EY9" i="185"/>
  <c r="DW9" i="185"/>
  <c r="EZ9" i="185"/>
  <c r="DX9" i="185"/>
  <c r="FA9" i="185"/>
  <c r="DY9" i="185"/>
  <c r="FB9" i="185"/>
  <c r="DI9" i="185"/>
  <c r="EL9" i="185"/>
  <c r="EJ9" i="185"/>
  <c r="EK9" i="185"/>
  <c r="EP9" i="185"/>
  <c r="EM9" i="185"/>
  <c r="EN9" i="185"/>
  <c r="EO9" i="185"/>
  <c r="EQ9" i="185"/>
  <c r="DR9" i="185"/>
  <c r="FF9" i="185"/>
  <c r="EI9" i="185"/>
  <c r="FC9" i="185"/>
  <c r="ER9" i="185"/>
  <c r="ES9" i="185"/>
  <c r="ET9" i="185"/>
  <c r="EV9" i="185"/>
  <c r="EU9" i="185"/>
  <c r="EW9" i="185"/>
  <c r="FD9" i="185"/>
  <c r="DH9" i="185"/>
  <c r="FE9" i="185"/>
  <c r="DJ9" i="185"/>
  <c r="FG9" i="185"/>
  <c r="EA9" i="185"/>
  <c r="DK9" i="185"/>
  <c r="DL9" i="185"/>
  <c r="DM9" i="185"/>
  <c r="DN9" i="185"/>
  <c r="DP9" i="185"/>
  <c r="DQ9" i="185"/>
  <c r="DS9" i="185"/>
  <c r="EG9" i="185"/>
  <c r="DT9" i="185"/>
  <c r="DO9" i="185"/>
  <c r="EF9" i="185"/>
  <c r="DZ9" i="185"/>
  <c r="EB9" i="185"/>
  <c r="EC9" i="185"/>
  <c r="ED9" i="185"/>
  <c r="EE9" i="185"/>
  <c r="IJ9" i="185" s="1"/>
  <c r="EH9" i="185"/>
  <c r="DO36" i="185"/>
  <c r="EQ36" i="185"/>
  <c r="DP36" i="185"/>
  <c r="ER36" i="185"/>
  <c r="DQ36" i="185"/>
  <c r="ES36" i="185"/>
  <c r="DR36" i="185"/>
  <c r="ET36" i="185"/>
  <c r="DS36" i="185"/>
  <c r="EU36" i="185"/>
  <c r="DU36" i="185"/>
  <c r="EW36" i="185"/>
  <c r="EE36" i="185"/>
  <c r="FG36" i="185"/>
  <c r="DV36" i="185"/>
  <c r="FE36" i="185"/>
  <c r="EA36" i="185"/>
  <c r="DW36" i="185"/>
  <c r="FF36" i="185"/>
  <c r="EC36" i="185"/>
  <c r="EF36" i="185"/>
  <c r="DX36" i="185"/>
  <c r="DY36" i="185"/>
  <c r="DZ36" i="185"/>
  <c r="EB36" i="185"/>
  <c r="ED36" i="185"/>
  <c r="EJ36" i="185"/>
  <c r="EK36" i="185"/>
  <c r="EM36" i="185"/>
  <c r="EN36" i="185"/>
  <c r="DN36" i="185"/>
  <c r="EP36" i="185"/>
  <c r="IU36" i="185" s="1"/>
  <c r="FA36" i="185"/>
  <c r="JF36" i="185" s="1"/>
  <c r="FC36" i="185"/>
  <c r="JG36" i="185" s="1"/>
  <c r="DT36" i="185"/>
  <c r="EV36" i="185"/>
  <c r="EG36" i="185"/>
  <c r="EH36" i="185"/>
  <c r="EI36" i="185"/>
  <c r="EL36" i="185"/>
  <c r="EX36" i="185"/>
  <c r="EO36" i="185"/>
  <c r="FD36" i="185"/>
  <c r="FB36" i="185"/>
  <c r="EY36" i="185"/>
  <c r="EZ36" i="185"/>
  <c r="DI36" i="185"/>
  <c r="DK36" i="185"/>
  <c r="DM36" i="185"/>
  <c r="DJ36" i="185"/>
  <c r="HO36" i="185" s="1"/>
  <c r="DH36" i="185"/>
  <c r="DL36" i="185"/>
  <c r="IT22" i="185"/>
  <c r="DO22" i="185"/>
  <c r="EQ22" i="185"/>
  <c r="DP22" i="185"/>
  <c r="ER22" i="185"/>
  <c r="DQ22" i="185"/>
  <c r="ES22" i="185"/>
  <c r="DR22" i="185"/>
  <c r="ET22" i="185"/>
  <c r="DS22" i="185"/>
  <c r="EU22" i="185"/>
  <c r="DU22" i="185"/>
  <c r="EW22" i="185"/>
  <c r="EE22" i="185"/>
  <c r="FG22" i="185"/>
  <c r="EK22" i="185"/>
  <c r="EP22" i="185"/>
  <c r="EX22" i="185"/>
  <c r="EL22" i="185"/>
  <c r="EM22" i="185"/>
  <c r="EN22" i="185"/>
  <c r="DI22" i="185"/>
  <c r="EY22" i="185"/>
  <c r="EO22" i="185"/>
  <c r="DH22" i="185"/>
  <c r="HL22" i="185" s="1"/>
  <c r="EV22" i="185"/>
  <c r="DJ22" i="185"/>
  <c r="DK22" i="185"/>
  <c r="HP22" i="185" s="1"/>
  <c r="EZ22" i="185"/>
  <c r="DT22" i="185"/>
  <c r="FD22" i="185"/>
  <c r="DV22" i="185"/>
  <c r="FE22" i="185"/>
  <c r="DX22" i="185"/>
  <c r="DY22" i="185"/>
  <c r="DZ22" i="185"/>
  <c r="EC22" i="185"/>
  <c r="ED22" i="185"/>
  <c r="FB22" i="185"/>
  <c r="EF22" i="185"/>
  <c r="EI22" i="185"/>
  <c r="EG22" i="185"/>
  <c r="EH22" i="185"/>
  <c r="EJ22" i="185"/>
  <c r="FA22" i="185"/>
  <c r="FC22" i="185"/>
  <c r="FF22" i="185"/>
  <c r="DL22" i="185"/>
  <c r="DW22" i="185"/>
  <c r="DM22" i="185"/>
  <c r="HQ22" i="185" s="1"/>
  <c r="DN22" i="185"/>
  <c r="EB22" i="185"/>
  <c r="EA22" i="185"/>
  <c r="IF22" i="185" s="1"/>
  <c r="DK35" i="185"/>
  <c r="HO35" i="185" s="1"/>
  <c r="EM35" i="185"/>
  <c r="IQ35" i="185" s="1"/>
  <c r="DL35" i="185"/>
  <c r="HP35" i="185" s="1"/>
  <c r="EN35" i="185"/>
  <c r="IR35" i="185" s="1"/>
  <c r="DM35" i="185"/>
  <c r="HQ35" i="185" s="1"/>
  <c r="EO35" i="185"/>
  <c r="IS35" i="185" s="1"/>
  <c r="DN35" i="185"/>
  <c r="HR35" i="185" s="1"/>
  <c r="EP35" i="185"/>
  <c r="IT35" i="185" s="1"/>
  <c r="DO35" i="185"/>
  <c r="HS35" i="185" s="1"/>
  <c r="EQ35" i="185"/>
  <c r="IU35" i="185" s="1"/>
  <c r="DQ35" i="185"/>
  <c r="HU35" i="185" s="1"/>
  <c r="ES35" i="185"/>
  <c r="IW35" i="185" s="1"/>
  <c r="EA35" i="185"/>
  <c r="IE35" i="185" s="1"/>
  <c r="FC35" i="185"/>
  <c r="JG35" i="185" s="1"/>
  <c r="EG35" i="185"/>
  <c r="IK35" i="185" s="1"/>
  <c r="EH35" i="185"/>
  <c r="IL35" i="185" s="1"/>
  <c r="EI35" i="185"/>
  <c r="ET35" i="185"/>
  <c r="IX35" i="185" s="1"/>
  <c r="EV35" i="185"/>
  <c r="IZ35" i="185" s="1"/>
  <c r="EJ35" i="185"/>
  <c r="EL35" i="185"/>
  <c r="IP35" i="185" s="1"/>
  <c r="EK35" i="185"/>
  <c r="IO35" i="185" s="1"/>
  <c r="ER35" i="185"/>
  <c r="IV35" i="185" s="1"/>
  <c r="EU35" i="185"/>
  <c r="IY35" i="185" s="1"/>
  <c r="DP35" i="185"/>
  <c r="HT35" i="185" s="1"/>
  <c r="EZ35" i="185"/>
  <c r="JD35" i="185" s="1"/>
  <c r="DR35" i="185"/>
  <c r="HV35" i="185" s="1"/>
  <c r="FA35" i="185"/>
  <c r="JE35" i="185" s="1"/>
  <c r="DT35" i="185"/>
  <c r="HX35" i="185" s="1"/>
  <c r="FD35" i="185"/>
  <c r="JH35" i="185" s="1"/>
  <c r="DU35" i="185"/>
  <c r="HY35" i="185" s="1"/>
  <c r="FE35" i="185"/>
  <c r="JI35" i="185" s="1"/>
  <c r="DV35" i="185"/>
  <c r="HZ35" i="185" s="1"/>
  <c r="FF35" i="185"/>
  <c r="JJ35" i="185" s="1"/>
  <c r="DW35" i="185"/>
  <c r="IA35" i="185" s="1"/>
  <c r="DS35" i="185"/>
  <c r="HW35" i="185" s="1"/>
  <c r="DX35" i="185"/>
  <c r="IB35" i="185" s="1"/>
  <c r="DI35" i="185"/>
  <c r="HM35" i="185" s="1"/>
  <c r="DH35" i="185"/>
  <c r="DJ35" i="185"/>
  <c r="HN35" i="185" s="1"/>
  <c r="EB35" i="185"/>
  <c r="IF35" i="185" s="1"/>
  <c r="EC35" i="185"/>
  <c r="IG35" i="185" s="1"/>
  <c r="DY35" i="185"/>
  <c r="IC35" i="185" s="1"/>
  <c r="DZ35" i="185"/>
  <c r="ID35" i="185" s="1"/>
  <c r="ED35" i="185"/>
  <c r="IH35" i="185" s="1"/>
  <c r="FG35" i="185"/>
  <c r="JK35" i="185" s="1"/>
  <c r="EE35" i="185"/>
  <c r="II35" i="185" s="1"/>
  <c r="EF35" i="185"/>
  <c r="IJ35" i="185" s="1"/>
  <c r="IM35" i="185"/>
  <c r="EW35" i="185"/>
  <c r="JA35" i="185" s="1"/>
  <c r="IN35" i="185"/>
  <c r="EX35" i="185"/>
  <c r="JB35" i="185" s="1"/>
  <c r="EY35" i="185"/>
  <c r="JC35" i="185" s="1"/>
  <c r="FB35" i="185"/>
  <c r="JF35" i="185" s="1"/>
  <c r="DK21" i="185"/>
  <c r="EM21" i="185"/>
  <c r="DL21" i="185"/>
  <c r="EN21" i="185"/>
  <c r="DM21" i="185"/>
  <c r="EO21" i="185"/>
  <c r="DN21" i="185"/>
  <c r="EP21" i="185"/>
  <c r="DO21" i="185"/>
  <c r="EQ21" i="185"/>
  <c r="DQ21" i="185"/>
  <c r="ES21" i="185"/>
  <c r="EA21" i="185"/>
  <c r="FC21" i="185"/>
  <c r="DR21" i="185"/>
  <c r="FA21" i="185"/>
  <c r="FG21" i="185"/>
  <c r="DZ21" i="185"/>
  <c r="DS21" i="185"/>
  <c r="FB21" i="185"/>
  <c r="DY21" i="185"/>
  <c r="DT21" i="185"/>
  <c r="FD21" i="185"/>
  <c r="DU21" i="185"/>
  <c r="FE21" i="185"/>
  <c r="DW21" i="185"/>
  <c r="DV21" i="185"/>
  <c r="FF21" i="185"/>
  <c r="DX21" i="185"/>
  <c r="EB21" i="185"/>
  <c r="EF21" i="185"/>
  <c r="EG21" i="185"/>
  <c r="EI21" i="185"/>
  <c r="EJ21" i="185"/>
  <c r="EK21" i="185"/>
  <c r="DH21" i="185"/>
  <c r="DJ21" i="185"/>
  <c r="DP21" i="185"/>
  <c r="EC21" i="185"/>
  <c r="ET21" i="185"/>
  <c r="EZ21" i="185"/>
  <c r="ER21" i="185"/>
  <c r="DI21" i="185"/>
  <c r="HN21" i="185" s="1"/>
  <c r="EL21" i="185"/>
  <c r="ED21" i="185"/>
  <c r="EE21" i="185"/>
  <c r="EH21" i="185"/>
  <c r="EU21" i="185"/>
  <c r="EV21" i="185"/>
  <c r="EW21" i="185"/>
  <c r="EX21" i="185"/>
  <c r="EY21" i="185"/>
  <c r="EF5" i="185"/>
  <c r="EG5" i="185"/>
  <c r="EH5" i="185"/>
  <c r="EI5" i="185"/>
  <c r="EJ5" i="185"/>
  <c r="DJ5" i="185"/>
  <c r="EL5" i="185"/>
  <c r="DT5" i="185"/>
  <c r="EV5" i="185"/>
  <c r="DK5" i="185"/>
  <c r="HO5" i="185" s="1"/>
  <c r="ET5" i="185"/>
  <c r="DL5" i="185"/>
  <c r="EU5" i="185"/>
  <c r="IY5" i="185" s="1"/>
  <c r="FC5" i="185"/>
  <c r="DM5" i="185"/>
  <c r="EW5" i="185"/>
  <c r="DP5" i="185"/>
  <c r="DR5" i="185"/>
  <c r="FB5" i="185"/>
  <c r="DS5" i="185"/>
  <c r="DN5" i="185"/>
  <c r="EX5" i="185"/>
  <c r="EY5" i="185"/>
  <c r="EZ5" i="185"/>
  <c r="FD5" i="185"/>
  <c r="DO5" i="185"/>
  <c r="DQ5" i="185"/>
  <c r="FA5" i="185"/>
  <c r="DU5" i="185"/>
  <c r="EB5" i="185"/>
  <c r="EC5" i="185"/>
  <c r="EE5" i="185"/>
  <c r="EK5" i="185"/>
  <c r="EM5" i="185"/>
  <c r="EN5" i="185"/>
  <c r="EO5" i="185"/>
  <c r="EP5" i="185"/>
  <c r="ER5" i="185"/>
  <c r="ES5" i="185"/>
  <c r="IX5" i="185" s="1"/>
  <c r="DV5" i="185"/>
  <c r="EQ5" i="185"/>
  <c r="IV5" i="185" s="1"/>
  <c r="FE5" i="185"/>
  <c r="FF5" i="185"/>
  <c r="FG5" i="185"/>
  <c r="DI5" i="185"/>
  <c r="DW5" i="185"/>
  <c r="DX5" i="185"/>
  <c r="DY5" i="185"/>
  <c r="DZ5" i="185"/>
  <c r="ED5" i="185"/>
  <c r="EA5" i="185"/>
  <c r="EI20" i="185"/>
  <c r="DH20" i="185"/>
  <c r="HL20" i="185" s="1"/>
  <c r="EJ20" i="185"/>
  <c r="DI20" i="185"/>
  <c r="EK20" i="185"/>
  <c r="DJ20" i="185"/>
  <c r="EL20" i="185"/>
  <c r="DK20" i="185"/>
  <c r="EM20" i="185"/>
  <c r="DM20" i="185"/>
  <c r="EO20" i="185"/>
  <c r="DW20" i="185"/>
  <c r="EY20" i="185"/>
  <c r="JH20" i="185"/>
  <c r="EC20" i="185"/>
  <c r="EH20" i="185"/>
  <c r="ED20" i="185"/>
  <c r="EQ20" i="185"/>
  <c r="EE20" i="185"/>
  <c r="EP20" i="185"/>
  <c r="EF20" i="185"/>
  <c r="EG20" i="185"/>
  <c r="EN20" i="185"/>
  <c r="ER20" i="185"/>
  <c r="DL20" i="185"/>
  <c r="EV20" i="185"/>
  <c r="DN20" i="185"/>
  <c r="EW20" i="185"/>
  <c r="JB20" i="185" s="1"/>
  <c r="DP20" i="185"/>
  <c r="EZ20" i="185"/>
  <c r="DQ20" i="185"/>
  <c r="FA20" i="185"/>
  <c r="DR20" i="185"/>
  <c r="FB20" i="185"/>
  <c r="FC20" i="185"/>
  <c r="FD20" i="185"/>
  <c r="FE20" i="185"/>
  <c r="FF20" i="185"/>
  <c r="FG20" i="185"/>
  <c r="DS20" i="185"/>
  <c r="DO20" i="185"/>
  <c r="JI20" i="185"/>
  <c r="DZ20" i="185"/>
  <c r="DT20" i="185"/>
  <c r="DU20" i="185"/>
  <c r="DV20" i="185"/>
  <c r="DX20" i="185"/>
  <c r="DY20" i="185"/>
  <c r="EA20" i="185"/>
  <c r="ET20" i="185"/>
  <c r="EB20" i="185"/>
  <c r="EX20" i="185"/>
  <c r="ES20" i="185"/>
  <c r="EU20" i="185"/>
  <c r="IZ20" i="185" s="1"/>
  <c r="DW24" i="185"/>
  <c r="EY24" i="185"/>
  <c r="DX24" i="185"/>
  <c r="EZ24" i="185"/>
  <c r="DY24" i="185"/>
  <c r="FA24" i="185"/>
  <c r="DZ24" i="185"/>
  <c r="FB24" i="185"/>
  <c r="EA24" i="185"/>
  <c r="FC24" i="185"/>
  <c r="EC24" i="185"/>
  <c r="IH24" i="185" s="1"/>
  <c r="FE24" i="185"/>
  <c r="DK24" i="185"/>
  <c r="EM24" i="185"/>
  <c r="DI24" i="185"/>
  <c r="ES24" i="185"/>
  <c r="EX24" i="185"/>
  <c r="FG24" i="185"/>
  <c r="DJ24" i="185"/>
  <c r="ET24" i="185"/>
  <c r="DQ24" i="185"/>
  <c r="DR24" i="185"/>
  <c r="DL24" i="185"/>
  <c r="EU24" i="185"/>
  <c r="FF24" i="185"/>
  <c r="DM24" i="185"/>
  <c r="EV24" i="185"/>
  <c r="DO24" i="185"/>
  <c r="DN24" i="185"/>
  <c r="EW24" i="185"/>
  <c r="DP24" i="185"/>
  <c r="FD24" i="185"/>
  <c r="DS24" i="185"/>
  <c r="EB24" i="185"/>
  <c r="ED24" i="185"/>
  <c r="EF24" i="185"/>
  <c r="EG24" i="185"/>
  <c r="EH24" i="185"/>
  <c r="EI24" i="185"/>
  <c r="EL24" i="185"/>
  <c r="EP24" i="185"/>
  <c r="DV24" i="185"/>
  <c r="EE24" i="185"/>
  <c r="DH24" i="185"/>
  <c r="HL24" i="185" s="1"/>
  <c r="DT24" i="185"/>
  <c r="DU24" i="185"/>
  <c r="EJ24" i="185"/>
  <c r="EK24" i="185"/>
  <c r="EN24" i="185"/>
  <c r="EO24" i="185"/>
  <c r="EQ24" i="185"/>
  <c r="ER24" i="185"/>
  <c r="EI34" i="185"/>
  <c r="DH34" i="185"/>
  <c r="EJ34" i="185"/>
  <c r="DI34" i="185"/>
  <c r="EK34" i="185"/>
  <c r="DJ34" i="185"/>
  <c r="EL34" i="185"/>
  <c r="DK34" i="185"/>
  <c r="EM34" i="185"/>
  <c r="DM34" i="185"/>
  <c r="EO34" i="185"/>
  <c r="DW34" i="185"/>
  <c r="EY34" i="185"/>
  <c r="DN34" i="185"/>
  <c r="EW34" i="185"/>
  <c r="FC34" i="185"/>
  <c r="DV34" i="185"/>
  <c r="DX34" i="185"/>
  <c r="DO34" i="185"/>
  <c r="EX34" i="185"/>
  <c r="DP34" i="185"/>
  <c r="EZ34" i="185"/>
  <c r="DU34" i="185"/>
  <c r="FF34" i="185"/>
  <c r="DQ34" i="185"/>
  <c r="FA34" i="185"/>
  <c r="DR34" i="185"/>
  <c r="DS34" i="185"/>
  <c r="FE34" i="185"/>
  <c r="FG34" i="185"/>
  <c r="FB34" i="185"/>
  <c r="DT34" i="185"/>
  <c r="FD34" i="185"/>
  <c r="EB34" i="185"/>
  <c r="EC34" i="185"/>
  <c r="EE34" i="185"/>
  <c r="EF34" i="185"/>
  <c r="EG34" i="185"/>
  <c r="ES34" i="185"/>
  <c r="ET34" i="185"/>
  <c r="EU34" i="185"/>
  <c r="EV34" i="185"/>
  <c r="EA34" i="185"/>
  <c r="DL34" i="185"/>
  <c r="DY34" i="185"/>
  <c r="DZ34" i="185"/>
  <c r="EP34" i="185"/>
  <c r="ED34" i="185"/>
  <c r="EH34" i="185"/>
  <c r="EN34" i="185"/>
  <c r="EQ34" i="185"/>
  <c r="ER34" i="185"/>
  <c r="DW38" i="185"/>
  <c r="EY38" i="185"/>
  <c r="DX38" i="185"/>
  <c r="EZ38" i="185"/>
  <c r="DY38" i="185"/>
  <c r="FA38" i="185"/>
  <c r="DZ38" i="185"/>
  <c r="FB38" i="185"/>
  <c r="EA38" i="185"/>
  <c r="FC38" i="185"/>
  <c r="EC38" i="185"/>
  <c r="FE38" i="185"/>
  <c r="DK38" i="185"/>
  <c r="EM38" i="185"/>
  <c r="ED38" i="185"/>
  <c r="EK38" i="185"/>
  <c r="EL38" i="185"/>
  <c r="EE38" i="185"/>
  <c r="EF38" i="185"/>
  <c r="EG38" i="185"/>
  <c r="EI38" i="185"/>
  <c r="EN38" i="185"/>
  <c r="EH38" i="185"/>
  <c r="EJ38" i="185"/>
  <c r="DH38" i="185"/>
  <c r="ER38" i="185"/>
  <c r="DI38" i="185"/>
  <c r="ES38" i="185"/>
  <c r="DL38" i="185"/>
  <c r="EU38" i="185"/>
  <c r="DM38" i="185"/>
  <c r="EV38" i="185"/>
  <c r="DJ38" i="185"/>
  <c r="DQ38" i="185"/>
  <c r="DU38" i="185"/>
  <c r="DP38" i="185"/>
  <c r="HU38" i="185" s="1"/>
  <c r="DT38" i="185"/>
  <c r="DV38" i="185"/>
  <c r="EX38" i="185"/>
  <c r="DN38" i="185"/>
  <c r="DO38" i="185"/>
  <c r="EB38" i="185"/>
  <c r="DR38" i="185"/>
  <c r="DS38" i="185"/>
  <c r="EO38" i="185"/>
  <c r="EP38" i="185"/>
  <c r="EQ38" i="185"/>
  <c r="ET38" i="185"/>
  <c r="EW38" i="185"/>
  <c r="FF38" i="185"/>
  <c r="FD38" i="185"/>
  <c r="FG38" i="185"/>
  <c r="EE19" i="185"/>
  <c r="FG19" i="185"/>
  <c r="EF19" i="185"/>
  <c r="EG19" i="185"/>
  <c r="EH19" i="185"/>
  <c r="EI19" i="185"/>
  <c r="DI19" i="185"/>
  <c r="EK19" i="185"/>
  <c r="DS19" i="185"/>
  <c r="EU19" i="185"/>
  <c r="DJ19" i="185"/>
  <c r="ES19" i="185"/>
  <c r="EY19" i="185"/>
  <c r="FA19" i="185"/>
  <c r="DR19" i="185"/>
  <c r="DK19" i="185"/>
  <c r="ET19" i="185"/>
  <c r="DO19" i="185"/>
  <c r="DL19" i="185"/>
  <c r="EV19" i="185"/>
  <c r="FB19" i="185"/>
  <c r="DM19" i="185"/>
  <c r="EW19" i="185"/>
  <c r="DN19" i="185"/>
  <c r="EX19" i="185"/>
  <c r="DP19" i="185"/>
  <c r="EZ19" i="185"/>
  <c r="DQ19" i="185"/>
  <c r="DT19" i="185"/>
  <c r="FC19" i="185"/>
  <c r="DX19" i="185"/>
  <c r="DY19" i="185"/>
  <c r="EA19" i="185"/>
  <c r="EB19" i="185"/>
  <c r="EC19" i="185"/>
  <c r="DW19" i="185"/>
  <c r="DZ19" i="185"/>
  <c r="IE19" i="185" s="1"/>
  <c r="EM19" i="185"/>
  <c r="FE19" i="185"/>
  <c r="ED19" i="185"/>
  <c r="EP19" i="185"/>
  <c r="EQ19" i="185"/>
  <c r="IU19" i="185" s="1"/>
  <c r="EJ19" i="185"/>
  <c r="EL19" i="185"/>
  <c r="EN19" i="185"/>
  <c r="EO19" i="185"/>
  <c r="ER19" i="185"/>
  <c r="FD19" i="185"/>
  <c r="FF19" i="185"/>
  <c r="DV19" i="185"/>
  <c r="DU19" i="185"/>
  <c r="DH19" i="185"/>
  <c r="JJ37" i="185"/>
  <c r="IE37" i="185"/>
  <c r="DS37" i="185"/>
  <c r="HW37" i="185" s="1"/>
  <c r="EU37" i="185"/>
  <c r="IY37" i="185" s="1"/>
  <c r="DT37" i="185"/>
  <c r="HX37" i="185" s="1"/>
  <c r="EV37" i="185"/>
  <c r="IZ37" i="185" s="1"/>
  <c r="II37" i="185"/>
  <c r="DU37" i="185"/>
  <c r="HY37" i="185" s="1"/>
  <c r="EW37" i="185"/>
  <c r="JA37" i="185" s="1"/>
  <c r="DV37" i="185"/>
  <c r="HZ37" i="185" s="1"/>
  <c r="EX37" i="185"/>
  <c r="JB37" i="185" s="1"/>
  <c r="DW37" i="185"/>
  <c r="IA37" i="185" s="1"/>
  <c r="EY37" i="185"/>
  <c r="JC37" i="185" s="1"/>
  <c r="DY37" i="185"/>
  <c r="IC37" i="185" s="1"/>
  <c r="FA37" i="185"/>
  <c r="JE37" i="185" s="1"/>
  <c r="EI37" i="185"/>
  <c r="IM37" i="185" s="1"/>
  <c r="EO37" i="185"/>
  <c r="IS37" i="185" s="1"/>
  <c r="FD37" i="185"/>
  <c r="JH37" i="185" s="1"/>
  <c r="EP37" i="185"/>
  <c r="IT37" i="185" s="1"/>
  <c r="DK37" i="185"/>
  <c r="HO37" i="185" s="1"/>
  <c r="DN37" i="185"/>
  <c r="HR37" i="185" s="1"/>
  <c r="DH37" i="185"/>
  <c r="HL37" i="185" s="1"/>
  <c r="EQ37" i="185"/>
  <c r="IU37" i="185" s="1"/>
  <c r="ET37" i="185"/>
  <c r="IX37" i="185" s="1"/>
  <c r="DM37" i="185"/>
  <c r="HQ37" i="185" s="1"/>
  <c r="DI37" i="185"/>
  <c r="HM37" i="185" s="1"/>
  <c r="ER37" i="185"/>
  <c r="IV37" i="185" s="1"/>
  <c r="ES37" i="185"/>
  <c r="IW37" i="185" s="1"/>
  <c r="DJ37" i="185"/>
  <c r="HN37" i="185" s="1"/>
  <c r="DL37" i="185"/>
  <c r="HP37" i="185" s="1"/>
  <c r="EZ37" i="185"/>
  <c r="JD37" i="185" s="1"/>
  <c r="FB37" i="185"/>
  <c r="JF37" i="185" s="1"/>
  <c r="FC37" i="185"/>
  <c r="JG37" i="185" s="1"/>
  <c r="DO37" i="185"/>
  <c r="HS37" i="185" s="1"/>
  <c r="DX37" i="185"/>
  <c r="IB37" i="185" s="1"/>
  <c r="DZ37" i="185"/>
  <c r="ID37" i="185" s="1"/>
  <c r="EB37" i="185"/>
  <c r="IF37" i="185" s="1"/>
  <c r="EC37" i="185"/>
  <c r="IG37" i="185" s="1"/>
  <c r="EM37" i="185"/>
  <c r="IQ37" i="185" s="1"/>
  <c r="EN37" i="185"/>
  <c r="IR37" i="185" s="1"/>
  <c r="FE37" i="185"/>
  <c r="JI37" i="185" s="1"/>
  <c r="FF37" i="185"/>
  <c r="FG37" i="185"/>
  <c r="JK37" i="185" s="1"/>
  <c r="EE37" i="185"/>
  <c r="DP37" i="185"/>
  <c r="HT37" i="185" s="1"/>
  <c r="DQ37" i="185"/>
  <c r="HU37" i="185" s="1"/>
  <c r="DR37" i="185"/>
  <c r="HV37" i="185" s="1"/>
  <c r="EA37" i="185"/>
  <c r="ED37" i="185"/>
  <c r="IH37" i="185" s="1"/>
  <c r="EH37" i="185"/>
  <c r="IL37" i="185" s="1"/>
  <c r="EK37" i="185"/>
  <c r="IO37" i="185" s="1"/>
  <c r="EJ37" i="185"/>
  <c r="IN37" i="185" s="1"/>
  <c r="EL37" i="185"/>
  <c r="IP37" i="185" s="1"/>
  <c r="EF37" i="185"/>
  <c r="IJ37" i="185" s="1"/>
  <c r="EG37" i="185"/>
  <c r="IK37" i="185" s="1"/>
  <c r="EA32" i="185"/>
  <c r="FC32" i="185"/>
  <c r="EB32" i="185"/>
  <c r="FD32" i="185"/>
  <c r="EC32" i="185"/>
  <c r="FE32" i="185"/>
  <c r="ED32" i="185"/>
  <c r="II32" i="185" s="1"/>
  <c r="FF32" i="185"/>
  <c r="EE32" i="185"/>
  <c r="IJ32" i="185" s="1"/>
  <c r="FG32" i="185"/>
  <c r="EG32" i="185"/>
  <c r="DO32" i="185"/>
  <c r="EQ32" i="185"/>
  <c r="EO32" i="185"/>
  <c r="EU32" i="185"/>
  <c r="EP32" i="185"/>
  <c r="DK32" i="185"/>
  <c r="DM32" i="185"/>
  <c r="DN32" i="185"/>
  <c r="HS32" i="185" s="1"/>
  <c r="DH32" i="185"/>
  <c r="ER32" i="185"/>
  <c r="EW32" i="185"/>
  <c r="EX32" i="185"/>
  <c r="DI32" i="185"/>
  <c r="ES32" i="185"/>
  <c r="DJ32" i="185"/>
  <c r="ET32" i="185"/>
  <c r="DL32" i="185"/>
  <c r="EV32" i="185"/>
  <c r="EY32" i="185"/>
  <c r="DP32" i="185"/>
  <c r="DT32" i="185"/>
  <c r="DU32" i="185"/>
  <c r="DW32" i="185"/>
  <c r="DX32" i="185"/>
  <c r="DY32" i="185"/>
  <c r="DR32" i="185"/>
  <c r="EF32" i="185"/>
  <c r="EH32" i="185"/>
  <c r="DQ32" i="185"/>
  <c r="EZ32" i="185"/>
  <c r="DS32" i="185"/>
  <c r="DV32" i="185"/>
  <c r="EI32" i="185"/>
  <c r="DZ32" i="185"/>
  <c r="EJ32" i="185"/>
  <c r="EK32" i="185"/>
  <c r="EL32" i="185"/>
  <c r="IQ32" i="185" s="1"/>
  <c r="EM32" i="185"/>
  <c r="EN32" i="185"/>
  <c r="IS32" i="185" s="1"/>
  <c r="FA32" i="185"/>
  <c r="FB32" i="185"/>
  <c r="EE33" i="185"/>
  <c r="FG33" i="185"/>
  <c r="EF33" i="185"/>
  <c r="IJ33" i="185" s="1"/>
  <c r="EG33" i="185"/>
  <c r="EH33" i="185"/>
  <c r="EI33" i="185"/>
  <c r="DI33" i="185"/>
  <c r="EK33" i="185"/>
  <c r="DS33" i="185"/>
  <c r="EU33" i="185"/>
  <c r="DY33" i="185"/>
  <c r="EL33" i="185"/>
  <c r="DZ33" i="185"/>
  <c r="EA33" i="185"/>
  <c r="IF33" i="185" s="1"/>
  <c r="ED33" i="185"/>
  <c r="EB33" i="185"/>
  <c r="EM33" i="185"/>
  <c r="EC33" i="185"/>
  <c r="EJ33" i="185"/>
  <c r="EN33" i="185"/>
  <c r="IS33" i="185" s="1"/>
  <c r="DH33" i="185"/>
  <c r="HL33" i="185" s="1"/>
  <c r="ER33" i="185"/>
  <c r="DJ33" i="185"/>
  <c r="FL33" i="185" s="1" a="1"/>
  <c r="FL33" i="185" s="1"/>
  <c r="ES33" i="185"/>
  <c r="DL33" i="185"/>
  <c r="FN33" i="185" s="1" a="1"/>
  <c r="FN33" i="185" s="1"/>
  <c r="EV33" i="185"/>
  <c r="DM33" i="185"/>
  <c r="EW33" i="185"/>
  <c r="DN33" i="185"/>
  <c r="EX33" i="185"/>
  <c r="DR33" i="185"/>
  <c r="DT33" i="185"/>
  <c r="DX33" i="185"/>
  <c r="FC33" i="185"/>
  <c r="FD33" i="185"/>
  <c r="DU33" i="185"/>
  <c r="EQ33" i="185"/>
  <c r="IV33" i="185" s="1"/>
  <c r="FA33" i="185"/>
  <c r="DV33" i="185"/>
  <c r="EP33" i="185"/>
  <c r="IU33" i="185" s="1"/>
  <c r="ET33" i="185"/>
  <c r="DW33" i="185"/>
  <c r="EO33" i="185"/>
  <c r="EY33" i="185"/>
  <c r="EZ33" i="185"/>
  <c r="FB33" i="185"/>
  <c r="FE33" i="185"/>
  <c r="FF33" i="185"/>
  <c r="DP33" i="185"/>
  <c r="DO33" i="185"/>
  <c r="DK33" i="185"/>
  <c r="FM33" i="185" s="1" a="1"/>
  <c r="FM33" i="185" s="1"/>
  <c r="DQ33" i="185"/>
  <c r="EA18" i="185"/>
  <c r="IE18" i="185" s="1"/>
  <c r="FC18" i="185"/>
  <c r="JG18" i="185" s="1"/>
  <c r="EB18" i="185"/>
  <c r="IF18" i="185" s="1"/>
  <c r="FD18" i="185"/>
  <c r="JH18" i="185" s="1"/>
  <c r="EC18" i="185"/>
  <c r="IG18" i="185" s="1"/>
  <c r="FE18" i="185"/>
  <c r="JI18" i="185" s="1"/>
  <c r="ED18" i="185"/>
  <c r="IH18" i="185" s="1"/>
  <c r="FF18" i="185"/>
  <c r="JJ18" i="185" s="1"/>
  <c r="EE18" i="185"/>
  <c r="II18" i="185" s="1"/>
  <c r="FG18" i="185"/>
  <c r="JK18" i="185" s="1"/>
  <c r="EG18" i="185"/>
  <c r="IK18" i="185" s="1"/>
  <c r="DO18" i="185"/>
  <c r="HS18" i="185" s="1"/>
  <c r="EQ18" i="185"/>
  <c r="IU18" i="185" s="1"/>
  <c r="DU18" i="185"/>
  <c r="HY18" i="185" s="1"/>
  <c r="DV18" i="185"/>
  <c r="HZ18" i="185" s="1"/>
  <c r="DW18" i="185"/>
  <c r="IA18" i="185" s="1"/>
  <c r="DX18" i="185"/>
  <c r="IB18" i="185" s="1"/>
  <c r="DZ18" i="185"/>
  <c r="ID18" i="185" s="1"/>
  <c r="EI18" i="185"/>
  <c r="IM18" i="185" s="1"/>
  <c r="DY18" i="185"/>
  <c r="IC18" i="185" s="1"/>
  <c r="EF18" i="185"/>
  <c r="IJ18" i="185" s="1"/>
  <c r="EH18" i="185"/>
  <c r="IL18" i="185" s="1"/>
  <c r="EJ18" i="185"/>
  <c r="IN18" i="185" s="1"/>
  <c r="EM18" i="185"/>
  <c r="IQ18" i="185" s="1"/>
  <c r="EN18" i="185"/>
  <c r="IR18" i="185" s="1"/>
  <c r="EO18" i="185"/>
  <c r="IS18" i="185" s="1"/>
  <c r="DH18" i="185"/>
  <c r="ER18" i="185"/>
  <c r="IV18" i="185" s="1"/>
  <c r="DI18" i="185"/>
  <c r="HM18" i="185" s="1"/>
  <c r="ES18" i="185"/>
  <c r="IW18" i="185" s="1"/>
  <c r="DJ18" i="185"/>
  <c r="HN18" i="185" s="1"/>
  <c r="ET18" i="185"/>
  <c r="IX18" i="185" s="1"/>
  <c r="EK18" i="185"/>
  <c r="IO18" i="185" s="1"/>
  <c r="DN18" i="185"/>
  <c r="HR18" i="185" s="1"/>
  <c r="DP18" i="185"/>
  <c r="HT18" i="185" s="1"/>
  <c r="DK18" i="185"/>
  <c r="HO18" i="185" s="1"/>
  <c r="EY18" i="185"/>
  <c r="JC18" i="185" s="1"/>
  <c r="DL18" i="185"/>
  <c r="HP18" i="185" s="1"/>
  <c r="DM18" i="185"/>
  <c r="HQ18" i="185" s="1"/>
  <c r="EL18" i="185"/>
  <c r="IP18" i="185" s="1"/>
  <c r="DQ18" i="185"/>
  <c r="HU18" i="185" s="1"/>
  <c r="DR18" i="185"/>
  <c r="DS18" i="185"/>
  <c r="DT18" i="185"/>
  <c r="HX18" i="185" s="1"/>
  <c r="EP18" i="185"/>
  <c r="IT18" i="185" s="1"/>
  <c r="EU18" i="185"/>
  <c r="EV18" i="185"/>
  <c r="IZ18" i="185" s="1"/>
  <c r="EW18" i="185"/>
  <c r="JA18" i="185" s="1"/>
  <c r="EX18" i="185"/>
  <c r="JB18" i="185" s="1"/>
  <c r="FB18" i="185"/>
  <c r="JF18" i="185" s="1"/>
  <c r="EZ18" i="185"/>
  <c r="JD18" i="185" s="1"/>
  <c r="FA18" i="185"/>
  <c r="JE18" i="185" s="1"/>
  <c r="DW17" i="185"/>
  <c r="EY17" i="185"/>
  <c r="DX17" i="185"/>
  <c r="EZ17" i="185"/>
  <c r="DY17" i="185"/>
  <c r="FA17" i="185"/>
  <c r="DZ17" i="185"/>
  <c r="FB17" i="185"/>
  <c r="EA17" i="185"/>
  <c r="FC17" i="185"/>
  <c r="EC17" i="185"/>
  <c r="FE17" i="185"/>
  <c r="DK17" i="185"/>
  <c r="EM17" i="185"/>
  <c r="EK17" i="185"/>
  <c r="DI17" i="185"/>
  <c r="DJ17" i="185"/>
  <c r="IO17" i="185"/>
  <c r="EL17" i="185"/>
  <c r="ES17" i="185"/>
  <c r="EN17" i="185"/>
  <c r="EQ17" i="185"/>
  <c r="EO17" i="185"/>
  <c r="EP17" i="185"/>
  <c r="DH17" i="185"/>
  <c r="ER17" i="185"/>
  <c r="ET17" i="185"/>
  <c r="DL17" i="185"/>
  <c r="EU17" i="185"/>
  <c r="DM17" i="185"/>
  <c r="DN17" i="185"/>
  <c r="EW17" i="185"/>
  <c r="DO17" i="185"/>
  <c r="EX17" i="185"/>
  <c r="DP17" i="185"/>
  <c r="FD17" i="185"/>
  <c r="DQ17" i="185"/>
  <c r="FF17" i="185"/>
  <c r="DS17" i="185"/>
  <c r="DT17" i="185"/>
  <c r="DU17" i="185"/>
  <c r="EH17" i="185"/>
  <c r="EI17" i="185"/>
  <c r="EJ17" i="185"/>
  <c r="EV17" i="185"/>
  <c r="FG17" i="185"/>
  <c r="DR17" i="185"/>
  <c r="EE17" i="185"/>
  <c r="EF17" i="185"/>
  <c r="EG17" i="185"/>
  <c r="EB17" i="185"/>
  <c r="DV17" i="185"/>
  <c r="ED17" i="185"/>
  <c r="DX16" i="185"/>
  <c r="DY16" i="185"/>
  <c r="FA16" i="185"/>
  <c r="DP16" i="185"/>
  <c r="ET16" i="185"/>
  <c r="DQ16" i="185"/>
  <c r="EU16" i="185"/>
  <c r="DR16" i="185"/>
  <c r="EV16" i="185"/>
  <c r="DS16" i="185"/>
  <c r="EW16" i="185"/>
  <c r="DT16" i="185"/>
  <c r="EX16" i="185"/>
  <c r="DV16" i="185"/>
  <c r="EZ16" i="185"/>
  <c r="EH16" i="185"/>
  <c r="DJ16" i="185"/>
  <c r="FB16" i="185"/>
  <c r="DO16" i="185"/>
  <c r="FG16" i="185"/>
  <c r="DK16" i="185"/>
  <c r="FC16" i="185"/>
  <c r="DL16" i="185"/>
  <c r="FD16" i="185"/>
  <c r="DW16" i="185"/>
  <c r="DM16" i="185"/>
  <c r="FE16" i="185"/>
  <c r="DN16" i="185"/>
  <c r="FF16" i="185"/>
  <c r="DZ16" i="185"/>
  <c r="DU16" i="185"/>
  <c r="EA16" i="185"/>
  <c r="EC16" i="185"/>
  <c r="ED16" i="185"/>
  <c r="IH16" i="185" s="1"/>
  <c r="EE16" i="185"/>
  <c r="EF16" i="185"/>
  <c r="EI16" i="185"/>
  <c r="EJ16" i="185"/>
  <c r="EK16" i="185"/>
  <c r="DI16" i="185"/>
  <c r="EN16" i="185"/>
  <c r="DH16" i="185"/>
  <c r="EO16" i="185"/>
  <c r="EB16" i="185"/>
  <c r="EG16" i="185"/>
  <c r="EL16" i="185"/>
  <c r="EM16" i="185"/>
  <c r="EP16" i="185"/>
  <c r="EQ16" i="185"/>
  <c r="ER16" i="185"/>
  <c r="ES16" i="185"/>
  <c r="EY16" i="185"/>
  <c r="DW45" i="185"/>
  <c r="EY45" i="185"/>
  <c r="DX45" i="185"/>
  <c r="EZ45" i="185"/>
  <c r="DY45" i="185"/>
  <c r="FA45" i="185"/>
  <c r="DZ45" i="185"/>
  <c r="FB45" i="185"/>
  <c r="EA45" i="185"/>
  <c r="FC45" i="185"/>
  <c r="EC45" i="185"/>
  <c r="FE45" i="185"/>
  <c r="DK45" i="185"/>
  <c r="EM45" i="185"/>
  <c r="EK45" i="185"/>
  <c r="DI45" i="185"/>
  <c r="DJ45" i="185"/>
  <c r="EU45" i="185"/>
  <c r="EL45" i="185"/>
  <c r="EN45" i="185"/>
  <c r="ES45" i="185"/>
  <c r="DL45" i="185"/>
  <c r="EO45" i="185"/>
  <c r="EP45" i="185"/>
  <c r="EQ45" i="185"/>
  <c r="ET45" i="185"/>
  <c r="DH45" i="185"/>
  <c r="HL45" i="185" s="1"/>
  <c r="ER45" i="185"/>
  <c r="DQ45" i="185"/>
  <c r="FF45" i="185"/>
  <c r="DS45" i="185"/>
  <c r="DT45" i="185"/>
  <c r="EH45" i="185"/>
  <c r="DU45" i="185"/>
  <c r="DM45" i="185"/>
  <c r="DR45" i="185"/>
  <c r="DO45" i="185"/>
  <c r="EF45" i="185"/>
  <c r="DN45" i="185"/>
  <c r="HS45" i="185" s="1"/>
  <c r="FD45" i="185"/>
  <c r="DP45" i="185"/>
  <c r="DV45" i="185"/>
  <c r="EE45" i="185"/>
  <c r="EG45" i="185"/>
  <c r="EB45" i="185"/>
  <c r="ED45" i="185"/>
  <c r="EI45" i="185"/>
  <c r="EJ45" i="185"/>
  <c r="EV45" i="185"/>
  <c r="EW45" i="185"/>
  <c r="EX45" i="185"/>
  <c r="FG45" i="185"/>
  <c r="DW31" i="185"/>
  <c r="EY31" i="185"/>
  <c r="DX31" i="185"/>
  <c r="EZ31" i="185"/>
  <c r="DY31" i="185"/>
  <c r="FA31" i="185"/>
  <c r="DZ31" i="185"/>
  <c r="FB31" i="185"/>
  <c r="EA31" i="185"/>
  <c r="FC31" i="185"/>
  <c r="EC31" i="185"/>
  <c r="FE31" i="185"/>
  <c r="DK31" i="185"/>
  <c r="EM31" i="185"/>
  <c r="DQ31" i="185"/>
  <c r="FF31" i="185"/>
  <c r="EE31" i="185"/>
  <c r="DR31" i="185"/>
  <c r="FG31" i="185"/>
  <c r="DS31" i="185"/>
  <c r="DT31" i="185"/>
  <c r="DV31" i="185"/>
  <c r="DU31" i="185"/>
  <c r="EB31" i="185"/>
  <c r="ED31" i="185"/>
  <c r="EF31" i="185"/>
  <c r="IK31" i="185" s="1"/>
  <c r="EJ31" i="185"/>
  <c r="IN31" i="185" s="1"/>
  <c r="EK31" i="185"/>
  <c r="EN31" i="185"/>
  <c r="EO31" i="185"/>
  <c r="EP31" i="185"/>
  <c r="ER31" i="185"/>
  <c r="ES31" i="185"/>
  <c r="DO31" i="185"/>
  <c r="ET31" i="185"/>
  <c r="EU31" i="185"/>
  <c r="EW31" i="185"/>
  <c r="DH31" i="185"/>
  <c r="EV31" i="185"/>
  <c r="EX31" i="185"/>
  <c r="FD31" i="185"/>
  <c r="DI31" i="185"/>
  <c r="DJ31" i="185"/>
  <c r="DL31" i="185"/>
  <c r="DM31" i="185"/>
  <c r="DN31" i="185"/>
  <c r="EQ31" i="185"/>
  <c r="DP31" i="185"/>
  <c r="EH31" i="185"/>
  <c r="EI31" i="185"/>
  <c r="EL31" i="185"/>
  <c r="EG31" i="185"/>
  <c r="JG44" i="185"/>
  <c r="DS44" i="185"/>
  <c r="EU44" i="185"/>
  <c r="DT44" i="185"/>
  <c r="EV44" i="185"/>
  <c r="JA44" i="185" s="1"/>
  <c r="DU44" i="185"/>
  <c r="EW44" i="185"/>
  <c r="DV44" i="185"/>
  <c r="EX44" i="185"/>
  <c r="DW44" i="185"/>
  <c r="EY44" i="185"/>
  <c r="JC44" i="185" s="1"/>
  <c r="DY44" i="185"/>
  <c r="FA44" i="185"/>
  <c r="EI44" i="185"/>
  <c r="DM44" i="185"/>
  <c r="FB44" i="185"/>
  <c r="DR44" i="185"/>
  <c r="DN44" i="185"/>
  <c r="FC44" i="185"/>
  <c r="FG44" i="185"/>
  <c r="DZ44" i="185"/>
  <c r="EA44" i="185"/>
  <c r="EB44" i="185"/>
  <c r="IJ44" i="185"/>
  <c r="DO44" i="185"/>
  <c r="FD44" i="185"/>
  <c r="DP44" i="185"/>
  <c r="FE44" i="185"/>
  <c r="FF44" i="185"/>
  <c r="JK44" i="185" s="1"/>
  <c r="DQ44" i="185"/>
  <c r="DX44" i="185"/>
  <c r="EG44" i="185"/>
  <c r="EJ44" i="185"/>
  <c r="EK44" i="185"/>
  <c r="ES44" i="185"/>
  <c r="ET44" i="185"/>
  <c r="DJ44" i="185"/>
  <c r="EZ44" i="185"/>
  <c r="EL44" i="185"/>
  <c r="DH44" i="185"/>
  <c r="DK44" i="185"/>
  <c r="DL44" i="185"/>
  <c r="DI44" i="185"/>
  <c r="EC44" i="185"/>
  <c r="ED44" i="185"/>
  <c r="EE44" i="185"/>
  <c r="EF44" i="185"/>
  <c r="EH44" i="185"/>
  <c r="EN44" i="185"/>
  <c r="EP44" i="185"/>
  <c r="EQ44" i="185"/>
  <c r="EO44" i="185"/>
  <c r="EM44" i="185"/>
  <c r="ER44" i="185"/>
  <c r="DS30" i="185"/>
  <c r="EU30" i="185"/>
  <c r="DT30" i="185"/>
  <c r="EV30" i="185"/>
  <c r="DU30" i="185"/>
  <c r="EW30" i="185"/>
  <c r="DV30" i="185"/>
  <c r="EX30" i="185"/>
  <c r="DW30" i="185"/>
  <c r="EY30" i="185"/>
  <c r="DY30" i="185"/>
  <c r="FA30" i="185"/>
  <c r="EI30" i="185"/>
  <c r="EG30" i="185"/>
  <c r="EM30" i="185"/>
  <c r="DH30" i="185"/>
  <c r="HL30" i="185" s="1"/>
  <c r="EH30" i="185"/>
  <c r="EJ30" i="185"/>
  <c r="EP30" i="185"/>
  <c r="EK30" i="185"/>
  <c r="EO30" i="185"/>
  <c r="EL30" i="185"/>
  <c r="EN30" i="185"/>
  <c r="EQ30" i="185"/>
  <c r="DL30" i="185"/>
  <c r="HP30" i="185" s="1"/>
  <c r="EZ30" i="185"/>
  <c r="DM30" i="185"/>
  <c r="FB30" i="185"/>
  <c r="DO30" i="185"/>
  <c r="FD30" i="185"/>
  <c r="DP30" i="185"/>
  <c r="FE30" i="185"/>
  <c r="DQ30" i="185"/>
  <c r="FF30" i="185"/>
  <c r="JK30" i="185" s="1"/>
  <c r="DN30" i="185"/>
  <c r="DR30" i="185"/>
  <c r="DX30" i="185"/>
  <c r="EB30" i="185"/>
  <c r="EF30" i="185"/>
  <c r="DZ30" i="185"/>
  <c r="EA30" i="185"/>
  <c r="IF30" i="185" s="1"/>
  <c r="ED30" i="185"/>
  <c r="EC30" i="185"/>
  <c r="IH30" i="185" s="1"/>
  <c r="EE30" i="185"/>
  <c r="FC30" i="185"/>
  <c r="FG30" i="185"/>
  <c r="ER30" i="185"/>
  <c r="ES30" i="185"/>
  <c r="ET30" i="185"/>
  <c r="DJ30" i="185"/>
  <c r="DK30" i="185"/>
  <c r="HO30" i="185" s="1"/>
  <c r="DI30" i="185"/>
  <c r="HN30" i="185" s="1"/>
  <c r="HL43" i="185"/>
  <c r="DO43" i="185"/>
  <c r="EQ43" i="185"/>
  <c r="DP43" i="185"/>
  <c r="ER43" i="185"/>
  <c r="DQ43" i="185"/>
  <c r="ES43" i="185"/>
  <c r="DR43" i="185"/>
  <c r="ET43" i="185"/>
  <c r="DS43" i="185"/>
  <c r="HX43" i="185" s="1"/>
  <c r="EU43" i="185"/>
  <c r="DU43" i="185"/>
  <c r="EW43" i="185"/>
  <c r="EE43" i="185"/>
  <c r="FG43" i="185"/>
  <c r="EC43" i="185"/>
  <c r="ED43" i="185"/>
  <c r="EF43" i="185"/>
  <c r="EK43" i="185"/>
  <c r="EL43" i="185"/>
  <c r="EG43" i="185"/>
  <c r="EH43" i="185"/>
  <c r="EI43" i="185"/>
  <c r="EJ43" i="185"/>
  <c r="EM43" i="185"/>
  <c r="DH43" i="185"/>
  <c r="EV43" i="185"/>
  <c r="DI43" i="185"/>
  <c r="EX43" i="185"/>
  <c r="DK43" i="185"/>
  <c r="EZ43" i="185"/>
  <c r="DL43" i="185"/>
  <c r="FA43" i="185"/>
  <c r="EA43" i="185"/>
  <c r="FE43" i="185"/>
  <c r="EB43" i="185"/>
  <c r="EO43" i="185"/>
  <c r="FC43" i="185"/>
  <c r="EN43" i="185"/>
  <c r="EY43" i="185"/>
  <c r="FD43" i="185"/>
  <c r="EP43" i="185"/>
  <c r="FB43" i="185"/>
  <c r="FF43" i="185"/>
  <c r="DN43" i="185"/>
  <c r="DJ43" i="185"/>
  <c r="DM43" i="185"/>
  <c r="DW43" i="185"/>
  <c r="DZ43" i="185"/>
  <c r="DT43" i="185"/>
  <c r="DY43" i="185"/>
  <c r="DV43" i="185"/>
  <c r="IA43" i="185" s="1"/>
  <c r="DX43" i="185"/>
  <c r="DO29" i="185"/>
  <c r="EQ29" i="185"/>
  <c r="DP29" i="185"/>
  <c r="ER29" i="185"/>
  <c r="DQ29" i="185"/>
  <c r="ES29" i="185"/>
  <c r="DR29" i="185"/>
  <c r="ET29" i="185"/>
  <c r="DS29" i="185"/>
  <c r="EU29" i="185"/>
  <c r="IZ29" i="185" s="1"/>
  <c r="DU29" i="185"/>
  <c r="EW29" i="185"/>
  <c r="EE29" i="185"/>
  <c r="FG29" i="185"/>
  <c r="DI29" i="185"/>
  <c r="EX29" i="185"/>
  <c r="DV29" i="185"/>
  <c r="FF29" i="185"/>
  <c r="DJ29" i="185"/>
  <c r="EY29" i="185"/>
  <c r="DX29" i="185"/>
  <c r="DK29" i="185"/>
  <c r="EZ29" i="185"/>
  <c r="DN29" i="185"/>
  <c r="FE29" i="185"/>
  <c r="DL29" i="185"/>
  <c r="FA29" i="185"/>
  <c r="FC29" i="185"/>
  <c r="DW29" i="185"/>
  <c r="DM29" i="185"/>
  <c r="FB29" i="185"/>
  <c r="DT29" i="185"/>
  <c r="FD29" i="185"/>
  <c r="EB29" i="185"/>
  <c r="EC29" i="185"/>
  <c r="EF29" i="185"/>
  <c r="EG29" i="185"/>
  <c r="EH29" i="185"/>
  <c r="DZ29" i="185"/>
  <c r="EN29" i="185"/>
  <c r="DY29" i="185"/>
  <c r="EA29" i="185"/>
  <c r="DH29" i="185"/>
  <c r="ED29" i="185"/>
  <c r="EI29" i="185"/>
  <c r="EJ29" i="185"/>
  <c r="EK29" i="185"/>
  <c r="EL29" i="185"/>
  <c r="EM29" i="185"/>
  <c r="EO29" i="185"/>
  <c r="EV29" i="185"/>
  <c r="EP29" i="185"/>
  <c r="DR15" i="185"/>
  <c r="HV15" i="185" s="1"/>
  <c r="ET15" i="185"/>
  <c r="IX15" i="185" s="1"/>
  <c r="DS15" i="185"/>
  <c r="HW15" i="185" s="1"/>
  <c r="EU15" i="185"/>
  <c r="IY15" i="185" s="1"/>
  <c r="DT15" i="185"/>
  <c r="HX15" i="185" s="1"/>
  <c r="EV15" i="185"/>
  <c r="IZ15" i="185" s="1"/>
  <c r="DU15" i="185"/>
  <c r="HY15" i="185" s="1"/>
  <c r="EW15" i="185"/>
  <c r="JA15" i="185" s="1"/>
  <c r="EH15" i="185"/>
  <c r="IL15" i="185" s="1"/>
  <c r="EJ15" i="185"/>
  <c r="IN15" i="185" s="1"/>
  <c r="EO15" i="185"/>
  <c r="IS15" i="185" s="1"/>
  <c r="EK15" i="185"/>
  <c r="EL15" i="185"/>
  <c r="IP15" i="185" s="1"/>
  <c r="EM15" i="185"/>
  <c r="IQ15" i="185" s="1"/>
  <c r="IO15" i="185"/>
  <c r="EN15" i="185"/>
  <c r="IR15" i="185" s="1"/>
  <c r="DI15" i="185"/>
  <c r="HM15" i="185" s="1"/>
  <c r="EP15" i="185"/>
  <c r="IT15" i="185" s="1"/>
  <c r="DW15" i="185"/>
  <c r="IA15" i="185" s="1"/>
  <c r="FD15" i="185"/>
  <c r="JH15" i="185" s="1"/>
  <c r="DP15" i="185"/>
  <c r="HT15" i="185" s="1"/>
  <c r="DZ15" i="185"/>
  <c r="ID15" i="185" s="1"/>
  <c r="EB15" i="185"/>
  <c r="IF15" i="185" s="1"/>
  <c r="DQ15" i="185"/>
  <c r="HU15" i="185" s="1"/>
  <c r="EC15" i="185"/>
  <c r="IG15" i="185" s="1"/>
  <c r="DV15" i="185"/>
  <c r="HZ15" i="185" s="1"/>
  <c r="DX15" i="185"/>
  <c r="IB15" i="185" s="1"/>
  <c r="DY15" i="185"/>
  <c r="IC15" i="185" s="1"/>
  <c r="EA15" i="185"/>
  <c r="IE15" i="185" s="1"/>
  <c r="ED15" i="185"/>
  <c r="IH15" i="185" s="1"/>
  <c r="EE15" i="185"/>
  <c r="II15" i="185" s="1"/>
  <c r="EF15" i="185"/>
  <c r="EG15" i="185"/>
  <c r="EI15" i="185"/>
  <c r="EQ15" i="185"/>
  <c r="IU15" i="185" s="1"/>
  <c r="ES15" i="185"/>
  <c r="IW15" i="185" s="1"/>
  <c r="EX15" i="185"/>
  <c r="JB15" i="185" s="1"/>
  <c r="EY15" i="185"/>
  <c r="JC15" i="185" s="1"/>
  <c r="ER15" i="185"/>
  <c r="IV15" i="185" s="1"/>
  <c r="EZ15" i="185"/>
  <c r="JD15" i="185" s="1"/>
  <c r="FA15" i="185"/>
  <c r="JE15" i="185" s="1"/>
  <c r="FB15" i="185"/>
  <c r="JF15" i="185" s="1"/>
  <c r="FE15" i="185"/>
  <c r="JI15" i="185" s="1"/>
  <c r="FC15" i="185"/>
  <c r="JG15" i="185" s="1"/>
  <c r="DH15" i="185"/>
  <c r="FF15" i="185"/>
  <c r="JJ15" i="185" s="1"/>
  <c r="FG15" i="185"/>
  <c r="JK15" i="185" s="1"/>
  <c r="DJ15" i="185"/>
  <c r="HN15" i="185" s="1"/>
  <c r="DM15" i="185"/>
  <c r="DO15" i="185"/>
  <c r="HS15" i="185" s="1"/>
  <c r="DK15" i="185"/>
  <c r="HO15" i="185" s="1"/>
  <c r="DL15" i="185"/>
  <c r="HP15" i="185" s="1"/>
  <c r="DN15" i="185"/>
  <c r="HR15" i="185" s="1"/>
  <c r="HL46" i="185"/>
  <c r="EA46" i="185"/>
  <c r="FC46" i="185"/>
  <c r="EE46" i="185"/>
  <c r="EB46" i="185"/>
  <c r="FD46" i="185"/>
  <c r="EC46" i="185"/>
  <c r="FE46" i="185"/>
  <c r="ED46" i="185"/>
  <c r="FF46" i="185"/>
  <c r="FG46" i="185"/>
  <c r="JK46" i="185" s="1"/>
  <c r="EG46" i="185"/>
  <c r="DO46" i="185"/>
  <c r="EQ46" i="185"/>
  <c r="DU46" i="185"/>
  <c r="DZ46" i="185"/>
  <c r="DV46" i="185"/>
  <c r="DW46" i="185"/>
  <c r="DX46" i="185"/>
  <c r="DY46" i="185"/>
  <c r="EH46" i="185"/>
  <c r="EI46" i="185"/>
  <c r="EJ46" i="185"/>
  <c r="EF46" i="185"/>
  <c r="DH46" i="185"/>
  <c r="ER46" i="185"/>
  <c r="DI46" i="185"/>
  <c r="ES46" i="185"/>
  <c r="DP46" i="185"/>
  <c r="EK46" i="185"/>
  <c r="EM46" i="185"/>
  <c r="EU46" i="185"/>
  <c r="DQ46" i="185"/>
  <c r="DR46" i="185"/>
  <c r="EN46" i="185"/>
  <c r="DS46" i="185"/>
  <c r="DT46" i="185"/>
  <c r="EL46" i="185"/>
  <c r="EO46" i="185"/>
  <c r="EX46" i="185"/>
  <c r="EP46" i="185"/>
  <c r="ET46" i="185"/>
  <c r="EV46" i="185"/>
  <c r="EW46" i="185"/>
  <c r="EY46" i="185"/>
  <c r="EZ46" i="185"/>
  <c r="FA46" i="185"/>
  <c r="FB46" i="185"/>
  <c r="DJ46" i="185"/>
  <c r="DN46" i="185"/>
  <c r="DK46" i="185"/>
  <c r="DL46" i="185"/>
  <c r="DM46" i="185"/>
  <c r="HQ42" i="185" l="1"/>
  <c r="IE34" i="185"/>
  <c r="IZ39" i="185"/>
  <c r="ID33" i="185"/>
  <c r="HT34" i="185"/>
  <c r="HS26" i="185"/>
  <c r="IC43" i="185"/>
  <c r="IT30" i="185"/>
  <c r="IG7" i="185"/>
  <c r="HX7" i="185"/>
  <c r="JA42" i="185"/>
  <c r="IM43" i="185"/>
  <c r="IQ38" i="185"/>
  <c r="HR22" i="185"/>
  <c r="HQ36" i="185"/>
  <c r="IF45" i="185"/>
  <c r="IC36" i="185"/>
  <c r="IK7" i="185"/>
  <c r="HN23" i="185"/>
  <c r="IX27" i="185"/>
  <c r="IH41" i="185"/>
  <c r="IN44" i="185"/>
  <c r="IV16" i="185"/>
  <c r="IB13" i="185"/>
  <c r="IF31" i="185"/>
  <c r="IA7" i="185"/>
  <c r="IG43" i="185"/>
  <c r="IB11" i="185"/>
  <c r="HM46" i="185"/>
  <c r="HY22" i="185"/>
  <c r="HT31" i="185"/>
  <c r="IY21" i="185"/>
  <c r="IA40" i="185"/>
  <c r="JG43" i="185"/>
  <c r="JE33" i="185"/>
  <c r="JG12" i="185"/>
  <c r="IK32" i="185"/>
  <c r="JI43" i="185"/>
  <c r="II27" i="185"/>
  <c r="JJ32" i="185"/>
  <c r="JF30" i="185"/>
  <c r="IA38" i="185"/>
  <c r="IU43" i="185"/>
  <c r="II29" i="185"/>
  <c r="HZ43" i="185"/>
  <c r="HW30" i="185"/>
  <c r="IZ43" i="185"/>
  <c r="HS30" i="185"/>
  <c r="IU31" i="185"/>
  <c r="IW45" i="185"/>
  <c r="JI16" i="185"/>
  <c r="IL13" i="185"/>
  <c r="IN14" i="185"/>
  <c r="JJ20" i="185"/>
  <c r="HN46" i="185"/>
  <c r="IH28" i="185"/>
  <c r="IK40" i="185"/>
  <c r="ID27" i="185"/>
  <c r="JE46" i="185"/>
  <c r="JC21" i="185"/>
  <c r="IP7" i="185"/>
  <c r="JD8" i="185"/>
  <c r="HY23" i="185"/>
  <c r="II28" i="185"/>
  <c r="IY41" i="185"/>
  <c r="JC45" i="185"/>
  <c r="IU16" i="185"/>
  <c r="HW19" i="185"/>
  <c r="JC38" i="185"/>
  <c r="HX21" i="185"/>
  <c r="IG22" i="185"/>
  <c r="HX41" i="185"/>
  <c r="IV26" i="185"/>
  <c r="II5" i="185"/>
  <c r="HX42" i="185"/>
  <c r="IE13" i="185"/>
  <c r="IQ11" i="185"/>
  <c r="HY13" i="185"/>
  <c r="IB46" i="185"/>
  <c r="JE13" i="185"/>
  <c r="IW25" i="185"/>
  <c r="JB19" i="185"/>
  <c r="HV20" i="185"/>
  <c r="JF19" i="185"/>
  <c r="HY31" i="185"/>
  <c r="IX42" i="185"/>
  <c r="IP11" i="185"/>
  <c r="JG20" i="185"/>
  <c r="IS45" i="185"/>
  <c r="IN34" i="185"/>
  <c r="HX5" i="185"/>
  <c r="IR44" i="185"/>
  <c r="IC32" i="185"/>
  <c r="IW7" i="185"/>
  <c r="IS23" i="185"/>
  <c r="JC27" i="185"/>
  <c r="JG42" i="185"/>
  <c r="JC11" i="185"/>
  <c r="IT11" i="185"/>
  <c r="IG27" i="185"/>
  <c r="II14" i="185"/>
  <c r="HZ13" i="185"/>
  <c r="JF20" i="185"/>
  <c r="HX46" i="185"/>
  <c r="HN5" i="185"/>
  <c r="IG40" i="185"/>
  <c r="IH46" i="185"/>
  <c r="JI32" i="185"/>
  <c r="JC36" i="185"/>
  <c r="IK23" i="185"/>
  <c r="IR36" i="185"/>
  <c r="HW31" i="185"/>
  <c r="JD38" i="185"/>
  <c r="JE21" i="185"/>
  <c r="HP9" i="185"/>
  <c r="HN7" i="185"/>
  <c r="JH23" i="185"/>
  <c r="JJ16" i="185"/>
  <c r="IB29" i="185"/>
  <c r="JD32" i="185"/>
  <c r="IF19" i="185"/>
  <c r="HS7" i="185"/>
  <c r="HT42" i="185"/>
  <c r="IZ11" i="185"/>
  <c r="IS39" i="185"/>
  <c r="HN20" i="185"/>
  <c r="JB12" i="185"/>
  <c r="IB9" i="185"/>
  <c r="IR10" i="185"/>
  <c r="HP23" i="185"/>
  <c r="HR40" i="185"/>
  <c r="IY40" i="185"/>
  <c r="HW27" i="185"/>
  <c r="IJ13" i="185"/>
  <c r="IG41" i="185"/>
  <c r="HX11" i="185"/>
  <c r="JK38" i="185"/>
  <c r="IG14" i="185"/>
  <c r="IN29" i="185"/>
  <c r="HT10" i="185"/>
  <c r="JF24" i="185"/>
  <c r="JA23" i="185"/>
  <c r="IG32" i="185"/>
  <c r="IO43" i="185"/>
  <c r="HX16" i="185"/>
  <c r="IP46" i="185"/>
  <c r="IR31" i="185"/>
  <c r="IS34" i="185"/>
  <c r="JD34" i="185"/>
  <c r="HW23" i="185"/>
  <c r="HV27" i="185"/>
  <c r="HQ27" i="185"/>
  <c r="IP40" i="185"/>
  <c r="HN27" i="185"/>
  <c r="IN27" i="185"/>
  <c r="IL40" i="185"/>
  <c r="IC46" i="185"/>
  <c r="HZ28" i="185"/>
  <c r="JJ42" i="185"/>
  <c r="HZ21" i="185"/>
  <c r="HN32" i="185"/>
  <c r="HM38" i="185"/>
  <c r="JD7" i="185"/>
  <c r="HZ12" i="185"/>
  <c r="HU20" i="185"/>
  <c r="IZ31" i="185"/>
  <c r="IF32" i="185"/>
  <c r="ID38" i="185"/>
  <c r="IS9" i="185"/>
  <c r="IR12" i="185"/>
  <c r="HU16" i="185"/>
  <c r="II21" i="185"/>
  <c r="IZ38" i="185"/>
  <c r="HW34" i="185"/>
  <c r="IV24" i="185"/>
  <c r="IF20" i="185"/>
  <c r="HW41" i="185"/>
  <c r="JI14" i="185"/>
  <c r="IL29" i="185"/>
  <c r="HX29" i="185"/>
  <c r="JA30" i="185"/>
  <c r="IC45" i="185"/>
  <c r="ID16" i="185"/>
  <c r="JF32" i="185"/>
  <c r="JC32" i="185"/>
  <c r="ID19" i="185"/>
  <c r="IT24" i="185"/>
  <c r="JF21" i="185"/>
  <c r="IM10" i="185"/>
  <c r="HS23" i="185"/>
  <c r="JF23" i="185"/>
  <c r="JI28" i="185"/>
  <c r="IP41" i="185"/>
  <c r="JD26" i="185"/>
  <c r="IM26" i="185"/>
  <c r="IR11" i="185"/>
  <c r="IJ29" i="185"/>
  <c r="IX29" i="185"/>
  <c r="JI30" i="185"/>
  <c r="IL44" i="185"/>
  <c r="IS31" i="185"/>
  <c r="JD31" i="185"/>
  <c r="HR16" i="185"/>
  <c r="JK22" i="185"/>
  <c r="IQ22" i="185"/>
  <c r="IQ23" i="185"/>
  <c r="IC23" i="185"/>
  <c r="HS41" i="185"/>
  <c r="IL26" i="185"/>
  <c r="IJ11" i="185"/>
  <c r="HQ14" i="185"/>
  <c r="HQ44" i="185"/>
  <c r="JD5" i="185"/>
  <c r="HV29" i="185"/>
  <c r="IP31" i="185"/>
  <c r="IU20" i="185"/>
  <c r="HP13" i="185"/>
  <c r="JH41" i="185"/>
  <c r="JJ11" i="185"/>
  <c r="II12" i="185"/>
  <c r="JH17" i="185"/>
  <c r="IA44" i="185"/>
  <c r="IX32" i="185"/>
  <c r="IP32" i="185"/>
  <c r="HY34" i="185"/>
  <c r="HO24" i="185"/>
  <c r="HQ9" i="185"/>
  <c r="HU10" i="185"/>
  <c r="IC10" i="185"/>
  <c r="IB23" i="185"/>
  <c r="IZ13" i="185"/>
  <c r="IU12" i="185"/>
  <c r="HS39" i="185"/>
  <c r="JA21" i="185"/>
  <c r="IY16" i="185"/>
  <c r="IH21" i="185"/>
  <c r="HX39" i="185"/>
  <c r="HZ41" i="185"/>
  <c r="JE38" i="185"/>
  <c r="IC38" i="185"/>
  <c r="IM29" i="185"/>
  <c r="JK33" i="185"/>
  <c r="IV43" i="185"/>
  <c r="HR10" i="185"/>
  <c r="JB8" i="185"/>
  <c r="IQ13" i="185"/>
  <c r="IA25" i="185"/>
  <c r="JK12" i="185"/>
  <c r="HZ24" i="185"/>
  <c r="IW16" i="185"/>
  <c r="HU21" i="185"/>
  <c r="JI46" i="185"/>
  <c r="HO43" i="185"/>
  <c r="HT43" i="185"/>
  <c r="HU19" i="185"/>
  <c r="II34" i="185"/>
  <c r="IU7" i="185"/>
  <c r="IF42" i="185"/>
  <c r="IN41" i="185"/>
  <c r="IS25" i="185"/>
  <c r="IE12" i="185"/>
  <c r="IS11" i="185"/>
  <c r="JE25" i="185"/>
  <c r="IC26" i="185"/>
  <c r="HT20" i="185"/>
  <c r="JI7" i="185"/>
  <c r="IS7" i="185"/>
  <c r="HZ40" i="185"/>
  <c r="HZ27" i="185"/>
  <c r="IB42" i="185"/>
  <c r="HN28" i="185"/>
  <c r="JI26" i="185"/>
  <c r="JD20" i="185"/>
  <c r="JJ9" i="185"/>
  <c r="IC11" i="185"/>
  <c r="JI12" i="185"/>
  <c r="IU46" i="185"/>
  <c r="JC8" i="185"/>
  <c r="IW23" i="185"/>
  <c r="IJ40" i="185"/>
  <c r="IG19" i="185"/>
  <c r="IF29" i="185"/>
  <c r="HX27" i="185"/>
  <c r="HP42" i="185"/>
  <c r="HQ20" i="185"/>
  <c r="JI10" i="185"/>
  <c r="HW8" i="185"/>
  <c r="HV40" i="185"/>
  <c r="JG41" i="185"/>
  <c r="ID25" i="185"/>
  <c r="JD17" i="185"/>
  <c r="HX32" i="185"/>
  <c r="IX46" i="185"/>
  <c r="JJ29" i="185"/>
  <c r="IV23" i="185"/>
  <c r="IY42" i="185"/>
  <c r="IF13" i="185"/>
  <c r="JC26" i="185"/>
  <c r="JG23" i="185"/>
  <c r="IZ12" i="185"/>
  <c r="JB21" i="185"/>
  <c r="IU27" i="185"/>
  <c r="IQ24" i="185"/>
  <c r="IG16" i="185"/>
  <c r="HU32" i="185"/>
  <c r="JK20" i="185"/>
  <c r="IM16" i="185"/>
  <c r="ID22" i="185"/>
  <c r="IL43" i="185"/>
  <c r="HQ31" i="185"/>
  <c r="IY34" i="185"/>
  <c r="HV22" i="185"/>
  <c r="HS36" i="185"/>
  <c r="IE7" i="185"/>
  <c r="JG10" i="185"/>
  <c r="IT23" i="185"/>
  <c r="IF40" i="185"/>
  <c r="IW26" i="185"/>
  <c r="JH26" i="185"/>
  <c r="HM12" i="185"/>
  <c r="HM29" i="185"/>
  <c r="HN19" i="185"/>
  <c r="II46" i="185"/>
  <c r="IY30" i="185"/>
  <c r="IT16" i="185"/>
  <c r="IJ45" i="185"/>
  <c r="IW19" i="185"/>
  <c r="IP45" i="185"/>
  <c r="IA16" i="185"/>
  <c r="IG38" i="185"/>
  <c r="IQ20" i="185"/>
  <c r="IW22" i="185"/>
  <c r="IY10" i="185"/>
  <c r="IW8" i="185"/>
  <c r="JA27" i="185"/>
  <c r="JI42" i="185"/>
  <c r="IJ28" i="185"/>
  <c r="JE12" i="185"/>
  <c r="IJ43" i="185"/>
  <c r="IM7" i="185"/>
  <c r="IF14" i="185"/>
  <c r="JB27" i="185"/>
  <c r="JE39" i="185"/>
  <c r="HT27" i="185"/>
  <c r="IR46" i="185"/>
  <c r="HN43" i="185"/>
  <c r="IE46" i="185"/>
  <c r="IU38" i="185"/>
  <c r="IS30" i="185"/>
  <c r="JE27" i="185"/>
  <c r="IP43" i="185"/>
  <c r="JC16" i="185"/>
  <c r="IX19" i="185"/>
  <c r="HT38" i="185"/>
  <c r="IA22" i="185"/>
  <c r="IW10" i="185"/>
  <c r="IY13" i="185"/>
  <c r="HM11" i="185"/>
  <c r="IU14" i="185"/>
  <c r="JE20" i="185"/>
  <c r="IA10" i="185"/>
  <c r="IZ46" i="185"/>
  <c r="HX31" i="185"/>
  <c r="JH34" i="185"/>
  <c r="IS5" i="185"/>
  <c r="HO45" i="185"/>
  <c r="II30" i="185"/>
  <c r="JI31" i="185"/>
  <c r="IR45" i="185"/>
  <c r="HY16" i="185"/>
  <c r="IO19" i="185"/>
  <c r="HP19" i="185"/>
  <c r="IK34" i="185"/>
  <c r="ID10" i="185"/>
  <c r="IO8" i="185"/>
  <c r="IJ27" i="185"/>
  <c r="HY28" i="185"/>
  <c r="HV11" i="185"/>
  <c r="IA12" i="185"/>
  <c r="IG39" i="185"/>
  <c r="JK43" i="185"/>
  <c r="JH40" i="185"/>
  <c r="IC5" i="185"/>
  <c r="IQ27" i="185"/>
  <c r="HY42" i="185"/>
  <c r="IU28" i="185"/>
  <c r="JJ5" i="185"/>
  <c r="HS8" i="185"/>
  <c r="HS28" i="185"/>
  <c r="JF31" i="185"/>
  <c r="JH45" i="185"/>
  <c r="IO36" i="185"/>
  <c r="HM7" i="185"/>
  <c r="JC23" i="185"/>
  <c r="IV40" i="185"/>
  <c r="JF28" i="185"/>
  <c r="HO46" i="185"/>
  <c r="HX30" i="185"/>
  <c r="IZ44" i="185"/>
  <c r="HO32" i="185"/>
  <c r="HL38" i="185"/>
  <c r="HS34" i="185"/>
  <c r="IN24" i="185"/>
  <c r="II9" i="185"/>
  <c r="HZ8" i="185"/>
  <c r="HZ23" i="185"/>
  <c r="IM25" i="185"/>
  <c r="JH29" i="185"/>
  <c r="HQ43" i="185"/>
  <c r="HT30" i="185"/>
  <c r="HV44" i="185"/>
  <c r="HX44" i="185"/>
  <c r="IC31" i="185"/>
  <c r="HY45" i="185"/>
  <c r="HV16" i="185"/>
  <c r="JD33" i="185"/>
  <c r="IA32" i="185"/>
  <c r="IU32" i="185"/>
  <c r="HP38" i="185"/>
  <c r="IZ34" i="185"/>
  <c r="JC34" i="185"/>
  <c r="HP5" i="185"/>
  <c r="HO21" i="185"/>
  <c r="IX21" i="185"/>
  <c r="HS22" i="185"/>
  <c r="HZ7" i="185"/>
  <c r="IL7" i="185"/>
  <c r="JI23" i="185"/>
  <c r="IW40" i="185"/>
  <c r="HS27" i="185"/>
  <c r="HN42" i="185"/>
  <c r="JC28" i="185"/>
  <c r="IX25" i="185"/>
  <c r="IU25" i="185"/>
  <c r="IE14" i="185"/>
  <c r="JI22" i="185"/>
  <c r="IP25" i="185"/>
  <c r="IK29" i="185"/>
  <c r="IE33" i="185"/>
  <c r="JE32" i="185"/>
  <c r="IV21" i="185"/>
  <c r="IB22" i="185"/>
  <c r="IW41" i="185"/>
  <c r="IY25" i="185"/>
  <c r="IH26" i="185"/>
  <c r="IR32" i="185"/>
  <c r="HM32" i="185"/>
  <c r="IN17" i="185"/>
  <c r="HP8" i="185"/>
  <c r="ID31" i="185"/>
  <c r="JK9" i="185"/>
  <c r="JJ30" i="185"/>
  <c r="HV45" i="185"/>
  <c r="JE45" i="185"/>
  <c r="IF17" i="185"/>
  <c r="IC19" i="185"/>
  <c r="IM19" i="185"/>
  <c r="JH38" i="185"/>
  <c r="II24" i="185"/>
  <c r="ID24" i="185"/>
  <c r="IV9" i="185"/>
  <c r="IX10" i="185"/>
  <c r="IY11" i="185"/>
  <c r="JK14" i="185"/>
  <c r="IL10" i="185"/>
  <c r="IU17" i="185"/>
  <c r="IV22" i="185"/>
  <c r="HY41" i="185"/>
  <c r="HN36" i="185"/>
  <c r="IB10" i="185"/>
  <c r="JD40" i="185"/>
  <c r="IU26" i="185"/>
  <c r="HW11" i="185"/>
  <c r="HS25" i="185"/>
  <c r="IQ14" i="185"/>
  <c r="JG32" i="185"/>
  <c r="IM17" i="185"/>
  <c r="IH33" i="185"/>
  <c r="HU17" i="185"/>
  <c r="IA33" i="185"/>
  <c r="HX19" i="185"/>
  <c r="HX24" i="185"/>
  <c r="IY28" i="185"/>
  <c r="IS41" i="185"/>
  <c r="HU12" i="185"/>
  <c r="JE8" i="185"/>
  <c r="JA29" i="185"/>
  <c r="JI44" i="185"/>
  <c r="IC16" i="185"/>
  <c r="IP5" i="185"/>
  <c r="HY9" i="185"/>
  <c r="JB46" i="185"/>
  <c r="IT44" i="185"/>
  <c r="IL31" i="185"/>
  <c r="IB45" i="185"/>
  <c r="JC17" i="185"/>
  <c r="IY33" i="185"/>
  <c r="HV19" i="185"/>
  <c r="IE38" i="185"/>
  <c r="JI24" i="185"/>
  <c r="HO20" i="185"/>
  <c r="IO5" i="185"/>
  <c r="IT21" i="185"/>
  <c r="JF22" i="185"/>
  <c r="JD36" i="185"/>
  <c r="IR9" i="185"/>
  <c r="IT8" i="185"/>
  <c r="HO40" i="185"/>
  <c r="HU27" i="185"/>
  <c r="IN42" i="185"/>
  <c r="IW28" i="185"/>
  <c r="IA13" i="185"/>
  <c r="IK11" i="185"/>
  <c r="JF25" i="185"/>
  <c r="HN12" i="185"/>
  <c r="JK39" i="185"/>
  <c r="IO14" i="185"/>
  <c r="JB7" i="185"/>
  <c r="IV44" i="185"/>
  <c r="HZ31" i="185"/>
  <c r="JE17" i="185"/>
  <c r="JE19" i="185"/>
  <c r="IF34" i="185"/>
  <c r="HO34" i="185"/>
  <c r="HU24" i="185"/>
  <c r="IP20" i="185"/>
  <c r="IH5" i="185"/>
  <c r="HR21" i="185"/>
  <c r="IP22" i="185"/>
  <c r="IU9" i="185"/>
  <c r="HV8" i="185"/>
  <c r="IQ40" i="185"/>
  <c r="IR27" i="185"/>
  <c r="IV27" i="185"/>
  <c r="IZ42" i="185"/>
  <c r="IB28" i="185"/>
  <c r="IM28" i="185"/>
  <c r="IO12" i="185"/>
  <c r="II39" i="185"/>
  <c r="HV14" i="185"/>
  <c r="JB32" i="185"/>
  <c r="JC30" i="185"/>
  <c r="IO25" i="185"/>
  <c r="JD46" i="185"/>
  <c r="IJ19" i="185"/>
  <c r="JB24" i="185"/>
  <c r="JC24" i="185"/>
  <c r="JD21" i="185"/>
  <c r="IR21" i="185"/>
  <c r="JI36" i="185"/>
  <c r="HX9" i="185"/>
  <c r="IP9" i="185"/>
  <c r="JF10" i="185"/>
  <c r="ID13" i="185"/>
  <c r="JC41" i="185"/>
  <c r="IK14" i="185"/>
  <c r="JB9" i="185"/>
  <c r="IB41" i="185"/>
  <c r="JJ43" i="185"/>
  <c r="IM31" i="185"/>
  <c r="IV17" i="185"/>
  <c r="HS24" i="185"/>
  <c r="IJ22" i="185"/>
  <c r="HV9" i="185"/>
  <c r="IJ10" i="185"/>
  <c r="IO42" i="185"/>
  <c r="IF26" i="185"/>
  <c r="IV12" i="185"/>
  <c r="IO39" i="185"/>
  <c r="JH7" i="185"/>
  <c r="HU46" i="185"/>
  <c r="IV20" i="185"/>
  <c r="IU29" i="185"/>
  <c r="IY45" i="185"/>
  <c r="HS19" i="185"/>
  <c r="JF5" i="185"/>
  <c r="IG21" i="185"/>
  <c r="IQ21" i="185"/>
  <c r="JK36" i="185"/>
  <c r="JG40" i="185"/>
  <c r="IH42" i="185"/>
  <c r="JJ13" i="185"/>
  <c r="IL39" i="185"/>
  <c r="IT17" i="185"/>
  <c r="HU22" i="185"/>
  <c r="IB30" i="185"/>
  <c r="IA30" i="185"/>
  <c r="HT36" i="185"/>
  <c r="IY39" i="185"/>
  <c r="HN25" i="185"/>
  <c r="IE32" i="185"/>
  <c r="IJ36" i="185"/>
  <c r="HS9" i="185"/>
  <c r="JK8" i="185"/>
  <c r="HX40" i="185"/>
  <c r="IQ42" i="185"/>
  <c r="IE41" i="185"/>
  <c r="JC25" i="185"/>
  <c r="IK10" i="185"/>
  <c r="HU41" i="185"/>
  <c r="IN38" i="185"/>
  <c r="HO25" i="185"/>
  <c r="HZ44" i="185"/>
  <c r="JD44" i="185"/>
  <c r="JH42" i="185"/>
  <c r="HX13" i="185"/>
  <c r="IZ41" i="185"/>
  <c r="JB26" i="185"/>
  <c r="HW14" i="185"/>
  <c r="IE40" i="185"/>
  <c r="JE44" i="185"/>
  <c r="JI9" i="185"/>
  <c r="IC14" i="185"/>
  <c r="IW32" i="185"/>
  <c r="JK5" i="185"/>
  <c r="ID34" i="185"/>
  <c r="JD13" i="185"/>
  <c r="JK27" i="185"/>
  <c r="JK28" i="185"/>
  <c r="JH14" i="185"/>
  <c r="JB34" i="185"/>
  <c r="HM21" i="185"/>
  <c r="IU39" i="185"/>
  <c r="IE44" i="185"/>
  <c r="JH16" i="185"/>
  <c r="JK34" i="185"/>
  <c r="IC21" i="185"/>
  <c r="JC29" i="185"/>
  <c r="IB38" i="185"/>
  <c r="HT5" i="185"/>
  <c r="IN36" i="185"/>
  <c r="II44" i="185"/>
  <c r="HR44" i="185"/>
  <c r="IJ31" i="185"/>
  <c r="IQ16" i="185"/>
  <c r="JK16" i="185"/>
  <c r="IX17" i="185"/>
  <c r="HX34" i="185"/>
  <c r="JK24" i="185"/>
  <c r="IX20" i="185"/>
  <c r="JI5" i="185"/>
  <c r="HO7" i="185"/>
  <c r="JJ8" i="185"/>
  <c r="IH23" i="185"/>
  <c r="JK40" i="185"/>
  <c r="HW28" i="185"/>
  <c r="IG28" i="185"/>
  <c r="HN13" i="185"/>
  <c r="IF11" i="185"/>
  <c r="IO11" i="185"/>
  <c r="JB25" i="185"/>
  <c r="IH14" i="185"/>
  <c r="HS14" i="185"/>
  <c r="HY40" i="185"/>
  <c r="HO14" i="185"/>
  <c r="IJ20" i="185"/>
  <c r="HU40" i="185"/>
  <c r="IE8" i="185"/>
  <c r="IW29" i="185"/>
  <c r="JE10" i="185"/>
  <c r="HZ30" i="185"/>
  <c r="IO32" i="185"/>
  <c r="HN10" i="185"/>
  <c r="IT28" i="185"/>
  <c r="IY44" i="185"/>
  <c r="JJ38" i="185"/>
  <c r="JF46" i="185"/>
  <c r="IW44" i="185"/>
  <c r="IA31" i="185"/>
  <c r="IP29" i="185"/>
  <c r="JC46" i="185"/>
  <c r="IU30" i="185"/>
  <c r="IL46" i="185"/>
  <c r="IM33" i="185"/>
  <c r="JH30" i="185"/>
  <c r="HP16" i="185"/>
  <c r="IA19" i="185"/>
  <c r="HQ38" i="185"/>
  <c r="JK21" i="185"/>
  <c r="IE29" i="185"/>
  <c r="IR30" i="185"/>
  <c r="JK31" i="185"/>
  <c r="HT16" i="185"/>
  <c r="IW17" i="185"/>
  <c r="JC33" i="185"/>
  <c r="HN38" i="185"/>
  <c r="IW24" i="185"/>
  <c r="IY24" i="185"/>
  <c r="IY22" i="185"/>
  <c r="JJ7" i="185"/>
  <c r="IV7" i="185"/>
  <c r="IO23" i="185"/>
  <c r="II40" i="185"/>
  <c r="HT28" i="185"/>
  <c r="IW13" i="185"/>
  <c r="IL12" i="185"/>
  <c r="IS19" i="185"/>
  <c r="HV39" i="185"/>
  <c r="IK17" i="185"/>
  <c r="IT42" i="185"/>
  <c r="HO27" i="185"/>
  <c r="HN14" i="185"/>
  <c r="HN24" i="185"/>
  <c r="JF8" i="185"/>
  <c r="IB14" i="185"/>
  <c r="IE31" i="185"/>
  <c r="HR8" i="185"/>
  <c r="JB44" i="185"/>
  <c r="HW16" i="185"/>
  <c r="IN13" i="185"/>
  <c r="IR29" i="185"/>
  <c r="IM44" i="185"/>
  <c r="IZ17" i="185"/>
  <c r="IC33" i="185"/>
  <c r="HU5" i="185"/>
  <c r="IY19" i="185"/>
  <c r="IL30" i="185"/>
  <c r="HN44" i="185"/>
  <c r="HV31" i="185"/>
  <c r="IL45" i="185"/>
  <c r="IQ45" i="185"/>
  <c r="JF16" i="185"/>
  <c r="HS33" i="185"/>
  <c r="II33" i="185"/>
  <c r="JE34" i="185"/>
  <c r="HP20" i="185"/>
  <c r="IE5" i="185"/>
  <c r="JI21" i="185"/>
  <c r="IE22" i="185"/>
  <c r="HW22" i="185"/>
  <c r="HW36" i="185"/>
  <c r="IE9" i="185"/>
  <c r="IC9" i="185"/>
  <c r="HT7" i="185"/>
  <c r="IH8" i="185"/>
  <c r="IC8" i="185"/>
  <c r="JK13" i="185"/>
  <c r="IS28" i="185"/>
  <c r="HQ28" i="185"/>
  <c r="HS17" i="185"/>
  <c r="HT17" i="185"/>
  <c r="JA17" i="185"/>
  <c r="JB17" i="185"/>
  <c r="HM42" i="185"/>
  <c r="HL42" i="185"/>
  <c r="HQ46" i="185"/>
  <c r="HT29" i="185"/>
  <c r="HU29" i="185"/>
  <c r="JB31" i="185"/>
  <c r="JC31" i="185"/>
  <c r="IC17" i="185"/>
  <c r="IP33" i="185"/>
  <c r="IO33" i="185"/>
  <c r="ID32" i="185"/>
  <c r="IL19" i="185"/>
  <c r="IM24" i="185"/>
  <c r="HX36" i="185"/>
  <c r="HN41" i="185"/>
  <c r="HQ12" i="185"/>
  <c r="JC14" i="185"/>
  <c r="IA14" i="185"/>
  <c r="HR29" i="185"/>
  <c r="IV29" i="185"/>
  <c r="JA31" i="185"/>
  <c r="HQ17" i="185"/>
  <c r="IK19" i="185"/>
  <c r="IL24" i="185"/>
  <c r="II23" i="185"/>
  <c r="IL42" i="185"/>
  <c r="IO41" i="185"/>
  <c r="IL25" i="185"/>
  <c r="JB14" i="185"/>
  <c r="IF43" i="185"/>
  <c r="HL31" i="185"/>
  <c r="HM31" i="185"/>
  <c r="HU31" i="185"/>
  <c r="HZ16" i="185"/>
  <c r="IB17" i="185"/>
  <c r="JH33" i="185"/>
  <c r="JG38" i="185"/>
  <c r="IK24" i="185"/>
  <c r="JG24" i="185"/>
  <c r="IS10" i="185"/>
  <c r="IO40" i="185"/>
  <c r="IK25" i="185"/>
  <c r="JD45" i="185"/>
  <c r="HU9" i="185"/>
  <c r="ID12" i="185"/>
  <c r="JA45" i="185"/>
  <c r="HX12" i="185"/>
  <c r="IL33" i="185"/>
  <c r="HO22" i="185"/>
  <c r="HN40" i="185"/>
  <c r="IJ25" i="185"/>
  <c r="HZ14" i="185"/>
  <c r="HQ26" i="185"/>
  <c r="IE17" i="185"/>
  <c r="IH20" i="185"/>
  <c r="IZ10" i="185"/>
  <c r="IE10" i="185"/>
  <c r="HO38" i="185"/>
  <c r="IE21" i="185"/>
  <c r="IF21" i="185"/>
  <c r="JG7" i="185"/>
  <c r="JK25" i="185"/>
  <c r="IS14" i="185"/>
  <c r="HN39" i="185"/>
  <c r="IC12" i="185"/>
  <c r="IZ33" i="185"/>
  <c r="HV23" i="185"/>
  <c r="II42" i="185"/>
  <c r="II11" i="185"/>
  <c r="II25" i="185"/>
  <c r="HN26" i="185"/>
  <c r="IB12" i="185"/>
  <c r="JJ31" i="185"/>
  <c r="HZ32" i="185"/>
  <c r="HN34" i="185"/>
  <c r="IC24" i="185"/>
  <c r="HT22" i="185"/>
  <c r="HR9" i="185"/>
  <c r="JC7" i="185"/>
  <c r="HU23" i="185"/>
  <c r="IF23" i="185"/>
  <c r="HW13" i="185"/>
  <c r="JK11" i="185"/>
  <c r="HZ36" i="185"/>
  <c r="IB44" i="185"/>
  <c r="IC44" i="185"/>
  <c r="JE29" i="185"/>
  <c r="IT34" i="185"/>
  <c r="IU34" i="185"/>
  <c r="IQ9" i="185"/>
  <c r="HS12" i="185"/>
  <c r="JH43" i="185"/>
  <c r="HO28" i="185"/>
  <c r="IE11" i="185"/>
  <c r="IN11" i="185"/>
  <c r="IM11" i="185"/>
  <c r="IW46" i="185"/>
  <c r="HR17" i="185"/>
  <c r="HR33" i="185"/>
  <c r="IB24" i="185"/>
  <c r="IO21" i="185"/>
  <c r="HN22" i="185"/>
  <c r="IJ8" i="185"/>
  <c r="JJ44" i="185"/>
  <c r="JJ45" i="185"/>
  <c r="JI45" i="185"/>
  <c r="JA33" i="185"/>
  <c r="JJ34" i="185"/>
  <c r="IN5" i="185"/>
  <c r="IN21" i="185"/>
  <c r="JA7" i="185"/>
  <c r="JG8" i="185"/>
  <c r="ID11" i="185"/>
  <c r="IA11" i="185"/>
  <c r="JJ39" i="185"/>
  <c r="IT43" i="185"/>
  <c r="JB33" i="185"/>
  <c r="HP29" i="185"/>
  <c r="HU44" i="185"/>
  <c r="IG5" i="185"/>
  <c r="HT8" i="185"/>
  <c r="HV13" i="185"/>
  <c r="IU13" i="185"/>
  <c r="JJ12" i="185"/>
  <c r="IH39" i="185"/>
  <c r="IO34" i="185"/>
  <c r="IJ21" i="185"/>
  <c r="IK21" i="185"/>
  <c r="ID7" i="185"/>
  <c r="IX13" i="185"/>
  <c r="JI38" i="185"/>
  <c r="IL5" i="185"/>
  <c r="IJ39" i="185"/>
  <c r="IK39" i="185"/>
  <c r="IF46" i="185"/>
  <c r="IG46" i="185"/>
  <c r="JB45" i="185"/>
  <c r="JH46" i="185"/>
  <c r="IO26" i="185"/>
  <c r="IK44" i="185"/>
  <c r="IF5" i="185"/>
  <c r="HW9" i="185"/>
  <c r="JH39" i="185"/>
  <c r="HQ21" i="185"/>
  <c r="HO8" i="185"/>
  <c r="JI27" i="185"/>
  <c r="IN32" i="185"/>
  <c r="IO9" i="185"/>
  <c r="II38" i="185"/>
  <c r="HP40" i="185"/>
  <c r="HQ40" i="185"/>
  <c r="IR28" i="185"/>
  <c r="JA28" i="185"/>
  <c r="HW33" i="185"/>
  <c r="HX33" i="185"/>
  <c r="IH38" i="185"/>
  <c r="JA40" i="185"/>
  <c r="JE16" i="185"/>
  <c r="JD16" i="185"/>
  <c r="HS29" i="185"/>
  <c r="JD19" i="185"/>
  <c r="HV33" i="185"/>
  <c r="IE45" i="185"/>
  <c r="JB38" i="185"/>
  <c r="IO30" i="185"/>
  <c r="HW45" i="185"/>
  <c r="HX45" i="185"/>
  <c r="JF45" i="185"/>
  <c r="IK5" i="185"/>
  <c r="HN8" i="185"/>
  <c r="IP27" i="185"/>
  <c r="HW26" i="185"/>
  <c r="IG10" i="185"/>
  <c r="HR28" i="185"/>
  <c r="IP38" i="185"/>
  <c r="IT32" i="185"/>
  <c r="JB28" i="185"/>
  <c r="HP28" i="185"/>
  <c r="HS38" i="185"/>
  <c r="IY36" i="185"/>
  <c r="JG16" i="185"/>
  <c r="JG14" i="185"/>
  <c r="IY31" i="185"/>
  <c r="IS16" i="185"/>
  <c r="HN16" i="185"/>
  <c r="IX30" i="185"/>
  <c r="JG45" i="185"/>
  <c r="IM32" i="185"/>
  <c r="HV34" i="185"/>
  <c r="IW30" i="185"/>
  <c r="IU44" i="185"/>
  <c r="IV34" i="185"/>
  <c r="IG20" i="185"/>
  <c r="JC20" i="185"/>
  <c r="IM30" i="185"/>
  <c r="JK45" i="185"/>
  <c r="ID45" i="185"/>
  <c r="IM34" i="185"/>
  <c r="HW40" i="185"/>
  <c r="JG39" i="185"/>
  <c r="JE41" i="185"/>
  <c r="IX36" i="185"/>
  <c r="JA8" i="185"/>
  <c r="JB41" i="185"/>
  <c r="JH31" i="185"/>
  <c r="IW42" i="185"/>
  <c r="HS13" i="185"/>
  <c r="HT24" i="185"/>
  <c r="IW36" i="185"/>
  <c r="IZ8" i="185"/>
  <c r="JG27" i="185"/>
  <c r="JH13" i="185"/>
  <c r="JG13" i="185"/>
  <c r="IT26" i="185"/>
  <c r="IG11" i="185"/>
  <c r="IW11" i="185"/>
  <c r="HT25" i="185"/>
  <c r="JI25" i="185"/>
  <c r="IX14" i="185"/>
  <c r="IM46" i="185"/>
  <c r="JK29" i="185"/>
  <c r="JE43" i="185"/>
  <c r="IW43" i="185"/>
  <c r="IC30" i="185"/>
  <c r="JD30" i="185"/>
  <c r="IT31" i="185"/>
  <c r="IN45" i="185"/>
  <c r="IV45" i="185"/>
  <c r="HO33" i="185"/>
  <c r="IV32" i="185"/>
  <c r="IZ19" i="185"/>
  <c r="JA38" i="185"/>
  <c r="JF38" i="185"/>
  <c r="JA24" i="185"/>
  <c r="JG5" i="185"/>
  <c r="IA21" i="185"/>
  <c r="HP21" i="185"/>
  <c r="JH22" i="185"/>
  <c r="IR22" i="185"/>
  <c r="IS36" i="185"/>
  <c r="II7" i="185"/>
  <c r="IJ7" i="185"/>
  <c r="IN10" i="185"/>
  <c r="JE23" i="185"/>
  <c r="IM27" i="185"/>
  <c r="HM27" i="185"/>
  <c r="HZ42" i="185"/>
  <c r="IV42" i="185"/>
  <c r="IA28" i="185"/>
  <c r="HQ13" i="185"/>
  <c r="IV41" i="185"/>
  <c r="IS26" i="185"/>
  <c r="IV11" i="185"/>
  <c r="IN25" i="185"/>
  <c r="IG25" i="185"/>
  <c r="HV36" i="185"/>
  <c r="IE23" i="185"/>
  <c r="IS22" i="185"/>
  <c r="HU43" i="185"/>
  <c r="II45" i="185"/>
  <c r="IT45" i="185"/>
  <c r="IZ16" i="185"/>
  <c r="IY17" i="185"/>
  <c r="HU33" i="185"/>
  <c r="IW33" i="185"/>
  <c r="HT32" i="185"/>
  <c r="IT19" i="185"/>
  <c r="HW20" i="185"/>
  <c r="HW5" i="185"/>
  <c r="JF9" i="185"/>
  <c r="IC7" i="185"/>
  <c r="HZ10" i="185"/>
  <c r="IV8" i="185"/>
  <c r="IY8" i="185"/>
  <c r="JF27" i="185"/>
  <c r="IS27" i="185"/>
  <c r="IN28" i="185"/>
  <c r="IT13" i="185"/>
  <c r="IM41" i="185"/>
  <c r="HN11" i="185"/>
  <c r="JA12" i="185"/>
  <c r="HY39" i="185"/>
  <c r="IG30" i="185"/>
  <c r="IL32" i="185"/>
  <c r="IC34" i="185"/>
  <c r="IO22" i="185"/>
  <c r="JC22" i="185"/>
  <c r="IN7" i="185"/>
  <c r="ID40" i="185"/>
  <c r="IZ27" i="185"/>
  <c r="HR13" i="185"/>
  <c r="HT41" i="185"/>
  <c r="JK26" i="185"/>
  <c r="IC25" i="185"/>
  <c r="HR25" i="185"/>
  <c r="JD39" i="185"/>
  <c r="IW14" i="185"/>
  <c r="ID5" i="185"/>
  <c r="IJ17" i="185"/>
  <c r="HT19" i="185"/>
  <c r="HZ34" i="185"/>
  <c r="IU22" i="185"/>
  <c r="IG42" i="185"/>
  <c r="IJ41" i="185"/>
  <c r="IC41" i="185"/>
  <c r="HS11" i="185"/>
  <c r="IY12" i="185"/>
  <c r="HU39" i="185"/>
  <c r="IL14" i="185"/>
  <c r="IT20" i="185"/>
  <c r="JF7" i="185"/>
  <c r="HR5" i="185"/>
  <c r="JF40" i="185"/>
  <c r="IF41" i="185"/>
  <c r="HZ25" i="185"/>
  <c r="IJ14" i="185"/>
  <c r="IV14" i="185"/>
  <c r="IQ10" i="185"/>
  <c r="JB29" i="185"/>
  <c r="IM21" i="185"/>
  <c r="IL22" i="185"/>
  <c r="IV36" i="185"/>
  <c r="HW7" i="185"/>
  <c r="IP10" i="185"/>
  <c r="IC42" i="185"/>
  <c r="JI11" i="185"/>
  <c r="HT14" i="185"/>
  <c r="JC5" i="185"/>
  <c r="HM22" i="185"/>
  <c r="JE31" i="185"/>
  <c r="HY32" i="185"/>
  <c r="IL34" i="185"/>
  <c r="IO20" i="185"/>
  <c r="HY21" i="185"/>
  <c r="IN22" i="185"/>
  <c r="ID36" i="185"/>
  <c r="IZ9" i="185"/>
  <c r="JD9" i="185"/>
  <c r="IR8" i="185"/>
  <c r="JB23" i="185"/>
  <c r="JE40" i="185"/>
  <c r="IR13" i="185"/>
  <c r="IV25" i="185"/>
  <c r="IE39" i="185"/>
  <c r="HW39" i="185"/>
  <c r="HW43" i="185"/>
  <c r="IO16" i="185"/>
  <c r="ID41" i="185"/>
  <c r="IA46" i="185"/>
  <c r="IW38" i="185"/>
  <c r="JJ21" i="185"/>
  <c r="JA9" i="185"/>
  <c r="IH40" i="185"/>
  <c r="IF27" i="185"/>
  <c r="IY27" i="185"/>
  <c r="HV42" i="185"/>
  <c r="IC28" i="185"/>
  <c r="JA26" i="185"/>
  <c r="JH11" i="185"/>
  <c r="HP11" i="185"/>
  <c r="HY25" i="185"/>
  <c r="IK30" i="185"/>
  <c r="IB5" i="185"/>
  <c r="JK32" i="185"/>
  <c r="HM44" i="185"/>
  <c r="IT46" i="185"/>
  <c r="IN33" i="185"/>
  <c r="IQ46" i="185"/>
  <c r="IV46" i="185"/>
  <c r="ID43" i="185"/>
  <c r="IG31" i="185"/>
  <c r="IE16" i="185"/>
  <c r="HO17" i="185"/>
  <c r="IB33" i="185"/>
  <c r="IG33" i="185"/>
  <c r="HT33" i="185"/>
  <c r="IH32" i="185"/>
  <c r="IY38" i="185"/>
  <c r="IP21" i="185"/>
  <c r="HZ22" i="185"/>
  <c r="JC9" i="185"/>
  <c r="JK7" i="185"/>
  <c r="HM23" i="185"/>
  <c r="JE42" i="185"/>
  <c r="HT13" i="185"/>
  <c r="IM13" i="185"/>
  <c r="JF11" i="185"/>
  <c r="IQ12" i="185"/>
  <c r="IT39" i="185"/>
  <c r="HX14" i="185"/>
  <c r="IE30" i="185"/>
  <c r="HV25" i="185"/>
  <c r="IH25" i="185"/>
  <c r="HU34" i="185"/>
  <c r="IB31" i="185"/>
  <c r="HY46" i="185"/>
  <c r="HT46" i="185"/>
  <c r="IN43" i="185"/>
  <c r="JG30" i="185"/>
  <c r="IR33" i="185"/>
  <c r="JA32" i="185"/>
  <c r="JH32" i="185"/>
  <c r="IO38" i="185"/>
  <c r="IH34" i="185"/>
  <c r="JA20" i="185"/>
  <c r="IM20" i="185"/>
  <c r="IW5" i="185"/>
  <c r="IZ22" i="185"/>
  <c r="IH7" i="185"/>
  <c r="HO10" i="185"/>
  <c r="HX10" i="185"/>
  <c r="HU42" i="185"/>
  <c r="IR42" i="185"/>
  <c r="HX28" i="185"/>
  <c r="IX26" i="185"/>
  <c r="HZ26" i="185"/>
  <c r="IN12" i="185"/>
  <c r="IM39" i="185"/>
  <c r="JJ25" i="185"/>
  <c r="HO29" i="185"/>
  <c r="II16" i="185"/>
  <c r="IP17" i="185"/>
  <c r="HO19" i="185"/>
  <c r="IY20" i="185"/>
  <c r="IW21" i="185"/>
  <c r="HX22" i="185"/>
  <c r="IU10" i="185"/>
  <c r="HO42" i="185"/>
  <c r="IE28" i="185"/>
  <c r="JF12" i="185"/>
  <c r="IC39" i="185"/>
  <c r="IY7" i="185"/>
  <c r="IH11" i="185"/>
  <c r="JG19" i="185"/>
  <c r="JC43" i="185"/>
  <c r="IR43" i="185"/>
  <c r="HU45" i="185"/>
  <c r="IH29" i="185"/>
  <c r="IB43" i="185"/>
  <c r="JE30" i="185"/>
  <c r="HO44" i="185"/>
  <c r="IV31" i="185"/>
  <c r="IX16" i="185"/>
  <c r="HZ17" i="185"/>
  <c r="HM33" i="185"/>
  <c r="IB19" i="185"/>
  <c r="IT38" i="185"/>
  <c r="IS38" i="185"/>
  <c r="IX24" i="185"/>
  <c r="IT5" i="185"/>
  <c r="HS10" i="185"/>
  <c r="HS40" i="185"/>
  <c r="JD27" i="185"/>
  <c r="JD28" i="185"/>
  <c r="IX28" i="185"/>
  <c r="II13" i="185"/>
  <c r="IE26" i="185"/>
  <c r="IX39" i="185"/>
  <c r="HT44" i="185"/>
  <c r="HR19" i="185"/>
  <c r="HM40" i="185"/>
  <c r="HQ34" i="185"/>
  <c r="IJ24" i="185"/>
  <c r="ID20" i="185"/>
  <c r="IW20" i="185"/>
  <c r="HY5" i="185"/>
  <c r="JH9" i="185"/>
  <c r="JK10" i="185"/>
  <c r="IB27" i="185"/>
  <c r="HV28" i="185"/>
  <c r="JB11" i="185"/>
  <c r="JD22" i="185"/>
  <c r="HM8" i="185"/>
  <c r="JI13" i="185"/>
  <c r="IX43" i="185"/>
  <c r="HV10" i="185"/>
  <c r="IG45" i="185"/>
  <c r="HP44" i="185"/>
  <c r="HU30" i="185"/>
  <c r="HZ46" i="185"/>
  <c r="II31" i="185"/>
  <c r="HR30" i="185"/>
  <c r="HV46" i="185"/>
  <c r="JI29" i="185"/>
  <c r="IX44" i="185"/>
  <c r="HR31" i="185"/>
  <c r="HQ45" i="185"/>
  <c r="IB16" i="185"/>
  <c r="HW17" i="185"/>
  <c r="IL38" i="185"/>
  <c r="JI34" i="185"/>
  <c r="IR34" i="185"/>
  <c r="IA24" i="185"/>
  <c r="IS20" i="185"/>
  <c r="HW21" i="185"/>
  <c r="IX22" i="185"/>
  <c r="IN9" i="185"/>
  <c r="HM10" i="185"/>
  <c r="II10" i="185"/>
  <c r="JH8" i="185"/>
  <c r="IU23" i="185"/>
  <c r="IU40" i="185"/>
  <c r="IT27" i="185"/>
  <c r="JK42" i="185"/>
  <c r="IZ28" i="185"/>
  <c r="IG13" i="185"/>
  <c r="JI41" i="185"/>
  <c r="IR26" i="185"/>
  <c r="HY26" i="185"/>
  <c r="IS44" i="185"/>
  <c r="JF43" i="185"/>
  <c r="JK19" i="185"/>
  <c r="IN46" i="185"/>
  <c r="JA46" i="185"/>
  <c r="HW44" i="185"/>
  <c r="IA45" i="185"/>
  <c r="IQ44" i="185"/>
  <c r="IE43" i="185"/>
  <c r="HP17" i="185"/>
  <c r="JJ46" i="185"/>
  <c r="HY29" i="185"/>
  <c r="HS43" i="185"/>
  <c r="IK43" i="185"/>
  <c r="HP45" i="185"/>
  <c r="JK17" i="185"/>
  <c r="IH17" i="185"/>
  <c r="HZ33" i="185"/>
  <c r="IQ33" i="185"/>
  <c r="HV38" i="185"/>
  <c r="HP34" i="185"/>
  <c r="IA20" i="185"/>
  <c r="IL20" i="185"/>
  <c r="IC22" i="185"/>
  <c r="IF36" i="185"/>
  <c r="IK9" i="185"/>
  <c r="JC10" i="185"/>
  <c r="HQ8" i="185"/>
  <c r="IA8" i="185"/>
  <c r="IA23" i="185"/>
  <c r="IB40" i="185"/>
  <c r="HR27" i="185"/>
  <c r="JJ28" i="185"/>
  <c r="IV28" i="185"/>
  <c r="IK13" i="185"/>
  <c r="HQ41" i="185"/>
  <c r="II26" i="185"/>
  <c r="IA26" i="185"/>
  <c r="IT25" i="185"/>
  <c r="IO29" i="185"/>
  <c r="IA17" i="185"/>
  <c r="IC29" i="185"/>
  <c r="IS17" i="185"/>
  <c r="JG33" i="185"/>
  <c r="HY30" i="185"/>
  <c r="JF33" i="185"/>
  <c r="IY46" i="185"/>
  <c r="JF29" i="185"/>
  <c r="II43" i="185"/>
  <c r="IP30" i="185"/>
  <c r="HO31" i="185"/>
  <c r="IM45" i="185"/>
  <c r="HR45" i="185"/>
  <c r="HQ16" i="185"/>
  <c r="HV32" i="185"/>
  <c r="IK38" i="185"/>
  <c r="IQ34" i="185"/>
  <c r="JJ24" i="185"/>
  <c r="IK20" i="185"/>
  <c r="JH21" i="185"/>
  <c r="IT36" i="185"/>
  <c r="HT9" i="185"/>
  <c r="JJ10" i="185"/>
  <c r="II8" i="185"/>
  <c r="IR23" i="185"/>
  <c r="IL23" i="185"/>
  <c r="JJ40" i="185"/>
  <c r="IS40" i="185"/>
  <c r="JC42" i="185"/>
  <c r="IQ28" i="185"/>
  <c r="JF13" i="185"/>
  <c r="JG26" i="185"/>
  <c r="IR25" i="185"/>
  <c r="HO39" i="185"/>
  <c r="HY19" i="185"/>
  <c r="HZ19" i="185"/>
  <c r="JC13" i="185"/>
  <c r="IX34" i="185"/>
  <c r="JH19" i="185"/>
  <c r="JI19" i="185"/>
  <c r="JH24" i="185"/>
  <c r="IE20" i="185"/>
  <c r="IM36" i="185"/>
  <c r="IA9" i="185"/>
  <c r="HY8" i="185"/>
  <c r="IA42" i="185"/>
  <c r="IP28" i="185"/>
  <c r="HU11" i="185"/>
  <c r="HT11" i="185"/>
  <c r="IX12" i="185"/>
  <c r="IW12" i="185"/>
  <c r="ID39" i="185"/>
  <c r="ID46" i="185"/>
  <c r="IT29" i="185"/>
  <c r="IY29" i="185"/>
  <c r="IS29" i="185"/>
  <c r="IY43" i="185"/>
  <c r="IH43" i="185"/>
  <c r="IG44" i="185"/>
  <c r="IW34" i="185"/>
  <c r="IG24" i="185"/>
  <c r="IF24" i="185"/>
  <c r="HR20" i="185"/>
  <c r="HS20" i="185"/>
  <c r="IL36" i="185"/>
  <c r="IM9" i="185"/>
  <c r="IY9" i="185"/>
  <c r="IR7" i="185"/>
  <c r="IG26" i="185"/>
  <c r="IB26" i="185"/>
  <c r="HW12" i="185"/>
  <c r="IM14" i="185"/>
  <c r="IO46" i="185"/>
  <c r="JS15" i="185"/>
  <c r="BN18" i="182" s="1"/>
  <c r="JB43" i="185"/>
  <c r="HM30" i="185"/>
  <c r="IF44" i="185"/>
  <c r="JS16" i="185"/>
  <c r="BN19" i="182" s="1"/>
  <c r="HL16" i="185"/>
  <c r="HY17" i="185"/>
  <c r="ID17" i="185"/>
  <c r="HY33" i="185"/>
  <c r="IJ38" i="185"/>
  <c r="IJ34" i="185"/>
  <c r="HM20" i="185"/>
  <c r="JS20" i="185"/>
  <c r="BN23" i="182" s="1"/>
  <c r="JE5" i="185"/>
  <c r="JS5" i="185"/>
  <c r="BN8" i="182" s="1"/>
  <c r="FH5" i="185"/>
  <c r="HM5" i="185"/>
  <c r="IM22" i="185"/>
  <c r="IX9" i="185"/>
  <c r="IW9" i="185"/>
  <c r="IO7" i="185"/>
  <c r="IU8" i="185"/>
  <c r="HX8" i="185"/>
  <c r="ID42" i="185"/>
  <c r="IE42" i="185"/>
  <c r="HR26" i="185"/>
  <c r="ID26" i="185"/>
  <c r="IU11" i="185"/>
  <c r="HV12" i="185"/>
  <c r="IK12" i="185"/>
  <c r="IN39" i="185"/>
  <c r="HO16" i="185"/>
  <c r="II19" i="185"/>
  <c r="JS11" i="185"/>
  <c r="BN14" i="182" s="1"/>
  <c r="HL11" i="185"/>
  <c r="IS43" i="185"/>
  <c r="IG34" i="185"/>
  <c r="JJ22" i="185"/>
  <c r="IH9" i="185"/>
  <c r="IB7" i="185"/>
  <c r="IS8" i="185"/>
  <c r="IL41" i="185"/>
  <c r="HT12" i="185"/>
  <c r="IB39" i="185"/>
  <c r="HR39" i="185"/>
  <c r="HY43" i="185"/>
  <c r="ID30" i="185"/>
  <c r="JH44" i="185"/>
  <c r="IP16" i="185"/>
  <c r="HM16" i="185"/>
  <c r="IN16" i="185"/>
  <c r="HV17" i="185"/>
  <c r="JI17" i="185"/>
  <c r="HY38" i="185"/>
  <c r="IB34" i="185"/>
  <c r="IC20" i="185"/>
  <c r="HS5" i="185"/>
  <c r="IK22" i="185"/>
  <c r="IG9" i="185"/>
  <c r="IF9" i="185"/>
  <c r="HZ9" i="185"/>
  <c r="IQ7" i="185"/>
  <c r="JS6" i="185"/>
  <c r="BN9" i="182" s="1"/>
  <c r="IX8" i="185"/>
  <c r="IT40" i="185"/>
  <c r="IX40" i="185"/>
  <c r="HR11" i="185"/>
  <c r="IX11" i="185"/>
  <c r="HP12" i="185"/>
  <c r="HW38" i="185"/>
  <c r="JB13" i="185"/>
  <c r="JC39" i="185"/>
  <c r="JJ17" i="185"/>
  <c r="IR38" i="185"/>
  <c r="JF41" i="185"/>
  <c r="HO11" i="185"/>
  <c r="IQ17" i="185"/>
  <c r="IR17" i="185"/>
  <c r="HV30" i="185"/>
  <c r="IK45" i="185"/>
  <c r="HZ20" i="185"/>
  <c r="IL21" i="185"/>
  <c r="HP7" i="185"/>
  <c r="IX7" i="185"/>
  <c r="JB10" i="185"/>
  <c r="IN8" i="185"/>
  <c r="IU42" i="185"/>
  <c r="IO28" i="185"/>
  <c r="HX26" i="185"/>
  <c r="HT26" i="185"/>
  <c r="JE11" i="185"/>
  <c r="JA25" i="185"/>
  <c r="IF25" i="185"/>
  <c r="JA14" i="185"/>
  <c r="IZ14" i="185"/>
  <c r="IE36" i="185"/>
  <c r="JA36" i="185"/>
  <c r="IZ36" i="185"/>
  <c r="IQ29" i="185"/>
  <c r="JG22" i="185"/>
  <c r="HY7" i="185"/>
  <c r="IJ23" i="185"/>
  <c r="HV26" i="185"/>
  <c r="HU14" i="185"/>
  <c r="HN45" i="185"/>
  <c r="HZ38" i="185"/>
  <c r="HR24" i="185"/>
  <c r="HU8" i="185"/>
  <c r="JC40" i="185"/>
  <c r="IJ42" i="185"/>
  <c r="JS26" i="185"/>
  <c r="BN29" i="182" s="1"/>
  <c r="HM26" i="185"/>
  <c r="JH25" i="185"/>
  <c r="JG25" i="185"/>
  <c r="HQ39" i="185"/>
  <c r="JE14" i="185"/>
  <c r="JS29" i="185"/>
  <c r="BN32" i="182" s="1"/>
  <c r="JA43" i="185"/>
  <c r="HP33" i="185"/>
  <c r="HQ33" i="185"/>
  <c r="JJ19" i="185"/>
  <c r="IV19" i="185"/>
  <c r="JG29" i="185"/>
  <c r="HR43" i="185"/>
  <c r="IW31" i="185"/>
  <c r="IH31" i="185"/>
  <c r="HZ45" i="185"/>
  <c r="JB16" i="185"/>
  <c r="IF16" i="185"/>
  <c r="JF17" i="185"/>
  <c r="JG17" i="185"/>
  <c r="IX33" i="185"/>
  <c r="JS32" i="185"/>
  <c r="BN35" i="182" s="1"/>
  <c r="HL32" i="185"/>
  <c r="IR19" i="185"/>
  <c r="JG34" i="185"/>
  <c r="IZ24" i="185"/>
  <c r="JA5" i="185"/>
  <c r="JB5" i="185"/>
  <c r="JG21" i="185"/>
  <c r="JA10" i="185"/>
  <c r="IM8" i="185"/>
  <c r="IL8" i="185"/>
  <c r="ID8" i="185"/>
  <c r="IP23" i="185"/>
  <c r="HS42" i="185"/>
  <c r="IR41" i="185"/>
  <c r="HX25" i="185"/>
  <c r="HW25" i="185"/>
  <c r="HQ25" i="185"/>
  <c r="IP39" i="185"/>
  <c r="JF44" i="185"/>
  <c r="JS18" i="185"/>
  <c r="BN21" i="182" s="1"/>
  <c r="HL18" i="185"/>
  <c r="JS37" i="185"/>
  <c r="BN40" i="182" s="1"/>
  <c r="JA19" i="185"/>
  <c r="HR38" i="185"/>
  <c r="HV21" i="185"/>
  <c r="HL6" i="185"/>
  <c r="IH10" i="185"/>
  <c r="IF8" i="185"/>
  <c r="IG8" i="185"/>
  <c r="IB8" i="185"/>
  <c r="HQ23" i="185"/>
  <c r="IL27" i="185"/>
  <c r="HM28" i="185"/>
  <c r="IO13" i="185"/>
  <c r="IQ41" i="185"/>
  <c r="HT39" i="185"/>
  <c r="JD29" i="185"/>
  <c r="HW46" i="185"/>
  <c r="IG29" i="185"/>
  <c r="IJ30" i="185"/>
  <c r="ID44" i="185"/>
  <c r="JG31" i="185"/>
  <c r="IJ16" i="185"/>
  <c r="HR32" i="185"/>
  <c r="IH19" i="185"/>
  <c r="HQ19" i="185"/>
  <c r="IR24" i="185"/>
  <c r="IS24" i="185"/>
  <c r="HQ24" i="185"/>
  <c r="II20" i="185"/>
  <c r="JH5" i="185"/>
  <c r="IP8" i="185"/>
  <c r="JK23" i="185"/>
  <c r="IG23" i="185"/>
  <c r="HR42" i="185"/>
  <c r="IL28" i="185"/>
  <c r="IK28" i="185"/>
  <c r="IF28" i="185"/>
  <c r="HR41" i="185"/>
  <c r="HP25" i="185"/>
  <c r="HO12" i="185"/>
  <c r="IJ12" i="185"/>
  <c r="JS44" i="185"/>
  <c r="BN47" i="182" s="1"/>
  <c r="HP31" i="185"/>
  <c r="IR39" i="185"/>
  <c r="JS43" i="185"/>
  <c r="BN46" i="182" s="1"/>
  <c r="IX31" i="185"/>
  <c r="HY14" i="185"/>
  <c r="IO24" i="185"/>
  <c r="IP24" i="185"/>
  <c r="HW24" i="185"/>
  <c r="IN20" i="185"/>
  <c r="IR20" i="185"/>
  <c r="HQ5" i="185"/>
  <c r="JS36" i="185"/>
  <c r="BN39" i="182" s="1"/>
  <c r="IL9" i="185"/>
  <c r="HT23" i="185"/>
  <c r="ID23" i="185"/>
  <c r="IK27" i="185"/>
  <c r="JD11" i="185"/>
  <c r="JA11" i="185"/>
  <c r="JD25" i="185"/>
  <c r="IF12" i="185"/>
  <c r="IP19" i="185"/>
  <c r="IQ19" i="185"/>
  <c r="II22" i="185"/>
  <c r="IF38" i="185"/>
  <c r="HP46" i="185"/>
  <c r="IZ30" i="185"/>
  <c r="IO31" i="185"/>
  <c r="IE24" i="185"/>
  <c r="HS21" i="185"/>
  <c r="HT21" i="185"/>
  <c r="HL36" i="185"/>
  <c r="JJ23" i="185"/>
  <c r="IZ40" i="185"/>
  <c r="IR40" i="185"/>
  <c r="IS42" i="185"/>
  <c r="HU28" i="185"/>
  <c r="ID28" i="185"/>
  <c r="IR14" i="185"/>
  <c r="IL16" i="185"/>
  <c r="IS46" i="185"/>
  <c r="HX17" i="185"/>
  <c r="JG46" i="185"/>
  <c r="IA29" i="185"/>
  <c r="IZ45" i="185"/>
  <c r="II17" i="185"/>
  <c r="JF34" i="185"/>
  <c r="HV5" i="185"/>
  <c r="IU21" i="185"/>
  <c r="HR36" i="185"/>
  <c r="II36" i="185"/>
  <c r="HV7" i="185"/>
  <c r="IV10" i="185"/>
  <c r="IC27" i="185"/>
  <c r="HW42" i="185"/>
  <c r="JD41" i="185"/>
  <c r="ID14" i="185"/>
  <c r="IN30" i="185"/>
  <c r="IP36" i="185"/>
  <c r="IQ36" i="185"/>
  <c r="IH44" i="185"/>
  <c r="HT45" i="185"/>
  <c r="IQ8" i="185"/>
  <c r="JE28" i="185"/>
  <c r="JG11" i="185"/>
  <c r="JE24" i="185"/>
  <c r="JD24" i="185"/>
  <c r="HZ5" i="185"/>
  <c r="IA5" i="185"/>
  <c r="JB40" i="185"/>
  <c r="IP44" i="185"/>
  <c r="JI33" i="185"/>
  <c r="JJ33" i="185"/>
  <c r="JS46" i="185"/>
  <c r="BN49" i="182" s="1"/>
  <c r="IJ46" i="185"/>
  <c r="HP43" i="185"/>
  <c r="IO44" i="185"/>
  <c r="IM15" i="185"/>
  <c r="HZ29" i="185"/>
  <c r="HL44" i="185"/>
  <c r="JS17" i="185"/>
  <c r="BN20" i="182" s="1"/>
  <c r="HL17" i="185"/>
  <c r="HM17" i="185"/>
  <c r="IY32" i="185"/>
  <c r="IZ32" i="185"/>
  <c r="IN19" i="185"/>
  <c r="HY24" i="185"/>
  <c r="IU5" i="185"/>
  <c r="IZ21" i="185"/>
  <c r="JE22" i="185"/>
  <c r="HM36" i="185"/>
  <c r="JJ36" i="185"/>
  <c r="HW10" i="185"/>
  <c r="IV13" i="185"/>
  <c r="JA13" i="185"/>
  <c r="JJ14" i="185"/>
  <c r="IM12" i="185"/>
  <c r="IS13" i="185"/>
  <c r="JI40" i="185"/>
  <c r="HY44" i="185"/>
  <c r="IQ30" i="185"/>
  <c r="HR12" i="185"/>
  <c r="HN29" i="185"/>
  <c r="IV30" i="185"/>
  <c r="IH45" i="185"/>
  <c r="IX45" i="185"/>
  <c r="IG17" i="185"/>
  <c r="IT33" i="185"/>
  <c r="HP24" i="185"/>
  <c r="IB21" i="185"/>
  <c r="HP36" i="185"/>
  <c r="HP10" i="185"/>
  <c r="HQ10" i="185"/>
  <c r="JJ27" i="185"/>
  <c r="IP42" i="185"/>
  <c r="HU13" i="185"/>
  <c r="JS13" i="185"/>
  <c r="BN16" i="182" s="1"/>
  <c r="JD14" i="185"/>
  <c r="HQ7" i="185"/>
  <c r="HR7" i="185"/>
  <c r="HN31" i="185"/>
  <c r="IQ31" i="185"/>
  <c r="IL17" i="185"/>
  <c r="IK33" i="185"/>
  <c r="HY36" i="185"/>
  <c r="JG9" i="185"/>
  <c r="IT10" i="185"/>
  <c r="IK41" i="185"/>
  <c r="IT41" i="185"/>
  <c r="HP26" i="185"/>
  <c r="HU25" i="185"/>
  <c r="HP39" i="185"/>
  <c r="IS12" i="185"/>
  <c r="IT12" i="185"/>
  <c r="IF7" i="185"/>
  <c r="JF14" i="185"/>
  <c r="HX20" i="185"/>
  <c r="HY20" i="185"/>
  <c r="HW29" i="185"/>
  <c r="HL29" i="185"/>
  <c r="IU45" i="185"/>
  <c r="HS16" i="185"/>
  <c r="HW32" i="185"/>
  <c r="HP32" i="185"/>
  <c r="HR34" i="185"/>
  <c r="IR5" i="185"/>
  <c r="IK36" i="185"/>
  <c r="JH36" i="185"/>
  <c r="ID9" i="185"/>
  <c r="IJ6" i="185"/>
  <c r="IM42" i="185"/>
  <c r="JB42" i="185"/>
  <c r="JH28" i="185"/>
  <c r="IX41" i="185"/>
  <c r="JF26" i="185"/>
  <c r="JB30" i="185"/>
  <c r="IK16" i="185"/>
  <c r="IB25" i="185"/>
  <c r="HS46" i="185"/>
  <c r="HR46" i="185"/>
  <c r="HL15" i="185"/>
  <c r="IJ15" i="185"/>
  <c r="HQ30" i="185"/>
  <c r="IQ43" i="185"/>
  <c r="IO45" i="185"/>
  <c r="IH22" i="185"/>
  <c r="IG36" i="185"/>
  <c r="IH36" i="185"/>
  <c r="IK42" i="185"/>
  <c r="JA41" i="185"/>
  <c r="IW39" i="185"/>
  <c r="IF39" i="185"/>
  <c r="HS44" i="185"/>
  <c r="IM38" i="185"/>
  <c r="JA22" i="185"/>
  <c r="JB22" i="185"/>
  <c r="IK46" i="185"/>
  <c r="HQ29" i="185"/>
  <c r="IU24" i="185"/>
  <c r="IJ5" i="185"/>
  <c r="HN9" i="185"/>
  <c r="HO9" i="185"/>
  <c r="HY27" i="185"/>
  <c r="IQ26" i="185"/>
  <c r="HQ11" i="185"/>
  <c r="IZ25" i="185"/>
  <c r="IB32" i="185"/>
  <c r="HX38" i="185"/>
  <c r="IA34" i="185"/>
  <c r="JE36" i="185"/>
  <c r="IF10" i="185"/>
  <c r="IY23" i="185"/>
  <c r="IZ23" i="185"/>
  <c r="JH27" i="185"/>
  <c r="JD42" i="185"/>
  <c r="HO41" i="185"/>
  <c r="HP41" i="185"/>
  <c r="JS12" i="185"/>
  <c r="BN15" i="182" s="1"/>
  <c r="HL12" i="185"/>
  <c r="IA39" i="185"/>
  <c r="JS30" i="185"/>
  <c r="BN33" i="182" s="1"/>
  <c r="HN17" i="185"/>
  <c r="IM5" i="185"/>
  <c r="IZ7" i="185"/>
  <c r="JB39" i="185"/>
  <c r="HQ15" i="185"/>
  <c r="ID29" i="185"/>
  <c r="JD43" i="185"/>
  <c r="HV43" i="185"/>
  <c r="HM43" i="185"/>
  <c r="HS31" i="185"/>
  <c r="JS45" i="185"/>
  <c r="BN48" i="182" s="1"/>
  <c r="HM45" i="185"/>
  <c r="IR16" i="185"/>
  <c r="HQ32" i="185"/>
  <c r="JS19" i="185"/>
  <c r="BN22" i="182" s="1"/>
  <c r="HL19" i="185"/>
  <c r="HM19" i="185"/>
  <c r="JA34" i="185"/>
  <c r="IB20" i="185"/>
  <c r="IA36" i="185"/>
  <c r="IB36" i="185"/>
  <c r="JB36" i="185"/>
  <c r="JS9" i="185"/>
  <c r="BN12" i="182" s="1"/>
  <c r="HL9" i="185"/>
  <c r="HM9" i="185"/>
  <c r="JE9" i="185"/>
  <c r="JE7" i="185"/>
  <c r="IT7" i="185"/>
  <c r="JE6" i="185"/>
  <c r="JH10" i="185"/>
  <c r="HX23" i="185"/>
  <c r="HM13" i="185"/>
  <c r="IU41" i="185"/>
  <c r="HZ39" i="185"/>
  <c r="JA16" i="185"/>
  <c r="JS42" i="185"/>
  <c r="BN45" i="182" s="1"/>
  <c r="IL11" i="185"/>
  <c r="JC12" i="185"/>
  <c r="IY18" i="185"/>
  <c r="JS24" i="185"/>
  <c r="BN27" i="182" s="1"/>
  <c r="JS28" i="185"/>
  <c r="BN31" i="182" s="1"/>
  <c r="IH13" i="185"/>
  <c r="JS25" i="185"/>
  <c r="BN28" i="182" s="1"/>
  <c r="IV39" i="185"/>
  <c r="JF6" i="185"/>
  <c r="JS27" i="185"/>
  <c r="BN30" i="182" s="1"/>
  <c r="IY26" i="185"/>
  <c r="JS14" i="185"/>
  <c r="BN17" i="182" s="1"/>
  <c r="HW18" i="185"/>
  <c r="JD6" i="185"/>
  <c r="JS41" i="185"/>
  <c r="BN44" i="182" s="1"/>
  <c r="HV18" i="185"/>
  <c r="JS7" i="185"/>
  <c r="BN10" i="182" s="1"/>
  <c r="JD10" i="185"/>
  <c r="JI8" i="185"/>
  <c r="HT40" i="185"/>
  <c r="HY11" i="185"/>
  <c r="JS39" i="185"/>
  <c r="BN42" i="182" s="1"/>
  <c r="JC19" i="185"/>
  <c r="IX38" i="185"/>
  <c r="IZ5" i="185"/>
  <c r="JS35" i="185"/>
  <c r="BN38" i="182" s="1"/>
  <c r="JS23" i="185"/>
  <c r="BN26" i="182" s="1"/>
  <c r="IW27" i="185"/>
  <c r="JD12" i="185"/>
  <c r="HM14" i="185"/>
  <c r="IK15" i="185"/>
  <c r="IV38" i="185"/>
  <c r="HV24" i="185"/>
  <c r="ID21" i="185"/>
  <c r="HU36" i="185"/>
  <c r="IT9" i="185"/>
  <c r="HU7" i="185"/>
  <c r="IG6" i="185"/>
  <c r="HM41" i="185"/>
  <c r="JS8" i="185"/>
  <c r="BN11" i="182" s="1"/>
  <c r="JS31" i="185"/>
  <c r="BN34" i="182" s="1"/>
  <c r="IS21" i="185"/>
  <c r="JK41" i="185"/>
  <c r="HL39" i="185"/>
  <c r="JS34" i="185"/>
  <c r="BN37" i="182" s="1"/>
  <c r="IP34" i="185"/>
  <c r="HM24" i="185"/>
  <c r="IQ5" i="185"/>
  <c r="JS21" i="185"/>
  <c r="BN24" i="182" s="1"/>
  <c r="HL21" i="185"/>
  <c r="IH6" i="185"/>
  <c r="HL8" i="185"/>
  <c r="JS40" i="185"/>
  <c r="BN43" i="182" s="1"/>
  <c r="HL25" i="185"/>
  <c r="JS38" i="185"/>
  <c r="BN41" i="182" s="1"/>
  <c r="HL34" i="185"/>
  <c r="HL35" i="185"/>
  <c r="JL35" i="185" s="1"/>
  <c r="JP35" i="185" s="1"/>
  <c r="HM39" i="185"/>
  <c r="HM34" i="185"/>
  <c r="JS22" i="185"/>
  <c r="BN25" i="182" s="1"/>
  <c r="JS10" i="185"/>
  <c r="BN13" i="182" s="1"/>
  <c r="HM25" i="185"/>
  <c r="HN33" i="185"/>
  <c r="JS33" i="185"/>
  <c r="BN36" i="182" s="1"/>
  <c r="FH46" i="185"/>
  <c r="FH7" i="185"/>
  <c r="FH34" i="185"/>
  <c r="FH43" i="185"/>
  <c r="FH19" i="185"/>
  <c r="FH39" i="185"/>
  <c r="FH44" i="185"/>
  <c r="FH13" i="185"/>
  <c r="FH40" i="185"/>
  <c r="FH21" i="185"/>
  <c r="FH26" i="185"/>
  <c r="FH27" i="185"/>
  <c r="FH37" i="185"/>
  <c r="FH14" i="185"/>
  <c r="FH6" i="185"/>
  <c r="FH36" i="185"/>
  <c r="FH9" i="185"/>
  <c r="FH29" i="185"/>
  <c r="FH28" i="185"/>
  <c r="FH32" i="185"/>
  <c r="FH41" i="185"/>
  <c r="FH24" i="185"/>
  <c r="FH18" i="185"/>
  <c r="FH20" i="185"/>
  <c r="FH35" i="185"/>
  <c r="FH45" i="185"/>
  <c r="FH15" i="185"/>
  <c r="FH8" i="185"/>
  <c r="FH23" i="185"/>
  <c r="FH33" i="185"/>
  <c r="FH38" i="185"/>
  <c r="FH16" i="185"/>
  <c r="FH22" i="185"/>
  <c r="FH25" i="185"/>
  <c r="FH10" i="185"/>
  <c r="FH17" i="185"/>
  <c r="FH42" i="185"/>
  <c r="FH31" i="185"/>
  <c r="FH12" i="185"/>
  <c r="FH11" i="185"/>
  <c r="FH30" i="185"/>
  <c r="JL37" i="185"/>
  <c r="JP37" i="185" s="1"/>
  <c r="JL18" i="185" l="1"/>
  <c r="JP18" i="185" s="1"/>
  <c r="HJ17" i="185"/>
  <c r="JO17" i="185" s="1"/>
  <c r="HJ46" i="185"/>
  <c r="JO46" i="185" s="1"/>
  <c r="JL15" i="185"/>
  <c r="JP15" i="185" s="1"/>
  <c r="BK18" i="182" s="1"/>
  <c r="JL6" i="185"/>
  <c r="JP6" i="185" s="1"/>
  <c r="HJ45" i="185"/>
  <c r="JO45" i="185" s="1"/>
  <c r="HJ28" i="185"/>
  <c r="JO28" i="185" s="1"/>
  <c r="BJ31" i="182" s="1"/>
  <c r="HJ20" i="185"/>
  <c r="JO20" i="185" s="1"/>
  <c r="HJ7" i="185"/>
  <c r="JO7" i="185" s="1"/>
  <c r="HJ32" i="185"/>
  <c r="JO32" i="185" s="1"/>
  <c r="HJ41" i="185"/>
  <c r="JO41" i="185" s="1"/>
  <c r="HJ10" i="185"/>
  <c r="JO10" i="185" s="1"/>
  <c r="HJ13" i="185"/>
  <c r="JO13" i="185" s="1"/>
  <c r="HJ11" i="185"/>
  <c r="JO11" i="185" s="1"/>
  <c r="HJ19" i="185"/>
  <c r="JO19" i="185" s="1"/>
  <c r="HJ16" i="185"/>
  <c r="JO16" i="185" s="1"/>
  <c r="HJ34" i="185"/>
  <c r="JO34" i="185" s="1"/>
  <c r="HJ8" i="185"/>
  <c r="JO8" i="185" s="1"/>
  <c r="HJ23" i="185"/>
  <c r="JO23" i="185" s="1"/>
  <c r="BJ26" i="182" s="1"/>
  <c r="HJ43" i="185"/>
  <c r="JO43" i="185" s="1"/>
  <c r="HJ29" i="185"/>
  <c r="JO29" i="185" s="1"/>
  <c r="HJ27" i="185"/>
  <c r="JO27" i="185" s="1"/>
  <c r="HJ12" i="185"/>
  <c r="JO12" i="185" s="1"/>
  <c r="HJ36" i="185"/>
  <c r="JO36" i="185" s="1"/>
  <c r="HJ30" i="185"/>
  <c r="JO30" i="185" s="1"/>
  <c r="HJ22" i="185"/>
  <c r="JO22" i="185" s="1"/>
  <c r="HJ26" i="185"/>
  <c r="JO26" i="185" s="1"/>
  <c r="HJ24" i="185"/>
  <c r="JO24" i="185" s="1"/>
  <c r="BJ27" i="182" s="1"/>
  <c r="HJ25" i="185"/>
  <c r="JO25" i="185" s="1"/>
  <c r="HJ38" i="185"/>
  <c r="JO38" i="185" s="1"/>
  <c r="HJ42" i="185"/>
  <c r="JO42" i="185" s="1"/>
  <c r="HJ40" i="185"/>
  <c r="JO40" i="185" s="1"/>
  <c r="HJ21" i="185"/>
  <c r="JO21" i="185" s="1"/>
  <c r="BJ24" i="182" s="1"/>
  <c r="HJ5" i="185"/>
  <c r="JO5" i="185" s="1"/>
  <c r="HJ31" i="185"/>
  <c r="JO31" i="185" s="1"/>
  <c r="HJ9" i="185"/>
  <c r="JO9" i="185" s="1"/>
  <c r="HJ14" i="185"/>
  <c r="JO14" i="185" s="1"/>
  <c r="HJ44" i="185"/>
  <c r="JO44" i="185" s="1"/>
  <c r="BJ47" i="182" s="1"/>
  <c r="HJ39" i="185"/>
  <c r="JO39" i="185" s="1"/>
  <c r="HJ33" i="185"/>
  <c r="JO33" i="185" s="1"/>
  <c r="JL5" i="185"/>
  <c r="JP5" i="185" s="1"/>
  <c r="JQ5" i="185" s="1"/>
  <c r="JU5" i="185" s="1"/>
  <c r="HJ6" i="185"/>
  <c r="JO6" i="185" s="1"/>
  <c r="BK9" i="182"/>
  <c r="HJ15" i="185"/>
  <c r="JO15" i="185" s="1"/>
  <c r="JL25" i="185"/>
  <c r="HJ18" i="185"/>
  <c r="JO18" i="185" s="1"/>
  <c r="HJ37" i="185"/>
  <c r="JO37" i="185" s="1"/>
  <c r="JL34" i="185"/>
  <c r="JL46" i="185"/>
  <c r="JL17" i="185"/>
  <c r="JL33" i="185"/>
  <c r="JL23" i="185"/>
  <c r="JL13" i="185"/>
  <c r="JL39" i="185"/>
  <c r="HJ35" i="185"/>
  <c r="JO35" i="185" s="1"/>
  <c r="JL26" i="185"/>
  <c r="JL40" i="185"/>
  <c r="JL12" i="185"/>
  <c r="JL32" i="185"/>
  <c r="JL7" i="185"/>
  <c r="JL11" i="185"/>
  <c r="JL45" i="185"/>
  <c r="JL19" i="185"/>
  <c r="JL9" i="185"/>
  <c r="JL30" i="185"/>
  <c r="JL44" i="185"/>
  <c r="JL41" i="185"/>
  <c r="JL24" i="185"/>
  <c r="JL10" i="185"/>
  <c r="JL21" i="185"/>
  <c r="JL36" i="185"/>
  <c r="JL27" i="185"/>
  <c r="JL38" i="185"/>
  <c r="JL43" i="185"/>
  <c r="JL20" i="185"/>
  <c r="JL16" i="185"/>
  <c r="JL8" i="185"/>
  <c r="JL22" i="185"/>
  <c r="JL28" i="185"/>
  <c r="JL31" i="185"/>
  <c r="JL42" i="185"/>
  <c r="JL14" i="185"/>
  <c r="JL29" i="185"/>
  <c r="BK38" i="182"/>
  <c r="BK21" i="182"/>
  <c r="BK40" i="182"/>
  <c r="JP10" i="185" l="1"/>
  <c r="BK13" i="182" s="1"/>
  <c r="JP7" i="185"/>
  <c r="BK10" i="182" s="1"/>
  <c r="JP33" i="185"/>
  <c r="BK36" i="182" s="1"/>
  <c r="JP44" i="185"/>
  <c r="BK47" i="182" s="1"/>
  <c r="JP32" i="185"/>
  <c r="BK35" i="182" s="1"/>
  <c r="JP17" i="185"/>
  <c r="BK20" i="182" s="1"/>
  <c r="JP8" i="185"/>
  <c r="BK11" i="182" s="1"/>
  <c r="JP46" i="185"/>
  <c r="BK49" i="182" s="1"/>
  <c r="JP9" i="185"/>
  <c r="BK12" i="182" s="1"/>
  <c r="JP26" i="185"/>
  <c r="BK29" i="182" s="1"/>
  <c r="JP34" i="185"/>
  <c r="BK37" i="182" s="1"/>
  <c r="JP41" i="185"/>
  <c r="BK44" i="182" s="1"/>
  <c r="JP11" i="185"/>
  <c r="BK14" i="182" s="1"/>
  <c r="JP39" i="185"/>
  <c r="JQ39" i="185" s="1"/>
  <c r="JP16" i="185"/>
  <c r="BK19" i="182" s="1"/>
  <c r="JP20" i="185"/>
  <c r="JQ20" i="185" s="1"/>
  <c r="JP13" i="185"/>
  <c r="BK16" i="182" s="1"/>
  <c r="JP22" i="185"/>
  <c r="BK25" i="182" s="1"/>
  <c r="JP43" i="185"/>
  <c r="BK46" i="182" s="1"/>
  <c r="JP19" i="185"/>
  <c r="BK22" i="182" s="1"/>
  <c r="JP40" i="185"/>
  <c r="BK43" i="182" s="1"/>
  <c r="JP42" i="185"/>
  <c r="BK45" i="182" s="1"/>
  <c r="JP28" i="185"/>
  <c r="BK31" i="182" s="1"/>
  <c r="JP38" i="185"/>
  <c r="BK41" i="182" s="1"/>
  <c r="JP25" i="185"/>
  <c r="BK28" i="182" s="1"/>
  <c r="JP29" i="185"/>
  <c r="BK32" i="182" s="1"/>
  <c r="JP23" i="185"/>
  <c r="BK26" i="182" s="1"/>
  <c r="JP27" i="185"/>
  <c r="BK30" i="182" s="1"/>
  <c r="JP24" i="185"/>
  <c r="JQ24" i="185" s="1"/>
  <c r="JP45" i="185"/>
  <c r="BK48" i="182" s="1"/>
  <c r="JP36" i="185"/>
  <c r="BK39" i="182" s="1"/>
  <c r="JP30" i="185"/>
  <c r="JQ30" i="185" s="1"/>
  <c r="JP12" i="185"/>
  <c r="BK15" i="182" s="1"/>
  <c r="JP14" i="185"/>
  <c r="BK17" i="182" s="1"/>
  <c r="JP31" i="185"/>
  <c r="BK34" i="182" s="1"/>
  <c r="JP21" i="185"/>
  <c r="JQ21" i="185" s="1"/>
  <c r="BJ38" i="182"/>
  <c r="BJ9" i="182"/>
  <c r="BQ9" i="182" s="1"/>
  <c r="JQ6" i="185"/>
  <c r="BJ11" i="182"/>
  <c r="BJ42" i="182"/>
  <c r="JQ32" i="185"/>
  <c r="BJ35" i="182"/>
  <c r="BJ33" i="182"/>
  <c r="BJ23" i="182"/>
  <c r="BK8" i="182"/>
  <c r="JQ44" i="185"/>
  <c r="BH38" i="182"/>
  <c r="BH8" i="182"/>
  <c r="F4" i="182"/>
  <c r="F6" i="182" s="1"/>
  <c r="JQ23" i="185" l="1"/>
  <c r="JU23" i="185" s="1"/>
  <c r="BK42" i="182"/>
  <c r="BQ42" i="182" s="1"/>
  <c r="BK27" i="182"/>
  <c r="BQ27" i="182" s="1"/>
  <c r="BK24" i="182"/>
  <c r="BQ24" i="182" s="1"/>
  <c r="JQ28" i="185"/>
  <c r="BK33" i="182"/>
  <c r="BK23" i="182"/>
  <c r="BQ23" i="182" s="1"/>
  <c r="JQ8" i="185"/>
  <c r="JU8" i="185" s="1"/>
  <c r="JQ35" i="185"/>
  <c r="BL38" i="182" s="1"/>
  <c r="BO38" i="182" s="1"/>
  <c r="JU6" i="185"/>
  <c r="BL9" i="182"/>
  <c r="BO9" i="182" s="1"/>
  <c r="JQ17" i="185"/>
  <c r="BJ20" i="182"/>
  <c r="JQ25" i="185"/>
  <c r="BJ28" i="182"/>
  <c r="JQ16" i="185"/>
  <c r="BJ19" i="182"/>
  <c r="JQ19" i="185"/>
  <c r="BJ22" i="182"/>
  <c r="JQ40" i="185"/>
  <c r="BJ43" i="182"/>
  <c r="JQ14" i="185"/>
  <c r="BJ17" i="182"/>
  <c r="JQ10" i="185"/>
  <c r="BJ13" i="182"/>
  <c r="JQ9" i="185"/>
  <c r="BJ12" i="182"/>
  <c r="JQ37" i="185"/>
  <c r="BL40" i="182" s="1"/>
  <c r="BO40" i="182" s="1"/>
  <c r="BJ40" i="182"/>
  <c r="JQ33" i="185"/>
  <c r="BJ36" i="182"/>
  <c r="JQ31" i="185"/>
  <c r="BJ34" i="182"/>
  <c r="JQ18" i="185"/>
  <c r="BL21" i="182" s="1"/>
  <c r="BO21" i="182" s="1"/>
  <c r="BJ21" i="182"/>
  <c r="JQ46" i="185"/>
  <c r="JU46" i="185" s="1"/>
  <c r="BJ49" i="182"/>
  <c r="BQ49" i="182" s="1"/>
  <c r="JQ45" i="185"/>
  <c r="BJ48" i="182"/>
  <c r="JQ42" i="185"/>
  <c r="BJ45" i="182"/>
  <c r="JQ38" i="185"/>
  <c r="BJ41" i="182"/>
  <c r="JQ36" i="185"/>
  <c r="BJ39" i="182"/>
  <c r="JQ34" i="185"/>
  <c r="BJ37" i="182"/>
  <c r="JQ27" i="185"/>
  <c r="BJ30" i="182"/>
  <c r="JQ26" i="185"/>
  <c r="BJ29" i="182"/>
  <c r="JQ22" i="185"/>
  <c r="BJ25" i="182"/>
  <c r="JQ15" i="185"/>
  <c r="BL18" i="182" s="1"/>
  <c r="BO18" i="182" s="1"/>
  <c r="BJ18" i="182"/>
  <c r="JQ12" i="185"/>
  <c r="BJ15" i="182"/>
  <c r="JQ11" i="185"/>
  <c r="BJ14" i="182"/>
  <c r="JQ41" i="185"/>
  <c r="BJ44" i="182"/>
  <c r="JQ43" i="185"/>
  <c r="BJ46" i="182"/>
  <c r="JQ13" i="185"/>
  <c r="BJ16" i="182"/>
  <c r="BJ8" i="182"/>
  <c r="BQ8" i="182" s="1"/>
  <c r="JQ29" i="185"/>
  <c r="BJ32" i="182"/>
  <c r="JQ7" i="185"/>
  <c r="BJ10" i="182"/>
  <c r="BQ47" i="182"/>
  <c r="BL23" i="182"/>
  <c r="BO23" i="182" s="1"/>
  <c r="JU20" i="185"/>
  <c r="BL31" i="182"/>
  <c r="BO31" i="182" s="1"/>
  <c r="JU28" i="185"/>
  <c r="BL33" i="182"/>
  <c r="BO33" i="182" s="1"/>
  <c r="JU30" i="185"/>
  <c r="BL35" i="182"/>
  <c r="BO35" i="182" s="1"/>
  <c r="JU32" i="185"/>
  <c r="BL42" i="182"/>
  <c r="BO42" i="182" s="1"/>
  <c r="JU39" i="185"/>
  <c r="BL24" i="182"/>
  <c r="BO24" i="182" s="1"/>
  <c r="JU21" i="185"/>
  <c r="BQ11" i="182"/>
  <c r="G3" i="182"/>
  <c r="G4" i="182" s="1"/>
  <c r="H3" i="182" s="1"/>
  <c r="H4" i="182" s="1"/>
  <c r="I3" i="182" s="1"/>
  <c r="BQ31" i="182"/>
  <c r="BQ35" i="182"/>
  <c r="BQ26" i="182"/>
  <c r="BQ38" i="182"/>
  <c r="BL26" i="182" l="1"/>
  <c r="BO26" i="182" s="1"/>
  <c r="JU35" i="185"/>
  <c r="BL11" i="182"/>
  <c r="BO11" i="182" s="1"/>
  <c r="BL49" i="182"/>
  <c r="BO49" i="182" s="1"/>
  <c r="BL8" i="182"/>
  <c r="BO8" i="182" s="1"/>
  <c r="BQ34" i="182"/>
  <c r="BQ18" i="182"/>
  <c r="JU15" i="185"/>
  <c r="JU18" i="185"/>
  <c r="BL10" i="182"/>
  <c r="BO10" i="182" s="1"/>
  <c r="JU7" i="185"/>
  <c r="BL43" i="182"/>
  <c r="BO43" i="182" s="1"/>
  <c r="JU40" i="185"/>
  <c r="BL44" i="182"/>
  <c r="BO44" i="182" s="1"/>
  <c r="JU41" i="185"/>
  <c r="BL45" i="182"/>
  <c r="BO45" i="182" s="1"/>
  <c r="JU42" i="185"/>
  <c r="BL12" i="182"/>
  <c r="BO12" i="182" s="1"/>
  <c r="JU9" i="185"/>
  <c r="BL29" i="182"/>
  <c r="BO29" i="182" s="1"/>
  <c r="JU26" i="185"/>
  <c r="BL27" i="182"/>
  <c r="BO27" i="182" s="1"/>
  <c r="JU24" i="185"/>
  <c r="JU37" i="185"/>
  <c r="BL13" i="182"/>
  <c r="BO13" i="182" s="1"/>
  <c r="JU10" i="185"/>
  <c r="BL16" i="182"/>
  <c r="BO16" i="182" s="1"/>
  <c r="JU13" i="185"/>
  <c r="BL37" i="182"/>
  <c r="BO37" i="182" s="1"/>
  <c r="JU34" i="185"/>
  <c r="BL14" i="182"/>
  <c r="BO14" i="182" s="1"/>
  <c r="JU11" i="185"/>
  <c r="BL46" i="182"/>
  <c r="BO46" i="182" s="1"/>
  <c r="JU43" i="185"/>
  <c r="BL25" i="182"/>
  <c r="BO25" i="182" s="1"/>
  <c r="JU22" i="185"/>
  <c r="BL48" i="182"/>
  <c r="BO48" i="182" s="1"/>
  <c r="JU45" i="185"/>
  <c r="BL34" i="182"/>
  <c r="BO34" i="182" s="1"/>
  <c r="JU31" i="185"/>
  <c r="BL28" i="182"/>
  <c r="BO28" i="182" s="1"/>
  <c r="JU25" i="185"/>
  <c r="BL30" i="182"/>
  <c r="BO30" i="182" s="1"/>
  <c r="JU27" i="185"/>
  <c r="BL17" i="182"/>
  <c r="BO17" i="182" s="1"/>
  <c r="JU14" i="185"/>
  <c r="BL36" i="182"/>
  <c r="BO36" i="182" s="1"/>
  <c r="JU33" i="185"/>
  <c r="BL47" i="182"/>
  <c r="BO47" i="182" s="1"/>
  <c r="JU44" i="185"/>
  <c r="BL32" i="182"/>
  <c r="BO32" i="182" s="1"/>
  <c r="JU29" i="185"/>
  <c r="BL22" i="182"/>
  <c r="BO22" i="182" s="1"/>
  <c r="JU19" i="185"/>
  <c r="BL39" i="182"/>
  <c r="BO39" i="182" s="1"/>
  <c r="JU36" i="185"/>
  <c r="BL41" i="182"/>
  <c r="BO41" i="182" s="1"/>
  <c r="JU38" i="185"/>
  <c r="BL19" i="182"/>
  <c r="BO19" i="182" s="1"/>
  <c r="JU16" i="185"/>
  <c r="BL20" i="182"/>
  <c r="BO20" i="182" s="1"/>
  <c r="JU17" i="185"/>
  <c r="BL15" i="182"/>
  <c r="BO15" i="182" s="1"/>
  <c r="JU12" i="185"/>
  <c r="BQ36" i="182"/>
  <c r="BQ44" i="182"/>
  <c r="BQ32" i="182"/>
  <c r="BQ22" i="182"/>
  <c r="BQ10" i="182"/>
  <c r="BQ29" i="182"/>
  <c r="BQ46" i="182"/>
  <c r="BQ41" i="182"/>
  <c r="BQ48" i="182"/>
  <c r="BQ15" i="182"/>
  <c r="BQ12" i="182"/>
  <c r="BQ28" i="182"/>
  <c r="BQ21" i="182"/>
  <c r="G6" i="182"/>
  <c r="BQ40" i="182"/>
  <c r="BQ16" i="182"/>
  <c r="BQ37" i="182"/>
  <c r="BQ43" i="182"/>
  <c r="BQ19" i="182"/>
  <c r="BQ30" i="182"/>
  <c r="BQ25" i="182"/>
  <c r="BQ20" i="182"/>
  <c r="BQ17" i="182"/>
  <c r="BQ14" i="182"/>
  <c r="BQ45" i="182"/>
  <c r="BQ13" i="182"/>
  <c r="BQ39" i="182"/>
  <c r="H6" i="182"/>
  <c r="I4" i="182"/>
  <c r="J3" i="182" s="1"/>
  <c r="J4" i="182" l="1"/>
  <c r="K3" i="182" s="1"/>
  <c r="I6" i="182"/>
  <c r="K4" i="182" l="1"/>
  <c r="L3" i="182" s="1"/>
  <c r="J6" i="182"/>
  <c r="L4" i="182" l="1"/>
  <c r="M3" i="182" s="1"/>
  <c r="K6" i="182"/>
  <c r="M4" i="182" l="1"/>
  <c r="N3" i="182" s="1"/>
  <c r="L6" i="182"/>
  <c r="M6" i="182" l="1"/>
  <c r="N4" i="182"/>
  <c r="O3" i="182" s="1"/>
  <c r="N6" i="182" l="1"/>
  <c r="O4" i="182"/>
  <c r="P3" i="182" s="1"/>
  <c r="O6" i="182" l="1"/>
  <c r="P4" i="182"/>
  <c r="Q3" i="182" s="1"/>
  <c r="Q4" i="182" l="1"/>
  <c r="R3" i="182" s="1"/>
  <c r="P6" i="182"/>
  <c r="R4" i="182" l="1"/>
  <c r="S3" i="182" s="1"/>
  <c r="Q6" i="182"/>
  <c r="R6" i="182" l="1"/>
  <c r="S4" i="182"/>
  <c r="T3" i="182" s="1"/>
  <c r="T4" i="182" l="1"/>
  <c r="U3" i="182" s="1"/>
  <c r="S6" i="182"/>
  <c r="T6" i="182" l="1"/>
  <c r="U4" i="182"/>
  <c r="V3" i="182" s="1"/>
  <c r="U6" i="182"/>
  <c r="V4" i="182" l="1"/>
  <c r="W3" i="182" s="1"/>
  <c r="V6" i="182" l="1"/>
  <c r="W4" i="182"/>
  <c r="X3" i="182" s="1"/>
  <c r="W6" i="182" l="1"/>
  <c r="X4" i="182"/>
  <c r="Y3" i="182" s="1"/>
  <c r="X6" i="182" l="1"/>
  <c r="Y4" i="182"/>
  <c r="Z3" i="182" s="1"/>
  <c r="Y6" i="182"/>
  <c r="Z4" i="182" l="1"/>
  <c r="AA3" i="182" s="1"/>
  <c r="AA4" i="182" l="1"/>
  <c r="AB3" i="182" s="1"/>
  <c r="Z6" i="182"/>
  <c r="AB4" i="182" l="1"/>
  <c r="AC3" i="182" s="1"/>
  <c r="AA6" i="182"/>
  <c r="AB6" i="182" l="1"/>
  <c r="AC4" i="182"/>
  <c r="AD3" i="182" s="1"/>
  <c r="AD4" i="182" l="1"/>
  <c r="AE3" i="182" s="1"/>
  <c r="AC6" i="182"/>
  <c r="AE4" i="182" l="1"/>
  <c r="AF3" i="182" s="1"/>
  <c r="AD6" i="182"/>
  <c r="AF4" i="182" l="1"/>
  <c r="AG3" i="182" s="1"/>
  <c r="AE6" i="182"/>
  <c r="AG4" i="182" l="1"/>
  <c r="AH3" i="182" s="1"/>
  <c r="AF6" i="182"/>
  <c r="AG6" i="182" l="1"/>
  <c r="AH4" i="182"/>
  <c r="AI3" i="182" s="1"/>
  <c r="AI4" i="182" l="1"/>
  <c r="AJ3" i="182" s="1"/>
  <c r="AH6" i="182"/>
  <c r="AI6" i="182" l="1"/>
  <c r="AJ4" i="182"/>
  <c r="AK3" i="182" s="1"/>
  <c r="AJ6" i="182"/>
  <c r="AK4" i="182" l="1"/>
  <c r="AL3" i="182" s="1"/>
  <c r="AK6" i="182" l="1"/>
  <c r="AL4" i="182"/>
  <c r="AM3" i="182" s="1"/>
  <c r="AL6" i="182" l="1"/>
  <c r="AM4" i="182"/>
  <c r="AN3" i="182" s="1"/>
  <c r="AM6" i="182"/>
  <c r="AN4" i="182" l="1"/>
  <c r="AO3" i="182" s="1"/>
  <c r="AO4" i="182" l="1"/>
  <c r="AP3" i="182" s="1"/>
  <c r="AN6" i="182"/>
  <c r="AP4" i="182" l="1"/>
  <c r="AQ3" i="182" s="1"/>
  <c r="AO6" i="182"/>
  <c r="AP6" i="182" l="1"/>
  <c r="AQ4" i="182"/>
  <c r="AR3" i="182" s="1"/>
  <c r="AR4" i="182" l="1"/>
  <c r="AS3" i="182" s="1"/>
  <c r="AQ6" i="182"/>
  <c r="AR6" i="182" l="1"/>
  <c r="AS4" i="182"/>
  <c r="AT3" i="182" s="1"/>
  <c r="AS6" i="182" l="1"/>
  <c r="AT4" i="182"/>
  <c r="AU3" i="182" s="1"/>
  <c r="AU4" i="182" l="1"/>
  <c r="AV3" i="182" s="1"/>
  <c r="AT6" i="182"/>
  <c r="AV4" i="182" l="1"/>
  <c r="AW3" i="182" s="1"/>
  <c r="AU6" i="182"/>
  <c r="AV6" i="182" l="1"/>
  <c r="AW4" i="182"/>
  <c r="AX3" i="182" s="1"/>
  <c r="AW6" i="182" l="1"/>
  <c r="AX4" i="182"/>
  <c r="AY3" i="182" s="1"/>
  <c r="AX6" i="182" l="1"/>
  <c r="AY4" i="182"/>
  <c r="AZ3" i="182" s="1"/>
  <c r="AY6" i="182" l="1"/>
  <c r="AZ4" i="182"/>
  <c r="BA3" i="182" s="1"/>
  <c r="AZ6" i="182" l="1"/>
  <c r="BA4" i="182"/>
  <c r="BB3" i="182" s="1"/>
  <c r="BB4" i="182" l="1"/>
  <c r="BC3" i="182" s="1"/>
  <c r="BA6" i="182"/>
  <c r="BB6" i="182" l="1"/>
  <c r="BC4" i="182"/>
  <c r="BD3" i="182" s="1"/>
  <c r="BC6" i="182" l="1"/>
  <c r="BD4" i="182"/>
  <c r="BE3" i="182" s="1"/>
  <c r="BE4" i="182" s="1"/>
  <c r="BF3" i="182" s="1"/>
  <c r="BF4" i="182" l="1"/>
  <c r="BF6" i="182" s="1"/>
  <c r="BD6" i="18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Charlotte Badin</author>
  </authors>
  <commentList>
    <comment ref="K16" authorId="0" shapeId="0" xr:uid="{5B708D45-6D4A-4E8C-AD86-BD3CB075FC7C}">
      <text>
        <r>
          <rPr>
            <b/>
            <sz val="9"/>
            <color indexed="81"/>
            <rFont val="Tahoma"/>
            <family val="2"/>
          </rPr>
          <t>Charlotte Badin:</t>
        </r>
        <r>
          <rPr>
            <sz val="9"/>
            <color indexed="81"/>
            <rFont val="Tahoma"/>
            <family val="2"/>
          </rPr>
          <t xml:space="preserve">
A travillé 24,32h mais pris 8,68h sans solde : pas pénaliser 2x. 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<sst xmlns="http://schemas.openxmlformats.org/spreadsheetml/2006/main" count="242" uniqueCount="159">
  <si>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</si>
  <si>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</si>
  <si>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</si>
  <si>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</si>
  <si>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</si>
  <si>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</si>
  <si>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</si>
  <si>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</si>
  <si>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</si>
  <si>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</si>
  <si>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</si>
  <si>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S16</t>
  </si>
  <si>
    <t>S25</t>
  </si>
  <si>
    <t>S26</t>
  </si>
  <si>
    <t>S27</t>
  </si>
  <si>
    <t>S30</t>
  </si>
  <si>
    <t>S31</t>
  </si>
  <si>
    <t>S32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</si>
  <si>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</si>
  <si>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</si>
  <si>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</si>
  <si>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</si>
  <si>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</si>
  <si>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</si>
  <si>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</si>
  <si>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</si>
  <si>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</si>
  <si>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</si>
  <si>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S47</t>
  </si>
  <si>
    <t>S48</t>
  </si>
  <si>
    <t>S49</t>
  </si>
  <si>
    <t>S50</t>
  </si>
  <si>
    <t>S51</t>
  </si>
  <si>
    <t>LECAPITAINE Angélique</t>
  </si>
  <si>
    <t>S14</t>
  </si>
  <si>
    <t>RECCHIA Laetitia</t>
  </si>
  <si>
    <t>S29</t>
  </si>
  <si>
    <t>ROBERT Cécile</t>
  </si>
  <si>
    <t>S1</t>
  </si>
  <si>
    <t>S45</t>
  </si>
  <si>
    <t>BONNERUE Sandrine</t>
  </si>
  <si>
    <t>COCHET Mélina</t>
  </si>
  <si>
    <t>TORRES Corinne</t>
  </si>
  <si>
    <t>BOUILLET Dominique</t>
  </si>
  <si>
    <t>CORTOT Catherine</t>
  </si>
  <si>
    <t>EL BOUKABOUTI Mamouch</t>
  </si>
  <si>
    <t>FENILLE Victoria</t>
  </si>
  <si>
    <t>GOYON Marie Christine</t>
  </si>
  <si>
    <t>TAMAIN Aline</t>
  </si>
  <si>
    <t>Ceci que les autres jours travaillés soient en Journée 40h ou en Equipe 37h</t>
  </si>
  <si>
    <t>GARCIA Béatrice</t>
  </si>
  <si>
    <t>S28</t>
  </si>
  <si>
    <t>S44</t>
  </si>
  <si>
    <t xml:space="preserve">Modification possible sous 4 semaines maximum.  </t>
  </si>
  <si>
    <t>BUFFY Stéphanie</t>
  </si>
  <si>
    <t>S13</t>
  </si>
  <si>
    <t>S15</t>
  </si>
  <si>
    <t>S17</t>
  </si>
  <si>
    <t>S18</t>
  </si>
  <si>
    <t>S19</t>
  </si>
  <si>
    <t>S20</t>
  </si>
  <si>
    <t>S21</t>
  </si>
  <si>
    <t>S22</t>
  </si>
  <si>
    <t>S23</t>
  </si>
  <si>
    <t>S24</t>
  </si>
  <si>
    <t>S33</t>
  </si>
  <si>
    <t>S46</t>
  </si>
  <si>
    <t>S52</t>
  </si>
  <si>
    <t>OUDAN Manon</t>
  </si>
  <si>
    <t>REMY Ancélia</t>
  </si>
  <si>
    <t>REVERCHON Margarida</t>
  </si>
  <si>
    <t>WALCH Vanessa </t>
  </si>
  <si>
    <t>ZEGHIDI Amel</t>
  </si>
  <si>
    <t>ROSSELLO Yasmina</t>
  </si>
  <si>
    <t>BUISSON Cassandra</t>
  </si>
  <si>
    <t>REVERDY Mattéo</t>
  </si>
  <si>
    <t xml:space="preserve">CANU Jason </t>
  </si>
  <si>
    <t>MERLE Benjamin</t>
  </si>
  <si>
    <t>BOUDIER Laure</t>
  </si>
  <si>
    <t>TROUDi Abdelhamid</t>
  </si>
  <si>
    <t>PACHECO Guillaume</t>
  </si>
  <si>
    <t>Service</t>
  </si>
  <si>
    <t>Production</t>
  </si>
  <si>
    <t>Contrat Base</t>
  </si>
  <si>
    <t>VALENTI Dorian</t>
  </si>
  <si>
    <t>REGLES DE SAISIE DU FICHIER</t>
  </si>
  <si>
    <t>Renseigner le service suivant le menu déroulant prévu à cet effet</t>
  </si>
  <si>
    <t>Renseigner le temps de travail du salarié</t>
  </si>
  <si>
    <t>Renseigner les heures semaines par semaines sans tenir compte de majoration, … Renseigner le nombre d'heure au 1/4 d'heure prêt</t>
  </si>
  <si>
    <t>Renseigner le temps restant au 31/12/ de l'année N-1</t>
  </si>
  <si>
    <t>Gestion du compteur de l'année N-1</t>
  </si>
  <si>
    <t>Renseigner selon l'accord du salarié le % de ce compteur de l'année N-1 qui sera pris en congés. Le % payé sera la différence</t>
  </si>
  <si>
    <t>Le type de majoration permet de conserver la règle et pour la partie "pris en congés", de faire le calcul déjà majoré pour le résultat</t>
  </si>
  <si>
    <t>Si les congés sont prises sur le compteur de l'année N-1, il faut venir indiquer la quantité prise dans la colonne BP</t>
  </si>
  <si>
    <t>L'information est à mettre en colonne BN.</t>
  </si>
  <si>
    <t>Venir ici inscire pour chaque semaine, pour chaque service, si il s'agit de modulation (U) ou d'heures majorées (M)</t>
  </si>
  <si>
    <t>Cette décision est prise par la direction en fonction de l'accord 35h en vigueur ou de décisions ponctuelles</t>
  </si>
  <si>
    <t>Le calcul des heures sup avec ou sans majoration en fonction du choix du tableau ci-dessus semaine par semaine, service par service, est fait dans ce tableau</t>
  </si>
  <si>
    <t>NE RIEN ECRIRE EN MANUEL ICI</t>
  </si>
  <si>
    <t>RESULTAT</t>
  </si>
  <si>
    <t>SUR CE TABLEAU, LE RESULTAT DES HEURES RESTANT A ETRE PRISES POUR L'ANNEE N-1</t>
  </si>
  <si>
    <t xml:space="preserve">ET </t>
  </si>
  <si>
    <t>LE NOMBRE D'HEURE A PRENDRE POUR L'ANNEE N</t>
  </si>
  <si>
    <t>Si des heures sont payées durant l'année N, il faut les déduire dans la colonne ci-dessous (colonne BL) sans majoration</t>
  </si>
  <si>
    <t>ALVES Sylvie</t>
  </si>
  <si>
    <t>TOTAL DES HEURES APRES MAJORATION</t>
  </si>
  <si>
    <t>Production CE</t>
  </si>
  <si>
    <r>
      <t xml:space="preserve">Règle identique pour paiement et récupération : de la 36ème heure à la 42ème heure incluse → majoration de 1.25; à partir de la 43ème heure </t>
    </r>
    <r>
      <rPr>
        <sz val="12"/>
        <rFont val="Calibri"/>
        <family val="2"/>
      </rPr>
      <t>→</t>
    </r>
    <r>
      <rPr>
        <sz val="12"/>
        <rFont val="Arial"/>
        <family val="2"/>
      </rPr>
      <t xml:space="preserve"> majoration de 1.5</t>
    </r>
  </si>
  <si>
    <t>NB HEURES RESTANT À RECUPERER (MAJORATION PRISE EN COMPTE)</t>
  </si>
  <si>
    <t>NB HEURES RECUPEREES SUR COMPTEUR DE 2024</t>
  </si>
  <si>
    <t>DUCERF Norbert</t>
  </si>
  <si>
    <t>Logistique</t>
  </si>
  <si>
    <t>COLLINS Tom</t>
  </si>
  <si>
    <t>FANGUIN Nadine</t>
  </si>
  <si>
    <t>LION Sylvie</t>
  </si>
  <si>
    <t>MARZOUGUI Sabri</t>
  </si>
  <si>
    <t>NB HEURES PAYEES (MAJORATION PRISE EN COMPTE)</t>
  </si>
  <si>
    <t>Document affiché chaque semaine au tableau d’affichage.</t>
  </si>
  <si>
    <t>BOLLET DURAFOUR Bérangère</t>
  </si>
  <si>
    <t>comparaison avec Feuille du détail</t>
  </si>
  <si>
    <t>NB HEURE SUP TOTAL ANNUEL</t>
  </si>
  <si>
    <t>PENINGUY Grégory</t>
  </si>
  <si>
    <t>LEMOINE Anthony</t>
  </si>
  <si>
    <t>PAIN Mélanie</t>
  </si>
  <si>
    <r>
      <t xml:space="preserve">Règle pour la modulation en cas de formation : 
</t>
    </r>
    <r>
      <rPr>
        <b/>
        <sz val="16"/>
        <rFont val="Arial"/>
        <family val="2"/>
      </rPr>
      <t>Compter une journée type de travail</t>
    </r>
  </si>
  <si>
    <t>BALLOT Lucas</t>
  </si>
  <si>
    <t>EVENTOVA Natalya</t>
  </si>
  <si>
    <t>Du LUNDI au JEUDI --&gt; 8,25h de Modulation</t>
  </si>
  <si>
    <t>Le VENDREDI --&gt; 8h de Modulation</t>
  </si>
  <si>
    <t>MONIN Margaux</t>
  </si>
  <si>
    <t>MODULATION 2025</t>
  </si>
  <si>
    <t>COMPTEUR MODUL 2025</t>
  </si>
  <si>
    <t>Règles pour la modulation en cas d'absence si semaine 33h ou 41h:</t>
  </si>
  <si>
    <t>min</t>
  </si>
  <si>
    <t>max</t>
  </si>
  <si>
    <t>horaires</t>
  </si>
  <si>
    <t>Total</t>
  </si>
  <si>
    <t>Heures faites</t>
  </si>
  <si>
    <t>Heure théorique</t>
  </si>
  <si>
    <t>Total majoré</t>
  </si>
  <si>
    <t>Déduction travail - prévu</t>
  </si>
  <si>
    <t>NB HEURES MAJORE À 1,25</t>
  </si>
  <si>
    <t>NB HEURES MAJORE À 1,5</t>
  </si>
  <si>
    <t>Heures recupérées</t>
  </si>
  <si>
    <t>Mise en forme</t>
  </si>
  <si>
    <t>vert</t>
  </si>
  <si>
    <t>orange</t>
  </si>
  <si>
    <t>rouge</t>
  </si>
  <si>
    <t>noire</t>
  </si>
  <si>
    <t>Total non majoré</t>
  </si>
  <si>
    <t>S52+1</t>
  </si>
  <si>
    <t>EN CAS D'ARRET MALADIE</t>
  </si>
  <si>
    <t>Si arrêt 1 semaine : indiquer les heures théoriques</t>
  </si>
  <si>
    <t>Si arrêt de 2 semaine consécutives : noter le nombre d'heure contrat</t>
  </si>
  <si>
    <t>ABDELADIM Adem</t>
  </si>
  <si>
    <t>MAJ le 13/03/2025</t>
  </si>
  <si>
    <t>Différentiel heure</t>
  </si>
  <si>
    <t>Majoration à 1,25</t>
  </si>
  <si>
    <t>Majoration à 1,5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</si>
</sst>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.00\ _F_-;\-* #,##0.00\ _F_-;_-* &quot;-&quot;??\ _F_-;_-@_-"/>
    <numFmt numFmtId="165" formatCode="0.0"/>
  </numFmts>
  <fonts count="34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28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6"/>
      <name val="Arial"/>
      <family val="2"/>
    </font>
    <font>
      <b/>
      <u/>
      <sz val="18"/>
      <name val="Arial"/>
      <family val="2"/>
    </font>
    <font>
      <sz val="22"/>
      <name val="Arial"/>
      <family val="2"/>
    </font>
    <font>
      <sz val="12"/>
      <name val="Times New Roman"/>
      <family val="1"/>
    </font>
    <font>
      <b/>
      <u/>
      <sz val="10"/>
      <name val="Arial"/>
      <family val="2"/>
    </font>
    <font>
      <b/>
      <u/>
      <sz val="12"/>
      <name val="Arial"/>
      <family val="2"/>
    </font>
    <font>
      <sz val="12"/>
      <name val="Calibri"/>
      <family val="2"/>
    </font>
    <font>
      <b/>
      <sz val="26"/>
      <name val="Arial"/>
      <family val="2"/>
    </font>
    <font>
      <b/>
      <sz val="9"/>
      <name val="Arial"/>
      <family val="2"/>
    </font>
    <font>
      <b/>
      <sz val="16"/>
      <name val="Arial"/>
      <family val="2"/>
    </font>
    <font>
      <sz val="11"/>
      <name val="Arial"/>
      <family val="2"/>
    </font>
    <font>
      <i/>
      <sz val="11"/>
      <name val="Arial"/>
      <family val="2"/>
    </font>
    <font>
      <b/>
      <u/>
      <sz val="14"/>
      <name val="Arial"/>
      <family val="2"/>
    </font>
    <font>
      <sz val="11"/>
      <color theme="1"/>
      <name val="Calibri"/>
      <family val="2"/>
    </font>
    <font>
      <b/>
      <sz val="8"/>
      <color rgb="FF00B0F0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i/>
      <sz val="10"/>
      <color theme="0" tint="-0.499984740745262"/>
      <name val="Arial"/>
      <family val="2"/>
    </font>
    <font>
      <i/>
      <sz val="10"/>
      <name val="Arial"/>
      <family val="2"/>
    </font>
    <font>
      <sz val="8"/>
      <name val="Arial"/>
      <family val="2"/>
    </font>
    <font>
      <b/>
      <sz val="10"/>
      <color rgb="FFFF000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color theme="0" tint="-0.499984740745262"/>
      <name val="Arial"/>
      <family val="2"/>
    </font>
    <font>
      <b/>
      <sz val="10"/>
      <color theme="1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FFCC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E78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499984740745262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FF0000"/>
      </left>
      <right/>
      <top style="double">
        <color rgb="FFFF0000"/>
      </top>
      <bottom/>
      <diagonal/>
    </border>
    <border>
      <left/>
      <right/>
      <top style="double">
        <color rgb="FFFF0000"/>
      </top>
      <bottom/>
      <diagonal/>
    </border>
    <border>
      <left/>
      <right style="double">
        <color rgb="FFFF0000"/>
      </right>
      <top style="double">
        <color rgb="FFFF0000"/>
      </top>
      <bottom/>
      <diagonal/>
    </border>
    <border>
      <left style="double">
        <color rgb="FFFF0000"/>
      </left>
      <right/>
      <top/>
      <bottom/>
      <diagonal/>
    </border>
    <border>
      <left/>
      <right style="double">
        <color rgb="FFFF0000"/>
      </right>
      <top/>
      <bottom/>
      <diagonal/>
    </border>
    <border>
      <left style="double">
        <color rgb="FFFF0000"/>
      </left>
      <right/>
      <top/>
      <bottom style="double">
        <color rgb="FFFF0000"/>
      </bottom>
      <diagonal/>
    </border>
    <border>
      <left/>
      <right/>
      <top/>
      <bottom style="double">
        <color rgb="FFFF0000"/>
      </bottom>
      <diagonal/>
    </border>
    <border>
      <left/>
      <right style="double">
        <color rgb="FFFF0000"/>
      </right>
      <top/>
      <bottom style="double">
        <color rgb="FFFF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0" fontId="12" fillId="0" borderId="0"/>
    <xf numFmtId="0" fontId="6" fillId="0" borderId="0"/>
    <xf numFmtId="0" fontId="22" fillId="4" borderId="31" applyNumberFormat="0" applyFont="0" applyAlignment="0" applyProtection="0"/>
  </cellStyleXfs>
  <cellXfs count="205">
    <xf numFmtId="0" fontId="0" fillId="0" borderId="0" xfId="0"/>
    <xf numFmtId="0" fontId="0" fillId="0" borderId="0" xfId="0" applyAlignment="1">
      <alignment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wrapText="1"/>
    </xf>
    <xf numFmtId="0" fontId="5" fillId="0" borderId="0" xfId="0" applyFont="1" applyAlignment="1">
      <alignment wrapText="1"/>
    </xf>
    <xf numFmtId="165" fontId="0" fillId="0" borderId="0" xfId="0" applyNumberFormat="1" applyAlignment="1">
      <alignment wrapText="1"/>
    </xf>
    <xf numFmtId="165" fontId="2" fillId="0" borderId="0" xfId="0" applyNumberFormat="1" applyFont="1" applyAlignment="1">
      <alignment wrapText="1"/>
    </xf>
    <xf numFmtId="165" fontId="0" fillId="0" borderId="0" xfId="0" applyNumberFormat="1"/>
    <xf numFmtId="0" fontId="23" fillId="0" borderId="0" xfId="0" applyFont="1" applyAlignment="1">
      <alignment wrapText="1"/>
    </xf>
    <xf numFmtId="0" fontId="2" fillId="0" borderId="0" xfId="0" applyFont="1" applyAlignment="1">
      <alignment horizontal="center" wrapText="1"/>
    </xf>
    <xf numFmtId="0" fontId="7" fillId="6" borderId="2" xfId="0" applyFont="1" applyFill="1" applyBorder="1" applyAlignment="1">
      <alignment horizontal="center" vertical="center" wrapText="1"/>
    </xf>
    <xf numFmtId="0" fontId="7" fillId="6" borderId="3" xfId="0" applyFont="1" applyFill="1" applyBorder="1" applyAlignment="1">
      <alignment horizontal="center" vertical="center" wrapText="1"/>
    </xf>
    <xf numFmtId="0" fontId="7" fillId="0" borderId="0" xfId="0" applyFont="1" applyAlignment="1">
      <alignment wrapText="1"/>
    </xf>
    <xf numFmtId="165" fontId="7" fillId="0" borderId="0" xfId="0" applyNumberFormat="1" applyFont="1" applyAlignment="1">
      <alignment wrapText="1"/>
    </xf>
    <xf numFmtId="0" fontId="7" fillId="0" borderId="0" xfId="0" applyFont="1" applyAlignment="1">
      <alignment horizontal="center" wrapText="1"/>
    </xf>
    <xf numFmtId="0" fontId="7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wrapText="1"/>
    </xf>
    <xf numFmtId="14" fontId="6" fillId="0" borderId="0" xfId="0" applyNumberFormat="1" applyFont="1" applyAlignment="1">
      <alignment wrapText="1"/>
    </xf>
    <xf numFmtId="0" fontId="6" fillId="0" borderId="0" xfId="0" applyFont="1" applyAlignment="1">
      <alignment horizontal="center" vertical="center" wrapText="1"/>
    </xf>
    <xf numFmtId="165" fontId="6" fillId="0" borderId="0" xfId="0" applyNumberFormat="1" applyFont="1" applyAlignment="1">
      <alignment wrapText="1"/>
    </xf>
    <xf numFmtId="0" fontId="11" fillId="0" borderId="0" xfId="0" applyFont="1"/>
    <xf numFmtId="0" fontId="9" fillId="0" borderId="0" xfId="0" applyFont="1" applyAlignment="1">
      <alignment vertical="center"/>
    </xf>
    <xf numFmtId="0" fontId="10" fillId="0" borderId="32" xfId="0" applyFont="1" applyBorder="1" applyAlignment="1">
      <alignment vertical="center"/>
    </xf>
    <xf numFmtId="0" fontId="8" fillId="0" borderId="1" xfId="0" applyFont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 wrapText="1"/>
    </xf>
    <xf numFmtId="0" fontId="8" fillId="0" borderId="0" xfId="0" applyFont="1" applyAlignment="1">
      <alignment wrapText="1"/>
    </xf>
    <xf numFmtId="0" fontId="8" fillId="2" borderId="24" xfId="0" applyFont="1" applyFill="1" applyBorder="1" applyAlignment="1">
      <alignment horizontal="center" vertical="center" textRotation="90" wrapText="1"/>
    </xf>
    <xf numFmtId="0" fontId="6" fillId="0" borderId="0" xfId="0" applyFont="1"/>
    <xf numFmtId="0" fontId="13" fillId="0" borderId="0" xfId="0" applyFont="1"/>
    <xf numFmtId="0" fontId="14" fillId="0" borderId="0" xfId="0" applyFont="1"/>
    <xf numFmtId="0" fontId="8" fillId="2" borderId="22" xfId="0" applyFont="1" applyFill="1" applyBorder="1" applyAlignment="1">
      <alignment horizontal="center" vertical="center" textRotation="90" wrapText="1"/>
    </xf>
    <xf numFmtId="0" fontId="24" fillId="0" borderId="17" xfId="0" applyFont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7" fillId="6" borderId="17" xfId="0" applyFont="1" applyFill="1" applyBorder="1" applyAlignment="1">
      <alignment horizontal="center" vertical="center" wrapText="1"/>
    </xf>
    <xf numFmtId="0" fontId="7" fillId="6" borderId="4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2" fontId="8" fillId="13" borderId="1" xfId="0" applyNumberFormat="1" applyFont="1" applyFill="1" applyBorder="1" applyAlignment="1">
      <alignment horizontal="center" vertical="center" wrapText="1"/>
    </xf>
    <xf numFmtId="0" fontId="7" fillId="9" borderId="18" xfId="0" applyFont="1" applyFill="1" applyBorder="1" applyAlignment="1">
      <alignment horizontal="center" vertical="center" textRotation="90" wrapText="1"/>
    </xf>
    <xf numFmtId="0" fontId="8" fillId="13" borderId="16" xfId="0" applyFont="1" applyFill="1" applyBorder="1" applyAlignment="1">
      <alignment horizontal="center" vertical="center" textRotation="90" wrapText="1"/>
    </xf>
    <xf numFmtId="0" fontId="7" fillId="6" borderId="13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/>
    <xf numFmtId="0" fontId="3" fillId="0" borderId="0" xfId="0" applyFont="1" applyAlignment="1">
      <alignment wrapText="1"/>
    </xf>
    <xf numFmtId="0" fontId="7" fillId="0" borderId="25" xfId="0" applyFont="1" applyBorder="1" applyAlignment="1">
      <alignment horizontal="center" vertical="center" wrapText="1"/>
    </xf>
    <xf numFmtId="0" fontId="7" fillId="6" borderId="11" xfId="0" applyFont="1" applyFill="1" applyBorder="1" applyAlignment="1">
      <alignment horizontal="center" vertical="center" wrapText="1"/>
    </xf>
    <xf numFmtId="0" fontId="7" fillId="6" borderId="14" xfId="0" applyFont="1" applyFill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6" fillId="0" borderId="33" xfId="0" applyFont="1" applyBorder="1"/>
    <xf numFmtId="0" fontId="6" fillId="0" borderId="34" xfId="0" applyFont="1" applyBorder="1"/>
    <xf numFmtId="0" fontId="6" fillId="0" borderId="35" xfId="0" applyFont="1" applyBorder="1"/>
    <xf numFmtId="0" fontId="6" fillId="0" borderId="36" xfId="0" applyFont="1" applyBorder="1"/>
    <xf numFmtId="0" fontId="6" fillId="0" borderId="37" xfId="0" applyFont="1" applyBorder="1"/>
    <xf numFmtId="0" fontId="6" fillId="0" borderId="38" xfId="0" applyFont="1" applyBorder="1"/>
    <xf numFmtId="0" fontId="6" fillId="0" borderId="39" xfId="0" applyFont="1" applyBorder="1"/>
    <xf numFmtId="0" fontId="7" fillId="6" borderId="5" xfId="0" applyFont="1" applyFill="1" applyBorder="1" applyAlignment="1">
      <alignment horizontal="center" vertical="center" wrapText="1"/>
    </xf>
    <xf numFmtId="14" fontId="7" fillId="0" borderId="0" xfId="0" applyNumberFormat="1" applyFont="1" applyAlignment="1">
      <alignment wrapText="1"/>
    </xf>
    <xf numFmtId="0" fontId="4" fillId="3" borderId="25" xfId="0" applyFont="1" applyFill="1" applyBorder="1" applyAlignment="1">
      <alignment vertical="center" wrapText="1"/>
    </xf>
    <xf numFmtId="0" fontId="4" fillId="3" borderId="28" xfId="0" applyFont="1" applyFill="1" applyBorder="1" applyAlignment="1">
      <alignment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9" fillId="0" borderId="0" xfId="0" applyFont="1" applyAlignment="1">
      <alignment wrapText="1"/>
    </xf>
    <xf numFmtId="0" fontId="20" fillId="0" borderId="0" xfId="0" applyFont="1" applyAlignment="1">
      <alignment horizontal="center" vertical="center" wrapText="1"/>
    </xf>
    <xf numFmtId="0" fontId="19" fillId="0" borderId="0" xfId="0" applyFont="1"/>
    <xf numFmtId="164" fontId="7" fillId="7" borderId="1" xfId="1" applyFont="1" applyFill="1" applyBorder="1" applyAlignment="1">
      <alignment horizontal="center" vertical="center" wrapText="1"/>
    </xf>
    <xf numFmtId="164" fontId="7" fillId="9" borderId="1" xfId="1" applyFont="1" applyFill="1" applyBorder="1" applyAlignment="1">
      <alignment horizontal="center" vertical="center" wrapText="1"/>
    </xf>
    <xf numFmtId="164" fontId="7" fillId="9" borderId="4" xfId="1" applyFont="1" applyFill="1" applyBorder="1" applyAlignment="1">
      <alignment horizontal="center" vertical="center" wrapText="1"/>
    </xf>
    <xf numFmtId="164" fontId="8" fillId="10" borderId="8" xfId="1" applyFont="1" applyFill="1" applyBorder="1" applyAlignment="1">
      <alignment horizontal="center" vertical="center" wrapText="1"/>
    </xf>
    <xf numFmtId="165" fontId="7" fillId="9" borderId="10" xfId="0" applyNumberFormat="1" applyFont="1" applyFill="1" applyBorder="1" applyAlignment="1">
      <alignment horizontal="center" vertical="center" textRotation="90" wrapText="1"/>
    </xf>
    <xf numFmtId="164" fontId="7" fillId="7" borderId="2" xfId="1" applyFont="1" applyFill="1" applyBorder="1" applyAlignment="1">
      <alignment horizontal="center" vertical="center" wrapText="1"/>
    </xf>
    <xf numFmtId="164" fontId="7" fillId="9" borderId="2" xfId="1" applyFont="1" applyFill="1" applyBorder="1" applyAlignment="1">
      <alignment horizontal="center" vertical="center" wrapText="1"/>
    </xf>
    <xf numFmtId="164" fontId="7" fillId="9" borderId="3" xfId="1" applyFont="1" applyFill="1" applyBorder="1" applyAlignment="1">
      <alignment horizontal="center" vertical="center" wrapText="1"/>
    </xf>
    <xf numFmtId="2" fontId="8" fillId="13" borderId="17" xfId="0" applyNumberFormat="1" applyFont="1" applyFill="1" applyBorder="1" applyAlignment="1">
      <alignment horizontal="center" vertical="center" wrapText="1"/>
    </xf>
    <xf numFmtId="2" fontId="8" fillId="13" borderId="4" xfId="0" applyNumberFormat="1" applyFont="1" applyFill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2" fontId="8" fillId="13" borderId="5" xfId="0" applyNumberFormat="1" applyFont="1" applyFill="1" applyBorder="1" applyAlignment="1">
      <alignment horizontal="center" vertical="center" wrapText="1"/>
    </xf>
    <xf numFmtId="0" fontId="8" fillId="14" borderId="22" xfId="0" applyFont="1" applyFill="1" applyBorder="1" applyAlignment="1">
      <alignment horizontal="center" vertical="center" textRotation="90" wrapText="1"/>
    </xf>
    <xf numFmtId="0" fontId="8" fillId="8" borderId="22" xfId="0" applyFont="1" applyFill="1" applyBorder="1" applyAlignment="1">
      <alignment horizontal="center" vertical="center" textRotation="90" wrapText="1"/>
    </xf>
    <xf numFmtId="0" fontId="0" fillId="0" borderId="0" xfId="0" applyAlignment="1">
      <alignment horizontal="center"/>
    </xf>
    <xf numFmtId="0" fontId="17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11" fontId="7" fillId="9" borderId="17" xfId="0" applyNumberFormat="1" applyFont="1" applyFill="1" applyBorder="1" applyAlignment="1">
      <alignment horizontal="center" vertical="center" textRotation="90" wrapText="1"/>
    </xf>
    <xf numFmtId="11" fontId="8" fillId="10" borderId="12" xfId="0" applyNumberFormat="1" applyFont="1" applyFill="1" applyBorder="1" applyAlignment="1">
      <alignment horizontal="center" vertical="center" textRotation="90" wrapText="1"/>
    </xf>
    <xf numFmtId="0" fontId="0" fillId="0" borderId="40" xfId="0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45" xfId="0" applyBorder="1" applyAlignment="1">
      <alignment horizontal="center"/>
    </xf>
    <xf numFmtId="0" fontId="26" fillId="0" borderId="0" xfId="0" applyFont="1" applyAlignment="1">
      <alignment horizontal="center"/>
    </xf>
    <xf numFmtId="0" fontId="27" fillId="0" borderId="0" xfId="0" applyFont="1" applyAlignment="1">
      <alignment horizontal="center"/>
    </xf>
    <xf numFmtId="0" fontId="1" fillId="0" borderId="46" xfId="0" applyFont="1" applyBorder="1" applyAlignment="1">
      <alignment horizontal="center"/>
    </xf>
    <xf numFmtId="0" fontId="17" fillId="0" borderId="46" xfId="0" applyFont="1" applyBorder="1" applyAlignment="1">
      <alignment horizontal="center"/>
    </xf>
    <xf numFmtId="0" fontId="0" fillId="0" borderId="46" xfId="0" applyBorder="1"/>
    <xf numFmtId="0" fontId="3" fillId="0" borderId="46" xfId="0" applyFont="1" applyBorder="1" applyAlignment="1">
      <alignment horizontal="center"/>
    </xf>
    <xf numFmtId="0" fontId="1" fillId="0" borderId="0" xfId="0" applyFont="1" applyAlignment="1">
      <alignment horizontal="center" wrapText="1"/>
    </xf>
    <xf numFmtId="0" fontId="16" fillId="12" borderId="16" xfId="0" applyFont="1" applyFill="1" applyBorder="1" applyAlignment="1">
      <alignment horizontal="centerContinuous" vertical="center" wrapText="1"/>
    </xf>
    <xf numFmtId="0" fontId="16" fillId="12" borderId="25" xfId="0" applyFont="1" applyFill="1" applyBorder="1" applyAlignment="1">
      <alignment horizontal="centerContinuous" vertical="center" wrapText="1"/>
    </xf>
    <xf numFmtId="0" fontId="16" fillId="12" borderId="29" xfId="0" applyFont="1" applyFill="1" applyBorder="1" applyAlignment="1">
      <alignment horizontal="centerContinuous" vertical="center" wrapText="1"/>
    </xf>
    <xf numFmtId="164" fontId="7" fillId="9" borderId="19" xfId="1" applyFont="1" applyFill="1" applyBorder="1" applyAlignment="1">
      <alignment horizontal="center" vertical="center" wrapText="1"/>
    </xf>
    <xf numFmtId="43" fontId="7" fillId="0" borderId="0" xfId="0" applyNumberFormat="1" applyFont="1" applyAlignment="1">
      <alignment horizontal="center" vertical="center" wrapText="1"/>
    </xf>
    <xf numFmtId="0" fontId="29" fillId="0" borderId="0" xfId="0" applyFont="1" applyAlignment="1">
      <alignment horizontal="center"/>
    </xf>
    <xf numFmtId="0" fontId="5" fillId="8" borderId="42" xfId="0" applyFont="1" applyFill="1" applyBorder="1" applyAlignment="1">
      <alignment horizontal="center" vertical="center" wrapText="1"/>
    </xf>
    <xf numFmtId="0" fontId="5" fillId="8" borderId="43" xfId="0" applyFont="1" applyFill="1" applyBorder="1" applyAlignment="1">
      <alignment horizontal="center" vertical="center" wrapText="1"/>
    </xf>
    <xf numFmtId="0" fontId="5" fillId="0" borderId="40" xfId="0" applyFont="1" applyBorder="1" applyAlignment="1">
      <alignment horizontal="center" vertical="center" wrapText="1"/>
    </xf>
    <xf numFmtId="0" fontId="5" fillId="0" borderId="49" xfId="0" applyFont="1" applyBorder="1" applyAlignment="1">
      <alignment horizontal="center" vertical="center" wrapText="1"/>
    </xf>
    <xf numFmtId="0" fontId="5" fillId="0" borderId="41" xfId="0" applyFont="1" applyBorder="1" applyAlignment="1">
      <alignment horizontal="center" vertical="center" wrapText="1"/>
    </xf>
    <xf numFmtId="0" fontId="5" fillId="0" borderId="42" xfId="0" applyFont="1" applyBorder="1" applyAlignment="1">
      <alignment horizontal="center" vertical="center" wrapText="1"/>
    </xf>
    <xf numFmtId="0" fontId="5" fillId="0" borderId="43" xfId="0" applyFont="1" applyBorder="1" applyAlignment="1">
      <alignment horizontal="center" vertical="center" wrapText="1"/>
    </xf>
    <xf numFmtId="0" fontId="5" fillId="0" borderId="44" xfId="0" applyFont="1" applyBorder="1" applyAlignment="1">
      <alignment horizontal="center" vertical="center" wrapText="1"/>
    </xf>
    <xf numFmtId="0" fontId="5" fillId="0" borderId="50" xfId="0" applyFont="1" applyBorder="1" applyAlignment="1">
      <alignment horizontal="center" vertical="center" wrapText="1"/>
    </xf>
    <xf numFmtId="0" fontId="5" fillId="0" borderId="45" xfId="0" applyFont="1" applyBorder="1" applyAlignment="1">
      <alignment horizontal="center" vertical="center" wrapText="1"/>
    </xf>
    <xf numFmtId="0" fontId="5" fillId="0" borderId="51" xfId="0" applyFont="1" applyBorder="1" applyAlignment="1">
      <alignment horizontal="center" vertical="center" wrapText="1"/>
    </xf>
    <xf numFmtId="0" fontId="5" fillId="0" borderId="52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0" fillId="0" borderId="49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52" xfId="0" applyBorder="1" applyAlignment="1">
      <alignment horizontal="center"/>
    </xf>
    <xf numFmtId="0" fontId="0" fillId="0" borderId="5" xfId="0" applyBorder="1" applyAlignment="1">
      <alignment horizontal="center"/>
    </xf>
    <xf numFmtId="0" fontId="8" fillId="15" borderId="22" xfId="0" applyFont="1" applyFill="1" applyBorder="1" applyAlignment="1">
      <alignment horizontal="center" vertical="center" textRotation="90" wrapText="1"/>
    </xf>
    <xf numFmtId="0" fontId="24" fillId="5" borderId="17" xfId="0" applyFont="1" applyFill="1" applyBorder="1" applyAlignment="1">
      <alignment horizontal="center" vertical="center" wrapText="1"/>
    </xf>
    <xf numFmtId="0" fontId="1" fillId="0" borderId="0" xfId="0" applyFont="1"/>
    <xf numFmtId="0" fontId="32" fillId="16" borderId="1" xfId="0" applyFont="1" applyFill="1" applyBorder="1" applyAlignment="1">
      <alignment horizontal="center" vertical="center" wrapText="1"/>
    </xf>
    <xf numFmtId="0" fontId="8" fillId="14" borderId="1" xfId="0" applyFont="1" applyFill="1" applyBorder="1" applyAlignment="1">
      <alignment horizontal="center" vertical="center" wrapText="1"/>
    </xf>
    <xf numFmtId="2" fontId="5" fillId="0" borderId="40" xfId="0" applyNumberFormat="1" applyFont="1" applyBorder="1" applyAlignment="1">
      <alignment horizontal="center" vertical="center"/>
    </xf>
    <xf numFmtId="2" fontId="5" fillId="0" borderId="49" xfId="0" applyNumberFormat="1" applyFont="1" applyBorder="1" applyAlignment="1">
      <alignment horizontal="center" vertical="center"/>
    </xf>
    <xf numFmtId="2" fontId="5" fillId="0" borderId="41" xfId="0" applyNumberFormat="1" applyFont="1" applyBorder="1" applyAlignment="1">
      <alignment horizontal="center" vertical="center"/>
    </xf>
    <xf numFmtId="2" fontId="5" fillId="0" borderId="42" xfId="0" applyNumberFormat="1" applyFont="1" applyBorder="1" applyAlignment="1">
      <alignment horizontal="center" vertical="center"/>
    </xf>
    <xf numFmtId="2" fontId="5" fillId="0" borderId="43" xfId="0" applyNumberFormat="1" applyFont="1" applyBorder="1" applyAlignment="1">
      <alignment horizontal="center" vertical="center"/>
    </xf>
    <xf numFmtId="2" fontId="5" fillId="0" borderId="44" xfId="0" applyNumberFormat="1" applyFont="1" applyBorder="1" applyAlignment="1">
      <alignment horizontal="center" vertical="center"/>
    </xf>
    <xf numFmtId="2" fontId="5" fillId="0" borderId="50" xfId="0" applyNumberFormat="1" applyFont="1" applyBorder="1" applyAlignment="1">
      <alignment horizontal="center" vertical="center"/>
    </xf>
    <xf numFmtId="2" fontId="5" fillId="0" borderId="45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33" fillId="0" borderId="0" xfId="0" applyFont="1" applyAlignment="1">
      <alignment horizontal="center" vertical="center" wrapText="1"/>
    </xf>
    <xf numFmtId="2" fontId="5" fillId="0" borderId="0" xfId="0" applyNumberFormat="1" applyFont="1" applyAlignment="1">
      <alignment horizontal="center" vertical="center"/>
    </xf>
    <xf numFmtId="2" fontId="25" fillId="0" borderId="0" xfId="0" applyNumberFormat="1" applyFont="1" applyAlignment="1">
      <alignment horizontal="center" vertical="center"/>
    </xf>
    <xf numFmtId="0" fontId="5" fillId="8" borderId="40" xfId="0" applyFont="1" applyFill="1" applyBorder="1" applyAlignment="1">
      <alignment horizontal="center" vertical="center" wrapText="1"/>
    </xf>
    <xf numFmtId="0" fontId="5" fillId="8" borderId="49" xfId="0" applyFont="1" applyFill="1" applyBorder="1" applyAlignment="1">
      <alignment horizontal="center" vertical="center" wrapText="1"/>
    </xf>
    <xf numFmtId="0" fontId="5" fillId="8" borderId="41" xfId="0" applyFont="1" applyFill="1" applyBorder="1" applyAlignment="1">
      <alignment horizontal="center" vertical="center" wrapText="1"/>
    </xf>
    <xf numFmtId="0" fontId="5" fillId="8" borderId="0" xfId="0" applyFont="1" applyFill="1" applyAlignment="1">
      <alignment horizontal="center" vertical="center" wrapText="1"/>
    </xf>
    <xf numFmtId="0" fontId="5" fillId="8" borderId="44" xfId="0" applyFont="1" applyFill="1" applyBorder="1" applyAlignment="1">
      <alignment horizontal="center" vertical="center" wrapText="1"/>
    </xf>
    <xf numFmtId="0" fontId="5" fillId="8" borderId="50" xfId="0" applyFont="1" applyFill="1" applyBorder="1" applyAlignment="1">
      <alignment horizontal="center" vertical="center" wrapText="1"/>
    </xf>
    <xf numFmtId="0" fontId="5" fillId="8" borderId="45" xfId="0" applyFont="1" applyFill="1" applyBorder="1" applyAlignment="1">
      <alignment horizontal="center" vertical="center" wrapText="1"/>
    </xf>
    <xf numFmtId="2" fontId="5" fillId="0" borderId="40" xfId="0" applyNumberFormat="1" applyFont="1" applyBorder="1" applyAlignment="1">
      <alignment horizontal="center" vertical="center" wrapText="1"/>
    </xf>
    <xf numFmtId="2" fontId="5" fillId="0" borderId="49" xfId="0" applyNumberFormat="1" applyFont="1" applyBorder="1" applyAlignment="1">
      <alignment horizontal="center" vertical="center" wrapText="1"/>
    </xf>
    <xf numFmtId="2" fontId="5" fillId="0" borderId="42" xfId="0" applyNumberFormat="1" applyFont="1" applyBorder="1" applyAlignment="1">
      <alignment horizontal="center" vertical="center" wrapText="1"/>
    </xf>
    <xf numFmtId="2" fontId="5" fillId="0" borderId="0" xfId="0" applyNumberFormat="1" applyFont="1" applyAlignment="1">
      <alignment horizontal="center" vertical="center" wrapText="1"/>
    </xf>
    <xf numFmtId="2" fontId="5" fillId="0" borderId="44" xfId="0" applyNumberFormat="1" applyFont="1" applyBorder="1" applyAlignment="1">
      <alignment horizontal="center" vertical="center" wrapText="1"/>
    </xf>
    <xf numFmtId="2" fontId="5" fillId="0" borderId="50" xfId="0" applyNumberFormat="1" applyFont="1" applyBorder="1" applyAlignment="1">
      <alignment horizontal="center" vertical="center" wrapText="1"/>
    </xf>
    <xf numFmtId="2" fontId="5" fillId="0" borderId="41" xfId="0" applyNumberFormat="1" applyFont="1" applyBorder="1" applyAlignment="1">
      <alignment horizontal="center" vertical="center" wrapText="1"/>
    </xf>
    <xf numFmtId="2" fontId="5" fillId="0" borderId="43" xfId="0" applyNumberFormat="1" applyFont="1" applyBorder="1" applyAlignment="1">
      <alignment horizontal="center" vertical="center" wrapText="1"/>
    </xf>
    <xf numFmtId="2" fontId="5" fillId="0" borderId="45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8" fillId="11" borderId="16" xfId="0" applyFont="1" applyFill="1" applyBorder="1" applyAlignment="1">
      <alignment horizontal="center" vertical="center"/>
    </xf>
    <xf numFmtId="0" fontId="8" fillId="11" borderId="25" xfId="0" applyFont="1" applyFill="1" applyBorder="1" applyAlignment="1">
      <alignment horizontal="center" vertical="center"/>
    </xf>
    <xf numFmtId="0" fontId="8" fillId="11" borderId="29" xfId="0" applyFont="1" applyFill="1" applyBorder="1" applyAlignment="1">
      <alignment horizontal="center" vertical="center"/>
    </xf>
    <xf numFmtId="0" fontId="8" fillId="11" borderId="7" xfId="0" applyFont="1" applyFill="1" applyBorder="1" applyAlignment="1">
      <alignment horizontal="center" vertical="center"/>
    </xf>
    <xf numFmtId="0" fontId="8" fillId="11" borderId="28" xfId="0" applyFont="1" applyFill="1" applyBorder="1" applyAlignment="1">
      <alignment horizontal="center" vertical="center"/>
    </xf>
    <xf numFmtId="0" fontId="8" fillId="11" borderId="15" xfId="0" applyFont="1" applyFill="1" applyBorder="1" applyAlignment="1">
      <alignment horizontal="center" vertical="center"/>
    </xf>
    <xf numFmtId="0" fontId="6" fillId="0" borderId="16" xfId="0" applyFont="1" applyBorder="1" applyAlignment="1">
      <alignment horizontal="center" vertical="center" wrapText="1"/>
    </xf>
    <xf numFmtId="0" fontId="6" fillId="0" borderId="2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25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28" xfId="0" applyFont="1" applyBorder="1" applyAlignment="1">
      <alignment horizontal="center" vertical="center" wrapText="1"/>
    </xf>
    <xf numFmtId="0" fontId="3" fillId="0" borderId="46" xfId="0" applyFont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7" fillId="12" borderId="9" xfId="0" applyFont="1" applyFill="1" applyBorder="1" applyAlignment="1">
      <alignment horizontal="center" vertical="top" wrapText="1"/>
    </xf>
    <xf numFmtId="0" fontId="7" fillId="12" borderId="0" xfId="0" applyFont="1" applyFill="1" applyAlignment="1">
      <alignment horizontal="center" vertical="top" wrapText="1"/>
    </xf>
    <xf numFmtId="0" fontId="7" fillId="12" borderId="23" xfId="0" applyFont="1" applyFill="1" applyBorder="1" applyAlignment="1">
      <alignment horizontal="center" vertical="top" wrapText="1"/>
    </xf>
    <xf numFmtId="0" fontId="7" fillId="12" borderId="7" xfId="0" applyFont="1" applyFill="1" applyBorder="1" applyAlignment="1">
      <alignment horizontal="center" vertical="top" wrapText="1"/>
    </xf>
    <xf numFmtId="0" fontId="7" fillId="12" borderId="28" xfId="0" applyFont="1" applyFill="1" applyBorder="1" applyAlignment="1">
      <alignment horizontal="center" vertical="top" wrapText="1"/>
    </xf>
    <xf numFmtId="0" fontId="7" fillId="12" borderId="15" xfId="0" applyFont="1" applyFill="1" applyBorder="1" applyAlignment="1">
      <alignment horizontal="center" vertical="top" wrapText="1"/>
    </xf>
    <xf numFmtId="0" fontId="7" fillId="6" borderId="20" xfId="0" applyFont="1" applyFill="1" applyBorder="1" applyAlignment="1">
      <alignment horizontal="center" vertical="center" wrapText="1"/>
    </xf>
    <xf numFmtId="0" fontId="7" fillId="6" borderId="48" xfId="0" applyFont="1" applyFill="1" applyBorder="1" applyAlignment="1">
      <alignment horizontal="center" vertical="center" wrapText="1"/>
    </xf>
    <xf numFmtId="0" fontId="21" fillId="0" borderId="25" xfId="0" applyFont="1" applyBorder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0" fontId="21" fillId="0" borderId="28" xfId="0" applyFont="1" applyBorder="1" applyAlignment="1">
      <alignment horizontal="center" vertical="center" wrapText="1"/>
    </xf>
    <xf numFmtId="0" fontId="10" fillId="0" borderId="32" xfId="0" applyFont="1" applyBorder="1" applyAlignment="1">
      <alignment horizontal="left" vertical="top" wrapText="1"/>
    </xf>
    <xf numFmtId="0" fontId="10" fillId="0" borderId="33" xfId="0" applyFont="1" applyBorder="1" applyAlignment="1">
      <alignment horizontal="left" vertical="top"/>
    </xf>
    <xf numFmtId="0" fontId="10" fillId="0" borderId="34" xfId="0" applyFont="1" applyBorder="1" applyAlignment="1">
      <alignment horizontal="left" vertical="top"/>
    </xf>
    <xf numFmtId="0" fontId="10" fillId="0" borderId="37" xfId="0" applyFont="1" applyBorder="1" applyAlignment="1">
      <alignment horizontal="left" vertical="top"/>
    </xf>
    <xf numFmtId="0" fontId="10" fillId="0" borderId="38" xfId="0" applyFont="1" applyBorder="1" applyAlignment="1">
      <alignment horizontal="left" vertical="top"/>
    </xf>
    <xf numFmtId="0" fontId="10" fillId="0" borderId="39" xfId="0" applyFont="1" applyBorder="1" applyAlignment="1">
      <alignment horizontal="left" vertical="top"/>
    </xf>
    <xf numFmtId="0" fontId="7" fillId="6" borderId="19" xfId="0" applyFont="1" applyFill="1" applyBorder="1" applyAlignment="1">
      <alignment horizontal="center" vertical="center" wrapText="1"/>
    </xf>
    <xf numFmtId="0" fontId="7" fillId="6" borderId="21" xfId="0" applyFont="1" applyFill="1" applyBorder="1" applyAlignment="1">
      <alignment horizontal="center" vertical="center" wrapText="1"/>
    </xf>
    <xf numFmtId="0" fontId="7" fillId="6" borderId="27" xfId="0" applyFont="1" applyFill="1" applyBorder="1" applyAlignment="1">
      <alignment horizontal="center" vertical="center" wrapText="1"/>
    </xf>
    <xf numFmtId="0" fontId="7" fillId="6" borderId="26" xfId="0" applyFont="1" applyFill="1" applyBorder="1" applyAlignment="1">
      <alignment horizontal="center" vertical="center" wrapText="1"/>
    </xf>
    <xf numFmtId="0" fontId="7" fillId="6" borderId="19" xfId="0" applyFont="1" applyFill="1" applyBorder="1" applyAlignment="1">
      <alignment horizontal="center" vertical="center"/>
    </xf>
    <xf numFmtId="0" fontId="7" fillId="6" borderId="21" xfId="0" applyFont="1" applyFill="1" applyBorder="1" applyAlignment="1">
      <alignment horizontal="center" vertical="center"/>
    </xf>
    <xf numFmtId="0" fontId="4" fillId="3" borderId="16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7" fillId="6" borderId="30" xfId="0" applyFont="1" applyFill="1" applyBorder="1" applyAlignment="1">
      <alignment horizontal="center" vertical="center" wrapText="1"/>
    </xf>
    <xf numFmtId="0" fontId="7" fillId="6" borderId="47" xfId="0" applyFont="1" applyFill="1" applyBorder="1" applyAlignment="1">
      <alignment horizontal="center" vertical="center" wrapText="1"/>
    </xf>
  </cellXfs>
  <cellStyles count="5">
    <cellStyle name="Comma" xfId="1" builtinId="3"/>
    <cellStyle name="Normal" xfId="0" builtinId="0"/>
    <cellStyle name="Normal 2" xfId="2" xr:uid="{D845F676-2592-40B7-A39C-2F069C0F0AC1}"/>
    <cellStyle name="Normal 3" xfId="3" xr:uid="{3147709E-C999-41E8-95D6-F5E0B1550295}"/>
    <cellStyle name="Note" xfId="4" xr:uid="{097C990B-2FEA-4DF8-98B0-136DEF0DAD06}"/>
  </cellStyles>
  <dxfs count="22"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strike val="0"/>
        <color theme="3" tint="0.39994506668294322"/>
      </font>
    </dxf>
    <dxf>
      <font>
        <b/>
        <i val="0"/>
        <strike val="0"/>
        <color theme="3" tint="0.39994506668294322"/>
      </font>
    </dxf>
    <dxf>
      <font>
        <b/>
        <i val="0"/>
        <color rgb="FFFF0000"/>
      </font>
    </dxf>
    <dxf>
      <font>
        <b/>
        <i val="0"/>
        <strike val="0"/>
        <color theme="3" tint="0.39994506668294322"/>
      </font>
    </dxf>
    <dxf>
      <font>
        <b/>
        <i val="0"/>
        <color rgb="FFFF0000"/>
      </font>
    </dxf>
    <dxf>
      <font>
        <b/>
        <i val="0"/>
        <strike val="0"/>
        <color theme="3" tint="0.39994506668294322"/>
      </font>
    </dxf>
    <dxf>
      <font>
        <b/>
        <i val="0"/>
        <color rgb="FFFF0000"/>
      </font>
    </dxf>
    <dxf>
      <font>
        <b/>
        <i val="0"/>
        <strike val="0"/>
        <color theme="3" tint="0.39994506668294322"/>
      </font>
    </dxf>
    <dxf>
      <font>
        <b/>
        <i val="0"/>
        <color rgb="FFFF0000"/>
      </font>
    </dxf>
    <dxf>
      <font>
        <b/>
        <i val="0"/>
        <strike val="0"/>
        <color theme="3" tint="0.39994506668294322"/>
      </font>
    </dxf>
    <dxf>
      <font>
        <b/>
        <i val="0"/>
        <color rgb="FFFF0000"/>
      </font>
    </dxf>
    <dxf>
      <font>
        <b/>
        <i val="0"/>
        <strike val="0"/>
        <color theme="3" tint="0.39994506668294322"/>
      </font>
    </dxf>
    <dxf>
      <font>
        <b/>
        <i val="0"/>
        <color rgb="FFFF0000"/>
      </font>
    </dxf>
    <dxf>
      <font>
        <b/>
        <i val="0"/>
        <strike val="0"/>
        <color theme="3" tint="0.39994506668294322"/>
      </font>
    </dxf>
    <dxf>
      <font>
        <b/>
        <i val="0"/>
        <color rgb="FFFF0000"/>
      </font>
    </dxf>
    <dxf>
      <font>
        <b/>
        <i val="0"/>
        <color rgb="FFFF0000"/>
      </font>
    </dxf>
    <dxf>
      <fill>
        <patternFill>
          <bgColor rgb="FFFFFF00"/>
        </patternFill>
      </fill>
    </dxf>
    <dxf>
      <font>
        <b/>
        <i val="0"/>
        <color rgb="FFFF0000"/>
      </font>
    </dxf>
  </dxfs>
  <tableStyles count="0" defaultTableStyle="TableStyleMedium9" defaultPivotStyle="PivotStyleLight16"/>
  <colors>
    <mruColors>
      <color rgb="FFFFE781"/>
      <color rgb="FFFF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704850</xdr:colOff>
      <xdr:row>3</xdr:row>
      <xdr:rowOff>171450</xdr:rowOff>
    </xdr:from>
    <xdr:to>
      <xdr:col>12</xdr:col>
      <xdr:colOff>447675</xdr:colOff>
      <xdr:row>25</xdr:row>
      <xdr:rowOff>142875</xdr:rowOff>
    </xdr:to>
    <xdr:pic>
      <xdr:nvPicPr>
        <xdr:cNvPr id="15026" name="Image 1">
          <a:extLst>
            <a:ext uri="{FF2B5EF4-FFF2-40B4-BE49-F238E27FC236}">
              <a16:creationId xmlns:a16="http://schemas.microsoft.com/office/drawing/2014/main" id="{92523897-543C-B044-12E2-EE93FB9B58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0575" y="561975"/>
          <a:ext cx="8124825" cy="3543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596265</xdr:colOff>
      <xdr:row>23</xdr:row>
      <xdr:rowOff>106680</xdr:rowOff>
    </xdr:from>
    <xdr:to>
      <xdr:col>2</xdr:col>
      <xdr:colOff>723049</xdr:colOff>
      <xdr:row>29</xdr:row>
      <xdr:rowOff>97234</xdr:rowOff>
    </xdr:to>
    <xdr:cxnSp macro="">
      <xdr:nvCxnSpPr>
        <xdr:cNvPr id="4" name="Connecteur droit avec flèche 3">
          <a:extLst>
            <a:ext uri="{FF2B5EF4-FFF2-40B4-BE49-F238E27FC236}">
              <a16:creationId xmlns:a16="http://schemas.microsoft.com/office/drawing/2014/main" id="{C96B8052-384D-9F9B-8110-A8FB37B31458}"/>
            </a:ext>
          </a:extLst>
        </xdr:cNvPr>
        <xdr:cNvCxnSpPr/>
      </xdr:nvCxnSpPr>
      <xdr:spPr>
        <a:xfrm flipH="1" flipV="1">
          <a:off x="1257300" y="3825240"/>
          <a:ext cx="60960" cy="10058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685800</xdr:colOff>
      <xdr:row>23</xdr:row>
      <xdr:rowOff>41910</xdr:rowOff>
    </xdr:from>
    <xdr:to>
      <xdr:col>4</xdr:col>
      <xdr:colOff>2203</xdr:colOff>
      <xdr:row>35</xdr:row>
      <xdr:rowOff>20</xdr:rowOff>
    </xdr:to>
    <xdr:cxnSp macro="">
      <xdr:nvCxnSpPr>
        <xdr:cNvPr id="5" name="Connecteur droit avec flèche 4">
          <a:extLst>
            <a:ext uri="{FF2B5EF4-FFF2-40B4-BE49-F238E27FC236}">
              <a16:creationId xmlns:a16="http://schemas.microsoft.com/office/drawing/2014/main" id="{F7AC2C78-EDCB-0A28-2BEB-ECE498F7EDDB}"/>
            </a:ext>
          </a:extLst>
        </xdr:cNvPr>
        <xdr:cNvCxnSpPr/>
      </xdr:nvCxnSpPr>
      <xdr:spPr>
        <a:xfrm flipH="1" flipV="1">
          <a:off x="2133600" y="3771900"/>
          <a:ext cx="106680" cy="20040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565785</xdr:colOff>
      <xdr:row>25</xdr:row>
      <xdr:rowOff>0</xdr:rowOff>
    </xdr:from>
    <xdr:to>
      <xdr:col>4</xdr:col>
      <xdr:colOff>644475</xdr:colOff>
      <xdr:row>31</xdr:row>
      <xdr:rowOff>0</xdr:rowOff>
    </xdr:to>
    <xdr:cxnSp macro="">
      <xdr:nvCxnSpPr>
        <xdr:cNvPr id="6" name="Connecteur droit avec flèche 5">
          <a:extLst>
            <a:ext uri="{FF2B5EF4-FFF2-40B4-BE49-F238E27FC236}">
              <a16:creationId xmlns:a16="http://schemas.microsoft.com/office/drawing/2014/main" id="{DB0906A4-438A-43A1-25CA-F655BB701655}"/>
            </a:ext>
          </a:extLst>
        </xdr:cNvPr>
        <xdr:cNvCxnSpPr/>
      </xdr:nvCxnSpPr>
      <xdr:spPr>
        <a:xfrm flipH="1" flipV="1">
          <a:off x="2827020" y="3992880"/>
          <a:ext cx="60960" cy="10058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655320</xdr:colOff>
      <xdr:row>24</xdr:row>
      <xdr:rowOff>123825</xdr:rowOff>
    </xdr:from>
    <xdr:to>
      <xdr:col>6</xdr:col>
      <xdr:colOff>759945</xdr:colOff>
      <xdr:row>29</xdr:row>
      <xdr:rowOff>150572</xdr:rowOff>
    </xdr:to>
    <xdr:cxnSp macro="">
      <xdr:nvCxnSpPr>
        <xdr:cNvPr id="7" name="Connecteur droit avec flèche 6">
          <a:extLst>
            <a:ext uri="{FF2B5EF4-FFF2-40B4-BE49-F238E27FC236}">
              <a16:creationId xmlns:a16="http://schemas.microsoft.com/office/drawing/2014/main" id="{C5923F10-7264-0D58-E4AA-D1BB039811A9}"/>
            </a:ext>
          </a:extLst>
        </xdr:cNvPr>
        <xdr:cNvCxnSpPr/>
      </xdr:nvCxnSpPr>
      <xdr:spPr>
        <a:xfrm flipH="1" flipV="1">
          <a:off x="4450080" y="4000500"/>
          <a:ext cx="335280" cy="8610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619125</xdr:colOff>
      <xdr:row>40</xdr:row>
      <xdr:rowOff>114300</xdr:rowOff>
    </xdr:from>
    <xdr:to>
      <xdr:col>4</xdr:col>
      <xdr:colOff>485775</xdr:colOff>
      <xdr:row>66</xdr:row>
      <xdr:rowOff>158750</xdr:rowOff>
    </xdr:to>
    <xdr:pic>
      <xdr:nvPicPr>
        <xdr:cNvPr id="15031" name="Image 11">
          <a:extLst>
            <a:ext uri="{FF2B5EF4-FFF2-40B4-BE49-F238E27FC236}">
              <a16:creationId xmlns:a16="http://schemas.microsoft.com/office/drawing/2014/main" id="{62987CA4-076F-8313-D786-E9CAD0BAF2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" y="6572250"/>
          <a:ext cx="2152650" cy="425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790575</xdr:colOff>
      <xdr:row>69</xdr:row>
      <xdr:rowOff>209550</xdr:rowOff>
    </xdr:from>
    <xdr:to>
      <xdr:col>8</xdr:col>
      <xdr:colOff>428625</xdr:colOff>
      <xdr:row>92</xdr:row>
      <xdr:rowOff>158750</xdr:rowOff>
    </xdr:to>
    <xdr:pic>
      <xdr:nvPicPr>
        <xdr:cNvPr id="15032" name="Image 12">
          <a:extLst>
            <a:ext uri="{FF2B5EF4-FFF2-40B4-BE49-F238E27FC236}">
              <a16:creationId xmlns:a16="http://schemas.microsoft.com/office/drawing/2014/main" id="{0FD54BBF-587B-BDC4-41EF-7E368D87E6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7725" y="11315700"/>
          <a:ext cx="5000625" cy="3724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704850</xdr:colOff>
      <xdr:row>91</xdr:row>
      <xdr:rowOff>114300</xdr:rowOff>
    </xdr:from>
    <xdr:to>
      <xdr:col>6</xdr:col>
      <xdr:colOff>819150</xdr:colOff>
      <xdr:row>113</xdr:row>
      <xdr:rowOff>158750</xdr:rowOff>
    </xdr:to>
    <xdr:pic>
      <xdr:nvPicPr>
        <xdr:cNvPr id="15033" name="Image 13">
          <a:extLst>
            <a:ext uri="{FF2B5EF4-FFF2-40B4-BE49-F238E27FC236}">
              <a16:creationId xmlns:a16="http://schemas.microsoft.com/office/drawing/2014/main" id="{1163A83E-38A2-AD46-0693-138E9237F0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0575" y="14830425"/>
          <a:ext cx="3867150" cy="3609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866775</xdr:colOff>
      <xdr:row>118</xdr:row>
      <xdr:rowOff>209550</xdr:rowOff>
    </xdr:from>
    <xdr:to>
      <xdr:col>5</xdr:col>
      <xdr:colOff>822325</xdr:colOff>
      <xdr:row>143</xdr:row>
      <xdr:rowOff>158750</xdr:rowOff>
    </xdr:to>
    <xdr:pic>
      <xdr:nvPicPr>
        <xdr:cNvPr id="15034" name="Image 14">
          <a:extLst>
            <a:ext uri="{FF2B5EF4-FFF2-40B4-BE49-F238E27FC236}">
              <a16:creationId xmlns:a16="http://schemas.microsoft.com/office/drawing/2014/main" id="{C3B366DB-50ED-4A77-FE57-C77C7C0325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7725" y="19288125"/>
          <a:ext cx="3048000" cy="404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0</xdr:colOff>
      <xdr:row>127</xdr:row>
      <xdr:rowOff>142875</xdr:rowOff>
    </xdr:from>
    <xdr:to>
      <xdr:col>10</xdr:col>
      <xdr:colOff>2410</xdr:colOff>
      <xdr:row>154</xdr:row>
      <xdr:rowOff>158750</xdr:rowOff>
    </xdr:to>
    <xdr:pic>
      <xdr:nvPicPr>
        <xdr:cNvPr id="15035" name="Image 15">
          <a:extLst>
            <a:ext uri="{FF2B5EF4-FFF2-40B4-BE49-F238E27FC236}">
              <a16:creationId xmlns:a16="http://schemas.microsoft.com/office/drawing/2014/main" id="{8BCD9769-BA7F-0487-949D-975D651E3E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19725" y="20726400"/>
          <a:ext cx="1524000" cy="4391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68</xdr:col>
      <xdr:colOff>473710</xdr:colOff>
      <xdr:row>49</xdr:row>
      <xdr:rowOff>122555</xdr:rowOff>
    </xdr:from>
    <xdr:to>
      <xdr:col>68</xdr:col>
      <xdr:colOff>473710</xdr:colOff>
      <xdr:row>54</xdr:row>
      <xdr:rowOff>240124</xdr:rowOff>
    </xdr:to>
    <xdr:cxnSp macro="">
      <xdr:nvCxnSpPr>
        <xdr:cNvPr id="2" name="Connecteur droit avec flèche 1">
          <a:extLst>
            <a:ext uri="{FF2B5EF4-FFF2-40B4-BE49-F238E27FC236}">
              <a16:creationId xmlns:a16="http://schemas.microsoft.com/office/drawing/2014/main" id="{1870DA18-5B96-4CE4-BB80-649BCF311E61}"/>
            </a:ext>
          </a:extLst>
        </xdr:cNvPr>
        <xdr:cNvCxnSpPr/>
      </xdr:nvCxnSpPr>
      <xdr:spPr>
        <a:xfrm flipV="1">
          <a:off x="66958210" y="21391880"/>
          <a:ext cx="0" cy="1689194"/>
        </a:xfrm>
        <a:prstGeom prst="straightConnector1">
          <a:avLst/>
        </a:prstGeom>
        <a:ln w="571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/Supply%20Chain/2%20-%20Planning/Planning/Planning%20personnel%202021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ègles de saisie"/>
      <sheetName val="S01 2021"/>
      <sheetName val="S02 2021"/>
      <sheetName val="S03 2021"/>
      <sheetName val="S04 2021"/>
      <sheetName val="S05 2021"/>
      <sheetName val="S06 2021"/>
      <sheetName val="S07 2021"/>
      <sheetName val="S08 2021"/>
      <sheetName val="S09 2021"/>
      <sheetName val="S10 2021"/>
      <sheetName val="S11 2021"/>
      <sheetName val="S12 2021"/>
      <sheetName val="S13 2021"/>
      <sheetName val="S14 2021"/>
      <sheetName val="S15 2021"/>
      <sheetName val="S16 2021"/>
      <sheetName val="S17 2021"/>
      <sheetName val="S18 2021"/>
      <sheetName val="S19 2021"/>
      <sheetName val="S20 2021"/>
      <sheetName val="S21 2021"/>
      <sheetName val="S22 2021"/>
      <sheetName val="S23 2021"/>
      <sheetName val="S24 2021"/>
      <sheetName val="S25 2021"/>
      <sheetName val="S26 2021"/>
      <sheetName val="S27 2021"/>
      <sheetName val="S28 2021"/>
      <sheetName val="14 07 2021"/>
      <sheetName val="S29 2021"/>
      <sheetName val="S30 2021"/>
      <sheetName val="S33 2021"/>
      <sheetName val="S34 2021"/>
      <sheetName val="S35 2021 "/>
      <sheetName val="S36 2021"/>
      <sheetName val="S37 2021"/>
      <sheetName val="S38 2021"/>
      <sheetName val="S39 2021"/>
      <sheetName val="S40 2021"/>
      <sheetName val="S41 2021"/>
      <sheetName val="S42 2021"/>
      <sheetName val="S43 2021"/>
      <sheetName val="S44 2021"/>
      <sheetName val="S45 2021"/>
      <sheetName val="S46 2021"/>
      <sheetName val="S47 2021"/>
      <sheetName val="S48 2021"/>
      <sheetName val="S49 2021"/>
      <sheetName val="S50 2021"/>
      <sheetName val="S51 2021"/>
      <sheetName val="Feuil1"/>
      <sheetName val="VIERGE"/>
      <sheetName val="Horaire"/>
      <sheetName val="Interi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>
        <row r="3">
          <cell r="A3" t="str">
            <v xml:space="preserve">ATAY Hamidé </v>
          </cell>
        </row>
        <row r="4">
          <cell r="A4" t="str">
            <v>WALCH Vanessa </v>
          </cell>
        </row>
        <row r="5">
          <cell r="A5" t="str">
            <v>BERNARD Célia</v>
          </cell>
        </row>
        <row r="6">
          <cell r="A6" t="str">
            <v>AMIN DIT BELOT Kevin</v>
          </cell>
        </row>
        <row r="7">
          <cell r="A7" t="str">
            <v>CORDIER Christiane</v>
          </cell>
        </row>
        <row r="8">
          <cell r="A8" t="str">
            <v>YLMAZ Sibel</v>
          </cell>
        </row>
        <row r="9">
          <cell r="A9" t="str">
            <v>LAHAYE Aurore</v>
          </cell>
        </row>
        <row r="10">
          <cell r="A10" t="str">
            <v>MAIA Laura</v>
          </cell>
        </row>
        <row r="11">
          <cell r="A11" t="str">
            <v xml:space="preserve">MELLAC Hakima </v>
          </cell>
        </row>
        <row r="12">
          <cell r="A12" t="str">
            <v>BRON Ingrid</v>
          </cell>
        </row>
        <row r="13">
          <cell r="A13" t="str">
            <v>RICHARD Alexandre</v>
          </cell>
        </row>
        <row r="14">
          <cell r="A14" t="str">
            <v>VALENTI Oriana</v>
          </cell>
        </row>
        <row r="15">
          <cell r="A15" t="str">
            <v>SANTAMARIA Fouzia</v>
          </cell>
        </row>
        <row r="16">
          <cell r="A16" t="str">
            <v>REVERCHON Margarida</v>
          </cell>
        </row>
        <row r="17">
          <cell r="A17" t="str">
            <v xml:space="preserve">BASSET David </v>
          </cell>
        </row>
        <row r="18">
          <cell r="A18" t="str">
            <v>GUGELMANN Vanille</v>
          </cell>
        </row>
        <row r="19">
          <cell r="A19" t="str">
            <v>GATELET Lea</v>
          </cell>
        </row>
        <row r="20">
          <cell r="A20" t="str">
            <v>GUENIN Lisa</v>
          </cell>
        </row>
        <row r="21">
          <cell r="A21" t="str">
            <v>SLIMANI Samira</v>
          </cell>
        </row>
        <row r="22">
          <cell r="A22" t="str">
            <v>GRIFFOND Victoria</v>
          </cell>
        </row>
        <row r="23">
          <cell r="A23" t="str">
            <v xml:space="preserve">MULIERE Laura </v>
          </cell>
        </row>
        <row r="24">
          <cell r="A24" t="str">
            <v>RUDE Gilliane</v>
          </cell>
        </row>
        <row r="25">
          <cell r="A25" t="str">
            <v>CHARTON Clémence</v>
          </cell>
        </row>
        <row r="26">
          <cell r="A26" t="str">
            <v>RUDE Jennifer</v>
          </cell>
        </row>
        <row r="27">
          <cell r="A27" t="str">
            <v xml:space="preserve">NOUVIAN Wilhelmine </v>
          </cell>
        </row>
        <row r="28">
          <cell r="A28" t="str">
            <v>AKHRIF Ishène</v>
          </cell>
        </row>
        <row r="29">
          <cell r="A29" t="str">
            <v>ZEGHIDI Amel</v>
          </cell>
        </row>
        <row r="30">
          <cell r="A30" t="str">
            <v>GIRAUD Estelle</v>
          </cell>
        </row>
        <row r="31">
          <cell r="A31" t="str">
            <v>NECTOUX Océane</v>
          </cell>
        </row>
        <row r="32">
          <cell r="A32" t="str">
            <v>GAUTHIER Océane</v>
          </cell>
        </row>
        <row r="33">
          <cell r="A33" t="str">
            <v>BRIDON Océane</v>
          </cell>
        </row>
        <row r="34">
          <cell r="A34" t="str">
            <v xml:space="preserve">CORDIER Floriane </v>
          </cell>
        </row>
        <row r="35">
          <cell r="A35" t="str">
            <v xml:space="preserve">PEREIRA Marie Thérèse </v>
          </cell>
        </row>
        <row r="36">
          <cell r="A36" t="str">
            <v>El MAHI Fatima</v>
          </cell>
        </row>
        <row r="37">
          <cell r="A37" t="str">
            <v>BARBET Marie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4E2DA-B824-4BED-950A-5210CEAAB3E9}">
  <sheetPr codeName="Feuil7">
    <tabColor rgb="FF92D050"/>
  </sheetPr>
  <dimension ref="B1:L163"/>
  <sheetViews>
    <sheetView showGridLines="0" topLeftCell="A135" zoomScale="110" workbookViewId="0">
      <selection activeCell="C164" sqref="C164"/>
    </sheetView>
  </sheetViews>
  <sheetFormatPr baseColWidth="10" defaultColWidth="11.5" defaultRowHeight="13" x14ac:dyDescent="0.15"/>
  <cols>
    <col min="1" max="1" width="1.33203125" customWidth="1"/>
  </cols>
  <sheetData>
    <row r="1" spans="2:8" ht="5.75" customHeight="1" thickBot="1" x14ac:dyDescent="0.2"/>
    <row r="2" spans="2:8" x14ac:dyDescent="0.15">
      <c r="B2" s="160" t="s">
        <v>85</v>
      </c>
      <c r="C2" s="161"/>
      <c r="D2" s="161"/>
      <c r="E2" s="161"/>
      <c r="F2" s="161"/>
      <c r="G2" s="161"/>
      <c r="H2" s="162"/>
    </row>
    <row r="3" spans="2:8" ht="14" thickBot="1" x14ac:dyDescent="0.2">
      <c r="B3" s="163"/>
      <c r="C3" s="164"/>
      <c r="D3" s="164"/>
      <c r="E3" s="164"/>
      <c r="F3" s="164"/>
      <c r="G3" s="164"/>
      <c r="H3" s="165"/>
    </row>
    <row r="29" spans="2:12" ht="14" thickBot="1" x14ac:dyDescent="0.2"/>
    <row r="30" spans="2:12" ht="14" thickBot="1" x14ac:dyDescent="0.2">
      <c r="H30" s="166" t="s">
        <v>88</v>
      </c>
      <c r="I30" s="172"/>
      <c r="J30" s="172"/>
      <c r="K30" s="172"/>
      <c r="L30" s="167"/>
    </row>
    <row r="31" spans="2:12" ht="14" thickBot="1" x14ac:dyDescent="0.2">
      <c r="B31" s="166" t="s">
        <v>86</v>
      </c>
      <c r="C31" s="167"/>
      <c r="H31" s="168"/>
      <c r="I31" s="173"/>
      <c r="J31" s="173"/>
      <c r="K31" s="173"/>
      <c r="L31" s="169"/>
    </row>
    <row r="32" spans="2:12" ht="14" customHeight="1" thickBot="1" x14ac:dyDescent="0.2">
      <c r="B32" s="168"/>
      <c r="C32" s="169"/>
      <c r="E32" s="166" t="s">
        <v>89</v>
      </c>
      <c r="F32" s="167"/>
      <c r="H32" s="170"/>
      <c r="I32" s="174"/>
      <c r="J32" s="174"/>
      <c r="K32" s="174"/>
      <c r="L32" s="171"/>
    </row>
    <row r="33" spans="2:6" x14ac:dyDescent="0.15">
      <c r="B33" s="168"/>
      <c r="C33" s="169"/>
      <c r="E33" s="168"/>
      <c r="F33" s="169"/>
    </row>
    <row r="34" spans="2:6" ht="14" thickBot="1" x14ac:dyDescent="0.2">
      <c r="B34" s="170"/>
      <c r="C34" s="171"/>
      <c r="E34" s="170"/>
      <c r="F34" s="171"/>
    </row>
    <row r="35" spans="2:6" ht="14" thickBot="1" x14ac:dyDescent="0.2"/>
    <row r="36" spans="2:6" x14ac:dyDescent="0.15">
      <c r="D36" s="166" t="s">
        <v>87</v>
      </c>
      <c r="E36" s="167"/>
    </row>
    <row r="37" spans="2:6" x14ac:dyDescent="0.15">
      <c r="D37" s="168"/>
      <c r="E37" s="169"/>
    </row>
    <row r="38" spans="2:6" ht="14" thickBot="1" x14ac:dyDescent="0.2">
      <c r="D38" s="170"/>
      <c r="E38" s="171"/>
    </row>
    <row r="42" spans="2:6" x14ac:dyDescent="0.15">
      <c r="F42" s="28" t="s">
        <v>90</v>
      </c>
    </row>
    <row r="43" spans="2:6" x14ac:dyDescent="0.15">
      <c r="F43" s="27" t="s">
        <v>91</v>
      </c>
    </row>
    <row r="44" spans="2:6" x14ac:dyDescent="0.15">
      <c r="F44" s="27" t="s">
        <v>94</v>
      </c>
    </row>
    <row r="46" spans="2:6" x14ac:dyDescent="0.15">
      <c r="F46" s="27" t="s">
        <v>92</v>
      </c>
    </row>
    <row r="48" spans="2:6" x14ac:dyDescent="0.15">
      <c r="F48" s="27" t="s">
        <v>93</v>
      </c>
    </row>
    <row r="71" spans="10:10" x14ac:dyDescent="0.15">
      <c r="J71" s="27" t="s">
        <v>95</v>
      </c>
    </row>
    <row r="72" spans="10:10" x14ac:dyDescent="0.15">
      <c r="J72" s="27" t="s">
        <v>96</v>
      </c>
    </row>
    <row r="95" spans="8:8" x14ac:dyDescent="0.15">
      <c r="H95" s="27" t="s">
        <v>97</v>
      </c>
    </row>
    <row r="96" spans="8:8" x14ac:dyDescent="0.15">
      <c r="H96" s="28" t="s">
        <v>98</v>
      </c>
    </row>
    <row r="117" spans="2:8" ht="16" x14ac:dyDescent="0.2">
      <c r="B117" s="29" t="s">
        <v>99</v>
      </c>
    </row>
    <row r="122" spans="2:8" x14ac:dyDescent="0.15">
      <c r="H122" s="27" t="s">
        <v>100</v>
      </c>
    </row>
    <row r="123" spans="2:8" x14ac:dyDescent="0.15">
      <c r="H123" s="27" t="s">
        <v>101</v>
      </c>
    </row>
    <row r="124" spans="2:8" x14ac:dyDescent="0.15">
      <c r="H124" s="27" t="s">
        <v>102</v>
      </c>
    </row>
    <row r="126" spans="2:8" x14ac:dyDescent="0.15">
      <c r="H126" s="27" t="s">
        <v>103</v>
      </c>
    </row>
    <row r="161" spans="3:3" x14ac:dyDescent="0.15">
      <c r="C161" s="127" t="s">
        <v>151</v>
      </c>
    </row>
    <row r="162" spans="3:3" x14ac:dyDescent="0.15">
      <c r="C162" s="127" t="s">
        <v>152</v>
      </c>
    </row>
    <row r="163" spans="3:3" x14ac:dyDescent="0.15">
      <c r="C163" s="127" t="s">
        <v>153</v>
      </c>
    </row>
  </sheetData>
  <mergeCells count="5">
    <mergeCell ref="B2:H3"/>
    <mergeCell ref="B31:C34"/>
    <mergeCell ref="D36:E38"/>
    <mergeCell ref="H30:L32"/>
    <mergeCell ref="E32:F34"/>
  </mergeCells>
  <pageMargins left="0.7" right="0.7" top="0.75" bottom="0.75" header="0.3" footer="0.3"/>
  <headerFooter>
    <oddFooter>&amp;C_x000D_&amp;1#&amp;"Calibri"&amp;10&amp;K000000 AXA IM - RESTRICTED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040FD-65E1-9048-BF8D-0AF89DE7E832}">
  <sheetPr codeName="Sheet1"/>
  <dimension ref="B2:G14"/>
  <sheetViews>
    <sheetView showGridLines="0" zoomScale="140" workbookViewId="0">
      <selection activeCell="C5" sqref="C5:D5"/>
    </sheetView>
  </sheetViews>
  <sheetFormatPr baseColWidth="10" defaultColWidth="11.5" defaultRowHeight="13" x14ac:dyDescent="0.15"/>
  <cols>
    <col min="1" max="1" width="5.33203125" customWidth="1"/>
    <col min="2" max="2" width="12.33203125" style="79" bestFit="1" customWidth="1"/>
    <col min="3" max="7" width="10.6640625" style="79"/>
  </cols>
  <sheetData>
    <row r="2" spans="2:6" x14ac:dyDescent="0.15">
      <c r="B2" s="94" t="s">
        <v>135</v>
      </c>
    </row>
    <row r="3" spans="2:6" x14ac:dyDescent="0.15">
      <c r="C3" s="95" t="s">
        <v>133</v>
      </c>
      <c r="D3" s="95" t="s">
        <v>134</v>
      </c>
      <c r="F3" s="81"/>
    </row>
    <row r="4" spans="2:6" x14ac:dyDescent="0.15">
      <c r="B4" s="79" t="s">
        <v>106</v>
      </c>
      <c r="C4" s="88">
        <v>39</v>
      </c>
      <c r="D4" s="89">
        <v>39</v>
      </c>
      <c r="F4" s="81"/>
    </row>
    <row r="5" spans="2:6" x14ac:dyDescent="0.15">
      <c r="B5" s="79" t="s">
        <v>82</v>
      </c>
      <c r="C5" s="90">
        <v>33</v>
      </c>
      <c r="D5" s="91">
        <v>41</v>
      </c>
      <c r="F5" s="81"/>
    </row>
    <row r="6" spans="2:6" x14ac:dyDescent="0.15">
      <c r="B6" s="79" t="s">
        <v>111</v>
      </c>
      <c r="C6" s="92">
        <v>39</v>
      </c>
      <c r="D6" s="93">
        <v>39</v>
      </c>
    </row>
    <row r="9" spans="2:6" x14ac:dyDescent="0.15">
      <c r="B9" s="94" t="s">
        <v>144</v>
      </c>
    </row>
    <row r="11" spans="2:6" ht="14" x14ac:dyDescent="0.15">
      <c r="B11" s="100" t="s">
        <v>145</v>
      </c>
      <c r="C11" s="79">
        <v>0</v>
      </c>
      <c r="D11" s="79">
        <v>120</v>
      </c>
    </row>
    <row r="12" spans="2:6" ht="14" x14ac:dyDescent="0.15">
      <c r="B12" s="100" t="s">
        <v>146</v>
      </c>
      <c r="C12" s="79">
        <f>D11</f>
        <v>120</v>
      </c>
      <c r="D12" s="79">
        <v>170</v>
      </c>
    </row>
    <row r="13" spans="2:6" ht="14" x14ac:dyDescent="0.15">
      <c r="B13" s="100" t="s">
        <v>147</v>
      </c>
      <c r="C13" s="79">
        <f>D12</f>
        <v>170</v>
      </c>
      <c r="D13" s="79">
        <v>220</v>
      </c>
    </row>
    <row r="14" spans="2:6" ht="14" x14ac:dyDescent="0.15">
      <c r="B14" s="100" t="s">
        <v>148</v>
      </c>
      <c r="C14" s="79">
        <f>D13</f>
        <v>220</v>
      </c>
    </row>
  </sheetData>
  <pageMargins left="0.7" right="0.7" top="0.75" bottom="0.75" header="0.3" footer="0.3"/>
  <headerFooter>
    <oddFooter>&amp;C_x000D_&amp;1#&amp;"Calibri"&amp;10&amp;K000000 AXA IM - RESTRICTED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F820B-5AAE-8148-82F2-148275FA6B8B}">
  <sheetPr codeName="Feuil1"/>
  <dimension ref="B2:JU47"/>
  <sheetViews>
    <sheetView showGridLines="0" zoomScale="70" zoomScaleNormal="70" workbookViewId="0">
      <pane xSplit="4" ySplit="4" topLeftCell="IQ5" activePane="bottomRight" state="frozen"/>
      <selection pane="topRight" activeCell="E1" sqref="E1"/>
      <selection pane="bottomLeft" activeCell="A5" sqref="A5"/>
      <selection pane="bottomRight" activeCell="JD54" sqref="JD54"/>
    </sheetView>
  </sheetViews>
  <sheetFormatPr baseColWidth="10" defaultColWidth="11.5" defaultRowHeight="13" outlineLevelCol="1" x14ac:dyDescent="0.15"/>
  <cols>
    <col min="2" max="2" width="24.6640625" bestFit="1" customWidth="1"/>
    <col min="3" max="3" width="11.5" bestFit="1" customWidth="1"/>
    <col min="4" max="4" width="10.33203125" bestFit="1" customWidth="1"/>
    <col min="5" max="5" width="4.6640625" customWidth="1"/>
    <col min="6" max="56" width="5.83203125" bestFit="1" customWidth="1" outlineLevel="1"/>
    <col min="57" max="57" width="7.1640625" bestFit="1" customWidth="1" outlineLevel="1"/>
    <col min="58" max="58" width="4.5" customWidth="1"/>
    <col min="59" max="66" width="3" bestFit="1" customWidth="1" outlineLevel="1"/>
    <col min="67" max="109" width="4" bestFit="1" customWidth="1" outlineLevel="1"/>
    <col min="110" max="110" width="5.6640625" bestFit="1" customWidth="1" outlineLevel="1"/>
    <col min="111" max="111" width="5.5" customWidth="1"/>
    <col min="112" max="155" width="4.83203125" customWidth="1" outlineLevel="1"/>
    <col min="156" max="156" width="5.83203125" customWidth="1" outlineLevel="1"/>
    <col min="157" max="157" width="7.1640625" customWidth="1" outlineLevel="1"/>
    <col min="158" max="158" width="6.6640625" customWidth="1" outlineLevel="1"/>
    <col min="159" max="159" width="6.5" customWidth="1" outlineLevel="1"/>
    <col min="160" max="160" width="7.5" customWidth="1" outlineLevel="1"/>
    <col min="161" max="163" width="4.83203125" customWidth="1" outlineLevel="1"/>
    <col min="164" max="164" width="8.1640625" customWidth="1" outlineLevel="1"/>
    <col min="165" max="165" width="6.33203125" customWidth="1"/>
    <col min="166" max="166" width="6.6640625" bestFit="1" customWidth="1" outlineLevel="1"/>
    <col min="167" max="168" width="4.83203125" bestFit="1" customWidth="1" outlineLevel="1"/>
    <col min="169" max="170" width="5.5" bestFit="1" customWidth="1" outlineLevel="1"/>
    <col min="171" max="216" width="4.83203125" bestFit="1" customWidth="1" outlineLevel="1"/>
    <col min="217" max="217" width="5.6640625" bestFit="1" customWidth="1" outlineLevel="1"/>
    <col min="218" max="218" width="5.33203125" customWidth="1" outlineLevel="1"/>
    <col min="219" max="219" width="5.33203125" customWidth="1"/>
    <col min="220" max="220" width="7.83203125" bestFit="1" customWidth="1" outlineLevel="1"/>
    <col min="221" max="221" width="6.1640625" customWidth="1" outlineLevel="1"/>
    <col min="222" max="270" width="5.5" customWidth="1" outlineLevel="1"/>
    <col min="271" max="271" width="6.33203125" customWidth="1" outlineLevel="1"/>
    <col min="272" max="272" width="5.5" customWidth="1" outlineLevel="1"/>
    <col min="273" max="273" width="5.33203125" customWidth="1"/>
    <col min="274" max="274" width="5.1640625" style="79" customWidth="1"/>
    <col min="275" max="275" width="6" bestFit="1" customWidth="1"/>
    <col min="276" max="276" width="14.6640625" customWidth="1"/>
    <col min="277" max="277" width="11.6640625" style="79" customWidth="1"/>
    <col min="278" max="278" width="3.1640625" style="79" customWidth="1"/>
    <col min="279" max="279" width="17.33203125" style="79" bestFit="1" customWidth="1"/>
    <col min="280" max="280" width="3.5" style="79" customWidth="1"/>
    <col min="281" max="281" width="22.33203125" style="79" bestFit="1" customWidth="1"/>
  </cols>
  <sheetData>
    <row r="2" spans="2:281" s="98" customFormat="1" ht="14" thickBot="1" x14ac:dyDescent="0.2">
      <c r="B2" s="96"/>
      <c r="C2" s="96"/>
      <c r="D2" s="96"/>
      <c r="E2" s="96"/>
      <c r="F2" s="175" t="s">
        <v>137</v>
      </c>
      <c r="G2" s="175"/>
      <c r="H2" s="175"/>
      <c r="I2" s="175"/>
      <c r="J2" s="175"/>
      <c r="K2" s="175"/>
      <c r="L2" s="175"/>
      <c r="M2" s="175"/>
      <c r="N2" s="175"/>
      <c r="O2" s="175"/>
      <c r="P2" s="175"/>
      <c r="Q2" s="175"/>
      <c r="R2" s="175"/>
      <c r="S2" s="175"/>
      <c r="T2" s="175"/>
      <c r="U2" s="175"/>
      <c r="V2" s="175"/>
      <c r="W2" s="175"/>
      <c r="X2" s="175"/>
      <c r="Y2" s="175"/>
      <c r="Z2" s="175"/>
      <c r="AA2" s="175"/>
      <c r="AB2" s="175"/>
      <c r="AC2" s="175"/>
      <c r="AD2" s="175"/>
      <c r="AE2" s="175"/>
      <c r="AF2" s="175"/>
      <c r="AG2" s="175"/>
      <c r="AH2" s="175"/>
      <c r="AI2" s="175"/>
      <c r="AJ2" s="175"/>
      <c r="AK2" s="175"/>
      <c r="AL2" s="175"/>
      <c r="AM2" s="175"/>
      <c r="AN2" s="175"/>
      <c r="AO2" s="175"/>
      <c r="AP2" s="175"/>
      <c r="AQ2" s="175"/>
      <c r="AR2" s="175"/>
      <c r="AS2" s="175"/>
      <c r="AT2" s="175"/>
      <c r="AU2" s="175"/>
      <c r="AV2" s="175"/>
      <c r="AW2" s="175"/>
      <c r="AX2" s="175"/>
      <c r="AY2" s="175"/>
      <c r="AZ2" s="175"/>
      <c r="BA2" s="175"/>
      <c r="BB2" s="175"/>
      <c r="BC2" s="175"/>
      <c r="BD2" s="175"/>
      <c r="BE2" s="175"/>
      <c r="BF2" s="99"/>
      <c r="BG2" s="175" t="s">
        <v>138</v>
      </c>
      <c r="BH2" s="175"/>
      <c r="BI2" s="175"/>
      <c r="BJ2" s="175"/>
      <c r="BK2" s="175"/>
      <c r="BL2" s="175"/>
      <c r="BM2" s="175"/>
      <c r="BN2" s="175"/>
      <c r="BO2" s="175"/>
      <c r="BP2" s="175"/>
      <c r="BQ2" s="175"/>
      <c r="BR2" s="175"/>
      <c r="BS2" s="175"/>
      <c r="BT2" s="175"/>
      <c r="BU2" s="175"/>
      <c r="BV2" s="175"/>
      <c r="BW2" s="175"/>
      <c r="BX2" s="175"/>
      <c r="BY2" s="175"/>
      <c r="BZ2" s="175"/>
      <c r="CA2" s="175"/>
      <c r="CB2" s="175"/>
      <c r="CC2" s="175"/>
      <c r="CD2" s="175"/>
      <c r="CE2" s="175"/>
      <c r="CF2" s="175"/>
      <c r="CG2" s="175"/>
      <c r="CH2" s="175"/>
      <c r="CI2" s="175"/>
      <c r="CJ2" s="175"/>
      <c r="CK2" s="175"/>
      <c r="CL2" s="175"/>
      <c r="CM2" s="175"/>
      <c r="CN2" s="175"/>
      <c r="CO2" s="175"/>
      <c r="CP2" s="175"/>
      <c r="CQ2" s="175"/>
      <c r="CR2" s="175"/>
      <c r="CS2" s="175"/>
      <c r="CT2" s="175"/>
      <c r="CU2" s="175"/>
      <c r="CV2" s="175"/>
      <c r="CW2" s="175"/>
      <c r="CX2" s="175"/>
      <c r="CY2" s="175"/>
      <c r="CZ2" s="175"/>
      <c r="DA2" s="175"/>
      <c r="DB2" s="175"/>
      <c r="DC2" s="175"/>
      <c r="DD2" s="175"/>
      <c r="DE2" s="175"/>
      <c r="DF2" s="99"/>
      <c r="DG2" s="97"/>
      <c r="DH2" s="175" t="s">
        <v>156</v>
      </c>
      <c r="DI2" s="175"/>
      <c r="DJ2" s="175"/>
      <c r="DK2" s="175"/>
      <c r="DL2" s="175"/>
      <c r="DM2" s="175"/>
      <c r="DN2" s="175"/>
      <c r="DO2" s="175"/>
      <c r="DP2" s="175"/>
      <c r="DQ2" s="175"/>
      <c r="DR2" s="175"/>
      <c r="DS2" s="175"/>
      <c r="DT2" s="175"/>
      <c r="DU2" s="175"/>
      <c r="DV2" s="175"/>
      <c r="DW2" s="175"/>
      <c r="DX2" s="175"/>
      <c r="DY2" s="175"/>
      <c r="DZ2" s="175"/>
      <c r="EA2" s="175"/>
      <c r="EB2" s="175"/>
      <c r="EC2" s="175"/>
      <c r="ED2" s="175"/>
      <c r="EE2" s="175"/>
      <c r="EF2" s="175"/>
      <c r="EG2" s="175"/>
      <c r="EH2" s="175"/>
      <c r="EI2" s="175"/>
      <c r="EJ2" s="175"/>
      <c r="EK2" s="175"/>
      <c r="EL2" s="175"/>
      <c r="EM2" s="175"/>
      <c r="EN2" s="175"/>
      <c r="EO2" s="175"/>
      <c r="EP2" s="175"/>
      <c r="EQ2" s="175"/>
      <c r="ER2" s="175"/>
      <c r="ES2" s="175"/>
      <c r="ET2" s="175"/>
      <c r="EU2" s="175"/>
      <c r="EV2" s="175"/>
      <c r="EW2" s="175"/>
      <c r="EX2" s="175"/>
      <c r="EY2" s="175"/>
      <c r="EZ2" s="175"/>
      <c r="FA2" s="175"/>
      <c r="FB2" s="175"/>
      <c r="FC2" s="175"/>
      <c r="FD2" s="175"/>
      <c r="FE2" s="175"/>
      <c r="FF2" s="175"/>
      <c r="FG2" s="175"/>
      <c r="FH2" s="99"/>
      <c r="FJ2" s="175" t="s">
        <v>157</v>
      </c>
      <c r="FK2" s="175"/>
      <c r="FL2" s="175"/>
      <c r="FM2" s="175"/>
      <c r="FN2" s="175"/>
      <c r="FO2" s="175"/>
      <c r="FP2" s="175"/>
      <c r="FQ2" s="175"/>
      <c r="FR2" s="175"/>
      <c r="FS2" s="175"/>
      <c r="FT2" s="175"/>
      <c r="FU2" s="175"/>
      <c r="FV2" s="175"/>
      <c r="FW2" s="175"/>
      <c r="FX2" s="175"/>
      <c r="FY2" s="175"/>
      <c r="FZ2" s="175"/>
      <c r="GA2" s="175"/>
      <c r="GB2" s="175"/>
      <c r="GC2" s="175"/>
      <c r="GD2" s="175"/>
      <c r="GE2" s="175"/>
      <c r="GF2" s="175"/>
      <c r="GG2" s="175"/>
      <c r="GH2" s="175"/>
      <c r="GI2" s="175"/>
      <c r="GJ2" s="175"/>
      <c r="GK2" s="175"/>
      <c r="GL2" s="175"/>
      <c r="GM2" s="175"/>
      <c r="GN2" s="175"/>
      <c r="GO2" s="175"/>
      <c r="GP2" s="175"/>
      <c r="GQ2" s="175"/>
      <c r="GR2" s="175"/>
      <c r="GS2" s="175"/>
      <c r="GT2" s="175"/>
      <c r="GU2" s="175"/>
      <c r="GV2" s="175"/>
      <c r="GW2" s="175"/>
      <c r="GX2" s="175"/>
      <c r="GY2" s="175"/>
      <c r="GZ2" s="175"/>
      <c r="HA2" s="175"/>
      <c r="HB2" s="175"/>
      <c r="HC2" s="175"/>
      <c r="HD2" s="175"/>
      <c r="HE2" s="175"/>
      <c r="HF2" s="175"/>
      <c r="HG2" s="175"/>
      <c r="HH2" s="175"/>
      <c r="HI2" s="175"/>
      <c r="HJ2" s="175"/>
      <c r="HK2" s="96"/>
      <c r="HL2" s="175" t="s">
        <v>158</v>
      </c>
      <c r="HM2" s="175"/>
      <c r="HN2" s="175"/>
      <c r="HO2" s="175"/>
      <c r="HP2" s="175"/>
      <c r="HQ2" s="175"/>
      <c r="HR2" s="175"/>
      <c r="HS2" s="175"/>
      <c r="HT2" s="175"/>
      <c r="HU2" s="175"/>
      <c r="HV2" s="175"/>
      <c r="HW2" s="175"/>
      <c r="HX2" s="175"/>
      <c r="HY2" s="175"/>
      <c r="HZ2" s="175"/>
      <c r="IA2" s="175"/>
      <c r="IB2" s="175"/>
      <c r="IC2" s="175"/>
      <c r="ID2" s="175"/>
      <c r="IE2" s="175"/>
      <c r="IF2" s="175"/>
      <c r="IG2" s="175"/>
      <c r="IH2" s="175"/>
      <c r="II2" s="175"/>
      <c r="IJ2" s="175"/>
      <c r="IK2" s="175"/>
      <c r="IL2" s="175"/>
      <c r="IM2" s="175"/>
      <c r="IN2" s="175"/>
      <c r="IO2" s="175"/>
      <c r="IP2" s="175"/>
      <c r="IQ2" s="175"/>
      <c r="IR2" s="175"/>
      <c r="IS2" s="175"/>
      <c r="IT2" s="175"/>
      <c r="IU2" s="175"/>
      <c r="IV2" s="175"/>
      <c r="IW2" s="175"/>
      <c r="IX2" s="175"/>
      <c r="IY2" s="175"/>
      <c r="IZ2" s="175"/>
      <c r="JA2" s="175"/>
      <c r="JB2" s="175"/>
      <c r="JC2" s="175"/>
      <c r="JD2" s="175"/>
      <c r="JE2" s="175"/>
      <c r="JF2" s="175"/>
      <c r="JG2" s="175"/>
      <c r="JH2" s="175"/>
      <c r="JI2" s="175"/>
      <c r="JJ2" s="175"/>
      <c r="JK2" s="175"/>
      <c r="JL2" s="175"/>
      <c r="JN2" s="99"/>
      <c r="JR2" s="99"/>
      <c r="JT2" s="99"/>
    </row>
    <row r="3" spans="2:281" ht="14" thickTop="1" x14ac:dyDescent="0.15">
      <c r="B3" s="81"/>
      <c r="C3" s="81"/>
      <c r="D3" s="81"/>
      <c r="E3" s="81"/>
      <c r="F3" s="79"/>
      <c r="G3" s="79"/>
      <c r="H3" s="79"/>
      <c r="I3" s="79"/>
      <c r="J3" s="79"/>
      <c r="K3" s="79"/>
      <c r="BP3" s="84"/>
      <c r="BQ3" s="84"/>
      <c r="BR3" s="84"/>
      <c r="BS3" s="84"/>
      <c r="BT3" s="84"/>
      <c r="BU3" s="84"/>
      <c r="BV3" s="84"/>
      <c r="BW3" s="84"/>
      <c r="BX3" s="84"/>
      <c r="BY3" s="84"/>
      <c r="BZ3" s="84"/>
      <c r="CA3" s="84"/>
      <c r="CB3" s="84"/>
      <c r="CC3" s="84"/>
      <c r="CD3" s="84"/>
      <c r="CE3" s="84"/>
      <c r="CF3" s="84"/>
      <c r="CG3" s="84"/>
      <c r="CH3" s="84"/>
      <c r="CI3" s="84"/>
      <c r="CJ3" s="84"/>
      <c r="CK3" s="84"/>
      <c r="CL3" s="84"/>
      <c r="CM3" s="84"/>
      <c r="CN3" s="84"/>
      <c r="CO3" s="84"/>
      <c r="CP3" s="84"/>
      <c r="CQ3" s="84"/>
      <c r="CR3" s="84"/>
      <c r="CS3" s="84"/>
      <c r="CT3" s="84"/>
      <c r="CU3" s="84"/>
      <c r="CV3" s="84"/>
      <c r="CW3" s="84"/>
      <c r="CX3" s="84"/>
      <c r="CY3" s="84"/>
      <c r="CZ3" s="84"/>
      <c r="DA3" s="84"/>
      <c r="DB3" s="84"/>
      <c r="DC3" s="84"/>
      <c r="DD3" s="84"/>
      <c r="DE3" s="84"/>
      <c r="DF3" s="84"/>
      <c r="DG3" s="84"/>
      <c r="DH3" s="106">
        <v>1</v>
      </c>
      <c r="DI3" s="79"/>
      <c r="DJ3" s="79"/>
      <c r="DK3" s="79"/>
      <c r="DL3" s="79"/>
      <c r="DM3" s="79"/>
      <c r="DN3" s="79"/>
      <c r="DO3" s="79"/>
      <c r="DP3" s="79"/>
      <c r="DQ3" s="79"/>
      <c r="DR3" s="79"/>
      <c r="DS3" s="79"/>
      <c r="DT3" s="79"/>
      <c r="DU3" s="79"/>
      <c r="DV3" s="79"/>
      <c r="DW3" s="79"/>
      <c r="DX3" s="79"/>
      <c r="DY3" s="79"/>
      <c r="DZ3" s="79"/>
      <c r="EA3" s="79"/>
      <c r="EB3" s="79"/>
      <c r="EC3" s="79"/>
      <c r="ED3" s="79"/>
      <c r="EE3" s="79"/>
      <c r="EF3" s="79"/>
      <c r="EG3" s="79"/>
      <c r="EH3" s="79"/>
      <c r="EI3" s="79"/>
      <c r="EJ3" s="79"/>
      <c r="EK3" s="79"/>
      <c r="EL3" s="79"/>
      <c r="EM3" s="79"/>
      <c r="EN3" s="79"/>
      <c r="EO3" s="79"/>
      <c r="EP3" s="79"/>
      <c r="EQ3" s="79"/>
      <c r="ER3" s="79"/>
      <c r="ES3" s="79"/>
      <c r="ET3" s="79"/>
      <c r="EU3" s="79"/>
      <c r="EV3" s="79"/>
      <c r="EW3" s="79"/>
      <c r="EX3" s="79"/>
      <c r="EY3" s="79"/>
      <c r="EZ3" s="79"/>
      <c r="FA3" s="79"/>
      <c r="FB3" s="79"/>
      <c r="FC3" s="79"/>
      <c r="FD3" s="79"/>
      <c r="FE3" s="79"/>
      <c r="FF3" s="79"/>
      <c r="FG3" s="79"/>
      <c r="FH3" s="79"/>
      <c r="FJ3" s="106">
        <v>1.25</v>
      </c>
      <c r="FK3" s="106">
        <v>43</v>
      </c>
      <c r="FL3" s="106">
        <v>74</v>
      </c>
      <c r="FM3" s="106">
        <v>86</v>
      </c>
      <c r="FN3" s="79"/>
      <c r="FO3" s="79"/>
      <c r="FP3" s="79"/>
      <c r="FQ3" s="79"/>
      <c r="FR3" s="79"/>
      <c r="FS3" s="79"/>
      <c r="FT3" s="79"/>
      <c r="FU3" s="79"/>
      <c r="FV3" s="79"/>
      <c r="FW3" s="79"/>
      <c r="FX3" s="79"/>
      <c r="FY3" s="79"/>
      <c r="FZ3" s="79"/>
      <c r="GA3" s="79"/>
      <c r="GB3" s="79"/>
      <c r="GC3" s="79"/>
      <c r="GD3" s="79"/>
      <c r="GE3" s="79"/>
      <c r="GF3" s="79"/>
      <c r="GG3" s="79"/>
      <c r="GH3" s="79"/>
      <c r="GI3" s="79"/>
      <c r="GJ3" s="79"/>
      <c r="GK3" s="79"/>
      <c r="GL3" s="79"/>
      <c r="GM3" s="79"/>
      <c r="GN3" s="79"/>
      <c r="GO3" s="79"/>
      <c r="GP3" s="79"/>
      <c r="GQ3" s="79"/>
      <c r="GR3" s="79"/>
      <c r="GS3" s="79"/>
      <c r="GT3" s="79"/>
      <c r="GU3" s="79"/>
      <c r="GV3" s="79"/>
      <c r="GW3" s="79"/>
      <c r="GX3" s="79"/>
      <c r="GY3" s="79"/>
      <c r="GZ3" s="79"/>
      <c r="HA3" s="79"/>
      <c r="HB3" s="79"/>
      <c r="HC3" s="79"/>
      <c r="HD3" s="79"/>
      <c r="HE3" s="79"/>
      <c r="HF3" s="79"/>
      <c r="HG3" s="79"/>
      <c r="HH3" s="79"/>
      <c r="HI3" s="79"/>
      <c r="HJ3" s="79"/>
      <c r="HK3" s="79"/>
      <c r="HL3" s="106">
        <v>1.5</v>
      </c>
      <c r="HM3" s="106"/>
      <c r="HN3" s="79"/>
      <c r="HO3" s="79"/>
      <c r="HP3" s="79"/>
      <c r="HQ3" s="79"/>
      <c r="HR3" s="79"/>
      <c r="HS3" s="79"/>
      <c r="HT3" s="79"/>
      <c r="HU3" s="79"/>
      <c r="HV3" s="79"/>
      <c r="HW3" s="79"/>
      <c r="HX3" s="79"/>
      <c r="HY3" s="79"/>
      <c r="HZ3" s="79"/>
      <c r="IA3" s="79"/>
      <c r="IB3" s="79"/>
      <c r="IC3" s="79"/>
      <c r="ID3" s="79"/>
      <c r="IE3" s="79"/>
      <c r="IF3" s="79"/>
      <c r="IG3" s="79"/>
      <c r="IH3" s="79"/>
      <c r="II3" s="79"/>
      <c r="IJ3" s="79"/>
      <c r="IK3" s="79"/>
      <c r="IL3" s="79"/>
      <c r="IM3" s="79"/>
      <c r="IN3" s="79"/>
      <c r="IO3" s="79"/>
      <c r="IP3" s="79"/>
      <c r="IQ3" s="79"/>
      <c r="IR3" s="79"/>
      <c r="IS3" s="79"/>
      <c r="IT3" s="79"/>
      <c r="IU3" s="79"/>
      <c r="IV3" s="79"/>
      <c r="IW3" s="79"/>
      <c r="IX3" s="79"/>
      <c r="IY3" s="79"/>
      <c r="IZ3" s="79"/>
      <c r="JA3" s="79"/>
      <c r="JB3" s="79"/>
      <c r="JC3" s="79"/>
      <c r="JD3" s="79"/>
      <c r="JE3" s="79"/>
      <c r="JF3" s="79"/>
      <c r="JG3" s="79"/>
      <c r="JH3" s="79"/>
      <c r="JI3" s="79"/>
      <c r="JJ3" s="79"/>
      <c r="JK3" s="79"/>
      <c r="JO3" s="176" t="s">
        <v>149</v>
      </c>
      <c r="JP3" s="176"/>
    </row>
    <row r="4" spans="2:281" s="36" customFormat="1" ht="28" x14ac:dyDescent="0.15">
      <c r="B4" s="82"/>
      <c r="C4" s="82" t="str">
        <f>'MODU 2025'!C7</f>
        <v>Service</v>
      </c>
      <c r="D4" s="82" t="str">
        <f>'MODU 2025'!D7</f>
        <v>Contrat Base</v>
      </c>
      <c r="E4" s="82"/>
      <c r="F4" s="83" t="str">
        <f>'MODU 2025'!G7</f>
        <v>S2</v>
      </c>
      <c r="G4" s="83" t="str">
        <f>'MODU 2025'!H7</f>
        <v>S3</v>
      </c>
      <c r="H4" s="83" t="str">
        <f>'MODU 2025'!I7</f>
        <v>S4</v>
      </c>
      <c r="I4" s="83" t="str">
        <f>'MODU 2025'!J7</f>
        <v>S5</v>
      </c>
      <c r="J4" s="83" t="str">
        <f>'MODU 2025'!K7</f>
        <v>S6</v>
      </c>
      <c r="K4" s="83" t="str">
        <f>'MODU 2025'!L7</f>
        <v>S7</v>
      </c>
      <c r="L4" s="83" t="str">
        <f>'MODU 2025'!M7</f>
        <v>S8</v>
      </c>
      <c r="M4" s="83" t="str">
        <f>'MODU 2025'!N7</f>
        <v>S9</v>
      </c>
      <c r="N4" s="83" t="str">
        <f>'MODU 2025'!O7</f>
        <v>S10</v>
      </c>
      <c r="O4" s="83" t="str">
        <f>'MODU 2025'!P7</f>
        <v>S11</v>
      </c>
      <c r="P4" s="83" t="str">
        <f>'MODU 2025'!Q7</f>
        <v>S12</v>
      </c>
      <c r="Q4" s="83" t="str">
        <f>'MODU 2025'!R7</f>
        <v>S13</v>
      </c>
      <c r="R4" s="83" t="str">
        <f>'MODU 2025'!S7</f>
        <v>S14</v>
      </c>
      <c r="S4" s="83" t="str">
        <f>'MODU 2025'!T7</f>
        <v>S15</v>
      </c>
      <c r="T4" s="83" t="str">
        <f>'MODU 2025'!U7</f>
        <v>S16</v>
      </c>
      <c r="U4" s="83" t="str">
        <f>'MODU 2025'!V7</f>
        <v>S17</v>
      </c>
      <c r="V4" s="83" t="str">
        <f>'MODU 2025'!W7</f>
        <v>S18</v>
      </c>
      <c r="W4" s="83" t="str">
        <f>'MODU 2025'!X7</f>
        <v>S19</v>
      </c>
      <c r="X4" s="83" t="str">
        <f>'MODU 2025'!Y7</f>
        <v>S20</v>
      </c>
      <c r="Y4" s="83" t="str">
        <f>'MODU 2025'!Z7</f>
        <v>S21</v>
      </c>
      <c r="Z4" s="83" t="str">
        <f>'MODU 2025'!AA7</f>
        <v>S22</v>
      </c>
      <c r="AA4" s="83" t="str">
        <f>'MODU 2025'!AB7</f>
        <v>S23</v>
      </c>
      <c r="AB4" s="83" t="str">
        <f>'MODU 2025'!AC7</f>
        <v>S24</v>
      </c>
      <c r="AC4" s="83" t="str">
        <f>'MODU 2025'!AD7</f>
        <v>S25</v>
      </c>
      <c r="AD4" s="83" t="str">
        <f>'MODU 2025'!AE7</f>
        <v>S26</v>
      </c>
      <c r="AE4" s="83" t="str">
        <f>'MODU 2025'!AF7</f>
        <v>S27</v>
      </c>
      <c r="AF4" s="83" t="str">
        <f>'MODU 2025'!AG7</f>
        <v>S28</v>
      </c>
      <c r="AG4" s="83" t="str">
        <f>'MODU 2025'!AH7</f>
        <v>S29</v>
      </c>
      <c r="AH4" s="83" t="str">
        <f>'MODU 2025'!AI7</f>
        <v>S30</v>
      </c>
      <c r="AI4" s="83" t="str">
        <f>'MODU 2025'!AJ7</f>
        <v>S31</v>
      </c>
      <c r="AJ4" s="83" t="str">
        <f>'MODU 2025'!AK7</f>
        <v>S32</v>
      </c>
      <c r="AK4" s="83" t="str">
        <f>'MODU 2025'!AL7</f>
        <v>S33</v>
      </c>
      <c r="AL4" s="83" t="str">
        <f>'MODU 2025'!AM7</f>
        <v>S34</v>
      </c>
      <c r="AM4" s="83" t="str">
        <f>'MODU 2025'!AN7</f>
        <v>S35</v>
      </c>
      <c r="AN4" s="83" t="str">
        <f>'MODU 2025'!AO7</f>
        <v>S36</v>
      </c>
      <c r="AO4" s="83" t="str">
        <f>'MODU 2025'!AP7</f>
        <v>S37</v>
      </c>
      <c r="AP4" s="83" t="str">
        <f>'MODU 2025'!AQ7</f>
        <v>S38</v>
      </c>
      <c r="AQ4" s="83" t="str">
        <f>'MODU 2025'!AR7</f>
        <v>S39</v>
      </c>
      <c r="AR4" s="83" t="str">
        <f>'MODU 2025'!AS7</f>
        <v>S40</v>
      </c>
      <c r="AS4" s="83" t="str">
        <f>'MODU 2025'!AT7</f>
        <v>S41</v>
      </c>
      <c r="AT4" s="83" t="str">
        <f>'MODU 2025'!AU7</f>
        <v>S42</v>
      </c>
      <c r="AU4" s="83" t="str">
        <f>'MODU 2025'!AV7</f>
        <v>S43</v>
      </c>
      <c r="AV4" s="83" t="str">
        <f>'MODU 2025'!AW7</f>
        <v>S44</v>
      </c>
      <c r="AW4" s="83" t="str">
        <f>'MODU 2025'!AX7</f>
        <v>S45</v>
      </c>
      <c r="AX4" s="83" t="str">
        <f>'MODU 2025'!AY7</f>
        <v>S46</v>
      </c>
      <c r="AY4" s="83" t="str">
        <f>'MODU 2025'!AZ7</f>
        <v>S47</v>
      </c>
      <c r="AZ4" s="83" t="str">
        <f>'MODU 2025'!BA7</f>
        <v>S48</v>
      </c>
      <c r="BA4" s="83" t="str">
        <f>'MODU 2025'!BB7</f>
        <v>S49</v>
      </c>
      <c r="BB4" s="83" t="str">
        <f>'MODU 2025'!BC7</f>
        <v>S50</v>
      </c>
      <c r="BC4" s="83" t="str">
        <f>'MODU 2025'!BD7</f>
        <v>S51</v>
      </c>
      <c r="BD4" s="83" t="str">
        <f>'MODU 2025'!BE7</f>
        <v>S52</v>
      </c>
      <c r="BE4" s="83" t="str">
        <f>'MODU 2025'!BF7</f>
        <v>S52+1</v>
      </c>
      <c r="BF4" s="83"/>
      <c r="BG4" s="83" t="str">
        <f>'MODU 2025'!G7</f>
        <v>S2</v>
      </c>
      <c r="BH4" s="83" t="str">
        <f>'MODU 2025'!H7</f>
        <v>S3</v>
      </c>
      <c r="BI4" s="83" t="str">
        <f>'MODU 2025'!I7</f>
        <v>S4</v>
      </c>
      <c r="BJ4" s="83" t="str">
        <f>'MODU 2025'!J7</f>
        <v>S5</v>
      </c>
      <c r="BK4" s="83" t="str">
        <f>'MODU 2025'!K7</f>
        <v>S6</v>
      </c>
      <c r="BL4" s="83" t="str">
        <f>'MODU 2025'!L7</f>
        <v>S7</v>
      </c>
      <c r="BM4" s="83" t="str">
        <f>'MODU 2025'!M7</f>
        <v>S8</v>
      </c>
      <c r="BN4" s="83" t="str">
        <f>'MODU 2025'!N7</f>
        <v>S9</v>
      </c>
      <c r="BO4" s="83" t="str">
        <f>'MODU 2025'!O7</f>
        <v>S10</v>
      </c>
      <c r="BP4" s="83" t="str">
        <f>'MODU 2025'!P7</f>
        <v>S11</v>
      </c>
      <c r="BQ4" s="83" t="str">
        <f>'MODU 2025'!Q7</f>
        <v>S12</v>
      </c>
      <c r="BR4" s="83" t="str">
        <f>'MODU 2025'!R7</f>
        <v>S13</v>
      </c>
      <c r="BS4" s="83" t="str">
        <f>'MODU 2025'!S7</f>
        <v>S14</v>
      </c>
      <c r="BT4" s="83" t="str">
        <f>'MODU 2025'!T7</f>
        <v>S15</v>
      </c>
      <c r="BU4" s="83" t="str">
        <f>'MODU 2025'!U7</f>
        <v>S16</v>
      </c>
      <c r="BV4" s="83" t="str">
        <f>'MODU 2025'!V7</f>
        <v>S17</v>
      </c>
      <c r="BW4" s="83" t="str">
        <f>'MODU 2025'!W7</f>
        <v>S18</v>
      </c>
      <c r="BX4" s="83" t="str">
        <f>'MODU 2025'!X7</f>
        <v>S19</v>
      </c>
      <c r="BY4" s="83" t="str">
        <f>'MODU 2025'!Y7</f>
        <v>S20</v>
      </c>
      <c r="BZ4" s="83" t="str">
        <f>'MODU 2025'!Z7</f>
        <v>S21</v>
      </c>
      <c r="CA4" s="83" t="str">
        <f>'MODU 2025'!AA7</f>
        <v>S22</v>
      </c>
      <c r="CB4" s="83" t="str">
        <f>'MODU 2025'!AB7</f>
        <v>S23</v>
      </c>
      <c r="CC4" s="83" t="str">
        <f>'MODU 2025'!AC7</f>
        <v>S24</v>
      </c>
      <c r="CD4" s="83" t="str">
        <f>'MODU 2025'!AD7</f>
        <v>S25</v>
      </c>
      <c r="CE4" s="83" t="str">
        <f>'MODU 2025'!AE7</f>
        <v>S26</v>
      </c>
      <c r="CF4" s="83" t="str">
        <f>'MODU 2025'!AF7</f>
        <v>S27</v>
      </c>
      <c r="CG4" s="83" t="str">
        <f>'MODU 2025'!AG7</f>
        <v>S28</v>
      </c>
      <c r="CH4" s="83" t="str">
        <f>'MODU 2025'!AH7</f>
        <v>S29</v>
      </c>
      <c r="CI4" s="83" t="str">
        <f>'MODU 2025'!AI7</f>
        <v>S30</v>
      </c>
      <c r="CJ4" s="83" t="str">
        <f>'MODU 2025'!AJ7</f>
        <v>S31</v>
      </c>
      <c r="CK4" s="83" t="str">
        <f>'MODU 2025'!AK7</f>
        <v>S32</v>
      </c>
      <c r="CL4" s="83" t="str">
        <f>'MODU 2025'!AL7</f>
        <v>S33</v>
      </c>
      <c r="CM4" s="83" t="str">
        <f>'MODU 2025'!AM7</f>
        <v>S34</v>
      </c>
      <c r="CN4" s="83" t="str">
        <f>'MODU 2025'!AN7</f>
        <v>S35</v>
      </c>
      <c r="CO4" s="83" t="str">
        <f>'MODU 2025'!AO7</f>
        <v>S36</v>
      </c>
      <c r="CP4" s="83" t="str">
        <f>'MODU 2025'!AP7</f>
        <v>S37</v>
      </c>
      <c r="CQ4" s="83" t="str">
        <f>'MODU 2025'!AQ7</f>
        <v>S38</v>
      </c>
      <c r="CR4" s="83" t="str">
        <f>'MODU 2025'!AR7</f>
        <v>S39</v>
      </c>
      <c r="CS4" s="83" t="str">
        <f>'MODU 2025'!AS7</f>
        <v>S40</v>
      </c>
      <c r="CT4" s="83" t="str">
        <f>'MODU 2025'!AT7</f>
        <v>S41</v>
      </c>
      <c r="CU4" s="83" t="str">
        <f>'MODU 2025'!AU7</f>
        <v>S42</v>
      </c>
      <c r="CV4" s="83" t="str">
        <f>'MODU 2025'!AV7</f>
        <v>S43</v>
      </c>
      <c r="CW4" s="83" t="str">
        <f>'MODU 2025'!AW7</f>
        <v>S44</v>
      </c>
      <c r="CX4" s="83" t="str">
        <f>'MODU 2025'!AX7</f>
        <v>S45</v>
      </c>
      <c r="CY4" s="83" t="str">
        <f>'MODU 2025'!AY7</f>
        <v>S46</v>
      </c>
      <c r="CZ4" s="83" t="str">
        <f>'MODU 2025'!AZ7</f>
        <v>S47</v>
      </c>
      <c r="DA4" s="83" t="str">
        <f>'MODU 2025'!BA7</f>
        <v>S48</v>
      </c>
      <c r="DB4" s="83" t="str">
        <f>'MODU 2025'!BB7</f>
        <v>S49</v>
      </c>
      <c r="DC4" s="83" t="str">
        <f>'MODU 2025'!BC7</f>
        <v>S50</v>
      </c>
      <c r="DD4" s="83" t="str">
        <f>'MODU 2025'!BD7</f>
        <v>S51</v>
      </c>
      <c r="DE4" s="83" t="str">
        <f>'MODU 2025'!BE7</f>
        <v>S52</v>
      </c>
      <c r="DF4" s="83" t="str">
        <f>'MODU 2025'!BF7</f>
        <v>S52+1</v>
      </c>
      <c r="DG4" s="83"/>
      <c r="DH4" s="139" t="str">
        <f>'MODU 2025'!G7</f>
        <v>S2</v>
      </c>
      <c r="DI4" s="42" t="str">
        <f>'MODU 2025'!H7</f>
        <v>S3</v>
      </c>
      <c r="DJ4" s="42" t="str">
        <f>'MODU 2025'!I7</f>
        <v>S4</v>
      </c>
      <c r="DK4" s="42" t="str">
        <f>'MODU 2025'!J7</f>
        <v>S5</v>
      </c>
      <c r="DL4" s="42" t="str">
        <f>'MODU 2025'!K7</f>
        <v>S6</v>
      </c>
      <c r="DM4" s="42" t="str">
        <f>'MODU 2025'!L7</f>
        <v>S7</v>
      </c>
      <c r="DN4" s="42" t="str">
        <f>'MODU 2025'!M7</f>
        <v>S8</v>
      </c>
      <c r="DO4" s="42" t="str">
        <f>'MODU 2025'!N7</f>
        <v>S9</v>
      </c>
      <c r="DP4" s="42" t="str">
        <f>'MODU 2025'!O7</f>
        <v>S10</v>
      </c>
      <c r="DQ4" s="42" t="str">
        <f>'MODU 2025'!P7</f>
        <v>S11</v>
      </c>
      <c r="DR4" s="42" t="str">
        <f>'MODU 2025'!Q7</f>
        <v>S12</v>
      </c>
      <c r="DS4" s="42" t="str">
        <f>'MODU 2025'!R7</f>
        <v>S13</v>
      </c>
      <c r="DT4" s="42" t="str">
        <f>'MODU 2025'!S7</f>
        <v>S14</v>
      </c>
      <c r="DU4" s="42" t="str">
        <f>'MODU 2025'!T7</f>
        <v>S15</v>
      </c>
      <c r="DV4" s="42" t="str">
        <f>'MODU 2025'!U7</f>
        <v>S16</v>
      </c>
      <c r="DW4" s="42" t="str">
        <f>'MODU 2025'!V7</f>
        <v>S17</v>
      </c>
      <c r="DX4" s="42" t="str">
        <f>'MODU 2025'!W7</f>
        <v>S18</v>
      </c>
      <c r="DY4" s="42" t="str">
        <f>'MODU 2025'!X7</f>
        <v>S19</v>
      </c>
      <c r="DZ4" s="42" t="str">
        <f>'MODU 2025'!Y7</f>
        <v>S20</v>
      </c>
      <c r="EA4" s="42" t="str">
        <f>'MODU 2025'!Z7</f>
        <v>S21</v>
      </c>
      <c r="EB4" s="42" t="str">
        <f>'MODU 2025'!AA7</f>
        <v>S22</v>
      </c>
      <c r="EC4" s="42" t="str">
        <f>'MODU 2025'!AB7</f>
        <v>S23</v>
      </c>
      <c r="ED4" s="42" t="str">
        <f>'MODU 2025'!AC7</f>
        <v>S24</v>
      </c>
      <c r="EE4" s="42" t="str">
        <f>'MODU 2025'!AD7</f>
        <v>S25</v>
      </c>
      <c r="EF4" s="42" t="str">
        <f>'MODU 2025'!AE7</f>
        <v>S26</v>
      </c>
      <c r="EG4" s="42" t="str">
        <f>'MODU 2025'!AF7</f>
        <v>S27</v>
      </c>
      <c r="EH4" s="42" t="str">
        <f>'MODU 2025'!AG7</f>
        <v>S28</v>
      </c>
      <c r="EI4" s="42" t="str">
        <f>'MODU 2025'!AH7</f>
        <v>S29</v>
      </c>
      <c r="EJ4" s="42" t="str">
        <f>'MODU 2025'!AI7</f>
        <v>S30</v>
      </c>
      <c r="EK4" s="42" t="str">
        <f>'MODU 2025'!AJ7</f>
        <v>S31</v>
      </c>
      <c r="EL4" s="42" t="str">
        <f>'MODU 2025'!AK7</f>
        <v>S32</v>
      </c>
      <c r="EM4" s="42" t="str">
        <f>'MODU 2025'!AL7</f>
        <v>S33</v>
      </c>
      <c r="EN4" s="42" t="str">
        <f>'MODU 2025'!AM7</f>
        <v>S34</v>
      </c>
      <c r="EO4" s="42" t="str">
        <f>'MODU 2025'!AN7</f>
        <v>S35</v>
      </c>
      <c r="EP4" s="42" t="str">
        <f>'MODU 2025'!AO7</f>
        <v>S36</v>
      </c>
      <c r="EQ4" s="42" t="str">
        <f>'MODU 2025'!AP7</f>
        <v>S37</v>
      </c>
      <c r="ER4" s="42" t="str">
        <f>'MODU 2025'!AQ7</f>
        <v>S38</v>
      </c>
      <c r="ES4" s="42" t="str">
        <f>'MODU 2025'!AR7</f>
        <v>S39</v>
      </c>
      <c r="ET4" s="42" t="str">
        <f>'MODU 2025'!AS7</f>
        <v>S40</v>
      </c>
      <c r="EU4" s="42" t="str">
        <f>'MODU 2025'!AT7</f>
        <v>S41</v>
      </c>
      <c r="EV4" s="42" t="str">
        <f>'MODU 2025'!AU7</f>
        <v>S42</v>
      </c>
      <c r="EW4" s="42" t="str">
        <f>'MODU 2025'!AV7</f>
        <v>S43</v>
      </c>
      <c r="EX4" s="42" t="str">
        <f>'MODU 2025'!AW7</f>
        <v>S44</v>
      </c>
      <c r="EY4" s="42" t="str">
        <f>'MODU 2025'!AX7</f>
        <v>S45</v>
      </c>
      <c r="EZ4" s="42" t="str">
        <f>'MODU 2025'!AY7</f>
        <v>S46</v>
      </c>
      <c r="FA4" s="42" t="str">
        <f>'MODU 2025'!AZ7</f>
        <v>S47</v>
      </c>
      <c r="FB4" s="42" t="str">
        <f>'MODU 2025'!BA7</f>
        <v>S48</v>
      </c>
      <c r="FC4" s="42" t="str">
        <f>'MODU 2025'!BB7</f>
        <v>S49</v>
      </c>
      <c r="FD4" s="42" t="str">
        <f>'MODU 2025'!BC7</f>
        <v>S50</v>
      </c>
      <c r="FE4" s="42" t="str">
        <f>'MODU 2025'!BD7</f>
        <v>S51</v>
      </c>
      <c r="FF4" s="42" t="str">
        <f>'MODU 2025'!BE7</f>
        <v>S52</v>
      </c>
      <c r="FG4" s="42" t="str">
        <f>'MODU 2025'!BF7</f>
        <v>S52+1</v>
      </c>
      <c r="FH4" s="42" t="s">
        <v>136</v>
      </c>
      <c r="FI4" s="35"/>
      <c r="FJ4" s="139" t="str">
        <f>'MODU 2025'!G7</f>
        <v>S2</v>
      </c>
      <c r="FK4" s="42" t="str">
        <f>'MODU 2025'!H7</f>
        <v>S3</v>
      </c>
      <c r="FL4" s="42" t="str">
        <f>'MODU 2025'!I7</f>
        <v>S4</v>
      </c>
      <c r="FM4" s="42" t="str">
        <f>'MODU 2025'!J7</f>
        <v>S5</v>
      </c>
      <c r="FN4" s="42" t="str">
        <f>'MODU 2025'!K7</f>
        <v>S6</v>
      </c>
      <c r="FO4" s="42" t="str">
        <f>'MODU 2025'!L7</f>
        <v>S7</v>
      </c>
      <c r="FP4" s="42" t="str">
        <f>'MODU 2025'!M7</f>
        <v>S8</v>
      </c>
      <c r="FQ4" s="42" t="str">
        <f>'MODU 2025'!N7</f>
        <v>S9</v>
      </c>
      <c r="FR4" s="42" t="str">
        <f>'MODU 2025'!O7</f>
        <v>S10</v>
      </c>
      <c r="FS4" s="42" t="str">
        <f>'MODU 2025'!P7</f>
        <v>S11</v>
      </c>
      <c r="FT4" s="42" t="str">
        <f>'MODU 2025'!Q7</f>
        <v>S12</v>
      </c>
      <c r="FU4" s="42" t="str">
        <f>'MODU 2025'!R7</f>
        <v>S13</v>
      </c>
      <c r="FV4" s="42" t="str">
        <f>'MODU 2025'!S7</f>
        <v>S14</v>
      </c>
      <c r="FW4" s="42" t="str">
        <f>'MODU 2025'!T7</f>
        <v>S15</v>
      </c>
      <c r="FX4" s="42" t="str">
        <f>'MODU 2025'!U7</f>
        <v>S16</v>
      </c>
      <c r="FY4" s="42" t="str">
        <f>'MODU 2025'!V7</f>
        <v>S17</v>
      </c>
      <c r="FZ4" s="42" t="str">
        <f>'MODU 2025'!W7</f>
        <v>S18</v>
      </c>
      <c r="GA4" s="42" t="str">
        <f>'MODU 2025'!X7</f>
        <v>S19</v>
      </c>
      <c r="GB4" s="42" t="str">
        <f>'MODU 2025'!Y7</f>
        <v>S20</v>
      </c>
      <c r="GC4" s="42" t="str">
        <f>'MODU 2025'!Z7</f>
        <v>S21</v>
      </c>
      <c r="GD4" s="42" t="str">
        <f>'MODU 2025'!AA7</f>
        <v>S22</v>
      </c>
      <c r="GE4" s="42" t="str">
        <f>'MODU 2025'!AB7</f>
        <v>S23</v>
      </c>
      <c r="GF4" s="42" t="str">
        <f>'MODU 2025'!AC7</f>
        <v>S24</v>
      </c>
      <c r="GG4" s="42" t="str">
        <f>'MODU 2025'!AD7</f>
        <v>S25</v>
      </c>
      <c r="GH4" s="42" t="str">
        <f>'MODU 2025'!AE7</f>
        <v>S26</v>
      </c>
      <c r="GI4" s="42" t="str">
        <f>'MODU 2025'!AF7</f>
        <v>S27</v>
      </c>
      <c r="GJ4" s="42" t="str">
        <f>'MODU 2025'!AG7</f>
        <v>S28</v>
      </c>
      <c r="GK4" s="42" t="str">
        <f>'MODU 2025'!AH7</f>
        <v>S29</v>
      </c>
      <c r="GL4" s="42" t="str">
        <f>'MODU 2025'!AI7</f>
        <v>S30</v>
      </c>
      <c r="GM4" s="42" t="str">
        <f>'MODU 2025'!AJ7</f>
        <v>S31</v>
      </c>
      <c r="GN4" s="42" t="str">
        <f>'MODU 2025'!AK7</f>
        <v>S32</v>
      </c>
      <c r="GO4" s="42" t="str">
        <f>'MODU 2025'!AL7</f>
        <v>S33</v>
      </c>
      <c r="GP4" s="42" t="str">
        <f>'MODU 2025'!AM7</f>
        <v>S34</v>
      </c>
      <c r="GQ4" s="42" t="str">
        <f>'MODU 2025'!AN7</f>
        <v>S35</v>
      </c>
      <c r="GR4" s="42" t="str">
        <f>'MODU 2025'!AO7</f>
        <v>S36</v>
      </c>
      <c r="GS4" s="42" t="str">
        <f>'MODU 2025'!AP7</f>
        <v>S37</v>
      </c>
      <c r="GT4" s="42" t="str">
        <f>'MODU 2025'!AQ7</f>
        <v>S38</v>
      </c>
      <c r="GU4" s="42" t="str">
        <f>'MODU 2025'!AR7</f>
        <v>S39</v>
      </c>
      <c r="GV4" s="42" t="str">
        <f>'MODU 2025'!AS7</f>
        <v>S40</v>
      </c>
      <c r="GW4" s="42" t="str">
        <f>'MODU 2025'!AT7</f>
        <v>S41</v>
      </c>
      <c r="GX4" s="42" t="str">
        <f>'MODU 2025'!AU7</f>
        <v>S42</v>
      </c>
      <c r="GY4" s="42" t="str">
        <f>'MODU 2025'!AV7</f>
        <v>S43</v>
      </c>
      <c r="GZ4" s="42" t="str">
        <f>'MODU 2025'!AW7</f>
        <v>S44</v>
      </c>
      <c r="HA4" s="42" t="str">
        <f>'MODU 2025'!AX7</f>
        <v>S45</v>
      </c>
      <c r="HB4" s="42" t="str">
        <f>'MODU 2025'!AY7</f>
        <v>S46</v>
      </c>
      <c r="HC4" s="42" t="str">
        <f>'MODU 2025'!AZ7</f>
        <v>S47</v>
      </c>
      <c r="HD4" s="42" t="str">
        <f>'MODU 2025'!BA7</f>
        <v>S48</v>
      </c>
      <c r="HE4" s="42" t="str">
        <f>'MODU 2025'!BB7</f>
        <v>S49</v>
      </c>
      <c r="HF4" s="42" t="str">
        <f>'MODU 2025'!BC7</f>
        <v>S50</v>
      </c>
      <c r="HG4" s="42" t="str">
        <f>'MODU 2025'!BD7</f>
        <v>S51</v>
      </c>
      <c r="HH4" s="42" t="str">
        <f>'MODU 2025'!BE7</f>
        <v>S52</v>
      </c>
      <c r="HI4" s="42" t="str">
        <f>'MODU 2025'!BF7</f>
        <v>S52+1</v>
      </c>
      <c r="HJ4" s="42" t="s">
        <v>136</v>
      </c>
      <c r="HK4" s="42"/>
      <c r="HL4" s="139" t="str">
        <f>'MODU 2025'!G7</f>
        <v>S2</v>
      </c>
      <c r="HM4" s="42" t="str">
        <f>'MODU 2025'!H7</f>
        <v>S3</v>
      </c>
      <c r="HN4" s="42" t="str">
        <f>'MODU 2025'!I7</f>
        <v>S4</v>
      </c>
      <c r="HO4" s="42" t="str">
        <f>'MODU 2025'!J7</f>
        <v>S5</v>
      </c>
      <c r="HP4" s="42" t="str">
        <f>'MODU 2025'!K7</f>
        <v>S6</v>
      </c>
      <c r="HQ4" s="42" t="str">
        <f>'MODU 2025'!L7</f>
        <v>S7</v>
      </c>
      <c r="HR4" s="42" t="str">
        <f>'MODU 2025'!M7</f>
        <v>S8</v>
      </c>
      <c r="HS4" s="42" t="str">
        <f>'MODU 2025'!N7</f>
        <v>S9</v>
      </c>
      <c r="HT4" s="42" t="str">
        <f>'MODU 2025'!O7</f>
        <v>S10</v>
      </c>
      <c r="HU4" s="42" t="str">
        <f>'MODU 2025'!P7</f>
        <v>S11</v>
      </c>
      <c r="HV4" s="42" t="str">
        <f>'MODU 2025'!Q7</f>
        <v>S12</v>
      </c>
      <c r="HW4" s="42" t="str">
        <f>'MODU 2025'!R7</f>
        <v>S13</v>
      </c>
      <c r="HX4" s="42" t="str">
        <f>'MODU 2025'!S7</f>
        <v>S14</v>
      </c>
      <c r="HY4" s="42" t="str">
        <f>'MODU 2025'!T7</f>
        <v>S15</v>
      </c>
      <c r="HZ4" s="42" t="str">
        <f>'MODU 2025'!U7</f>
        <v>S16</v>
      </c>
      <c r="IA4" s="42" t="str">
        <f>'MODU 2025'!V7</f>
        <v>S17</v>
      </c>
      <c r="IB4" s="42" t="str">
        <f>'MODU 2025'!W7</f>
        <v>S18</v>
      </c>
      <c r="IC4" s="42" t="str">
        <f>'MODU 2025'!X7</f>
        <v>S19</v>
      </c>
      <c r="ID4" s="42" t="str">
        <f>'MODU 2025'!Y7</f>
        <v>S20</v>
      </c>
      <c r="IE4" s="42" t="str">
        <f>'MODU 2025'!Z7</f>
        <v>S21</v>
      </c>
      <c r="IF4" s="42" t="str">
        <f>'MODU 2025'!AA7</f>
        <v>S22</v>
      </c>
      <c r="IG4" s="42" t="str">
        <f>'MODU 2025'!AB7</f>
        <v>S23</v>
      </c>
      <c r="IH4" s="42" t="str">
        <f>'MODU 2025'!AC7</f>
        <v>S24</v>
      </c>
      <c r="II4" s="42" t="str">
        <f>'MODU 2025'!AD7</f>
        <v>S25</v>
      </c>
      <c r="IJ4" s="42" t="str">
        <f>'MODU 2025'!AE7</f>
        <v>S26</v>
      </c>
      <c r="IK4" s="42" t="str">
        <f>'MODU 2025'!AF7</f>
        <v>S27</v>
      </c>
      <c r="IL4" s="42" t="str">
        <f>'MODU 2025'!AG7</f>
        <v>S28</v>
      </c>
      <c r="IM4" s="42" t="str">
        <f>'MODU 2025'!AH7</f>
        <v>S29</v>
      </c>
      <c r="IN4" s="42" t="str">
        <f>'MODU 2025'!AI7</f>
        <v>S30</v>
      </c>
      <c r="IO4" s="42" t="str">
        <f>'MODU 2025'!AJ7</f>
        <v>S31</v>
      </c>
      <c r="IP4" s="42" t="str">
        <f>'MODU 2025'!AK7</f>
        <v>S32</v>
      </c>
      <c r="IQ4" s="42" t="str">
        <f>'MODU 2025'!AL7</f>
        <v>S33</v>
      </c>
      <c r="IR4" s="42" t="str">
        <f>'MODU 2025'!AM7</f>
        <v>S34</v>
      </c>
      <c r="IS4" s="42" t="str">
        <f>'MODU 2025'!AN7</f>
        <v>S35</v>
      </c>
      <c r="IT4" s="42" t="str">
        <f>'MODU 2025'!AO7</f>
        <v>S36</v>
      </c>
      <c r="IU4" s="42" t="str">
        <f>'MODU 2025'!AP7</f>
        <v>S37</v>
      </c>
      <c r="IV4" s="42" t="str">
        <f>'MODU 2025'!AQ7</f>
        <v>S38</v>
      </c>
      <c r="IW4" s="42" t="str">
        <f>'MODU 2025'!AR7</f>
        <v>S39</v>
      </c>
      <c r="IX4" s="42" t="str">
        <f>'MODU 2025'!AS7</f>
        <v>S40</v>
      </c>
      <c r="IY4" s="42" t="str">
        <f>'MODU 2025'!AT7</f>
        <v>S41</v>
      </c>
      <c r="IZ4" s="42" t="str">
        <f>'MODU 2025'!AU7</f>
        <v>S42</v>
      </c>
      <c r="JA4" s="42" t="str">
        <f>'MODU 2025'!AV7</f>
        <v>S43</v>
      </c>
      <c r="JB4" s="42" t="str">
        <f>'MODU 2025'!AW7</f>
        <v>S44</v>
      </c>
      <c r="JC4" s="42" t="str">
        <f>'MODU 2025'!AX7</f>
        <v>S45</v>
      </c>
      <c r="JD4" s="42" t="str">
        <f>'MODU 2025'!AY7</f>
        <v>S46</v>
      </c>
      <c r="JE4" s="42" t="str">
        <f>'MODU 2025'!AZ7</f>
        <v>S47</v>
      </c>
      <c r="JF4" s="42" t="str">
        <f>'MODU 2025'!BA7</f>
        <v>S48</v>
      </c>
      <c r="JG4" s="42" t="str">
        <f>'MODU 2025'!BB7</f>
        <v>S49</v>
      </c>
      <c r="JH4" s="42" t="str">
        <f>'MODU 2025'!BC7</f>
        <v>S50</v>
      </c>
      <c r="JI4" s="42" t="str">
        <f>'MODU 2025'!BD7</f>
        <v>S51</v>
      </c>
      <c r="JJ4" s="42" t="str">
        <f>'MODU 2025'!BE7</f>
        <v>S52</v>
      </c>
      <c r="JK4" s="42" t="str">
        <f>'MODU 2025'!BF7</f>
        <v>S52+1</v>
      </c>
      <c r="JL4" s="85" t="s">
        <v>136</v>
      </c>
      <c r="JN4" s="42"/>
      <c r="JO4" s="36">
        <f>FJ3</f>
        <v>1.25</v>
      </c>
      <c r="JP4" s="159">
        <f>HL3</f>
        <v>1.5</v>
      </c>
      <c r="JQ4" s="158" t="s">
        <v>139</v>
      </c>
      <c r="JR4" s="85"/>
      <c r="JS4" s="158" t="s">
        <v>143</v>
      </c>
      <c r="JU4" s="158" t="s">
        <v>140</v>
      </c>
    </row>
    <row r="5" spans="2:281" x14ac:dyDescent="0.15">
      <c r="B5" s="82" t="str">
        <f>'MODU 2025'!B8</f>
        <v>ABDELADIM Adem</v>
      </c>
      <c r="C5" s="82" t="str">
        <f>'MODU 2025'!C8</f>
        <v>Production</v>
      </c>
      <c r="D5" s="82">
        <f>'MODU 2025'!D8</f>
        <v>37</v>
      </c>
      <c r="E5" s="82"/>
      <c r="F5" s="130">
        <f>'MODU 2025'!G8</f>
        <v>37</v>
      </c>
      <c r="G5" s="131">
        <f>'MODU 2025'!H8</f>
        <v>37</v>
      </c>
      <c r="H5" s="131">
        <f>'MODU 2025'!I8</f>
        <v>37</v>
      </c>
      <c r="I5" s="131">
        <f>'MODU 2025'!J8</f>
        <v>37</v>
      </c>
      <c r="J5" s="131">
        <f>'MODU 2025'!K8</f>
        <v>37</v>
      </c>
      <c r="K5" s="131">
        <f>'MODU 2025'!L8</f>
        <v>41</v>
      </c>
      <c r="L5" s="131">
        <f>'MODU 2025'!M8</f>
        <v>33</v>
      </c>
      <c r="M5" s="131">
        <f>'MODU 2025'!N8</f>
        <v>41</v>
      </c>
      <c r="N5" s="131">
        <f>'MODU 2025'!O8</f>
        <v>33</v>
      </c>
      <c r="O5" s="131">
        <f>'MODU 2025'!P8</f>
        <v>41</v>
      </c>
      <c r="P5" s="131">
        <f>'MODU 2025'!Q8</f>
        <v>33</v>
      </c>
      <c r="Q5" s="131">
        <f>'MODU 2025'!R8</f>
        <v>41</v>
      </c>
      <c r="R5" s="131">
        <f>'MODU 2025'!S8</f>
        <v>33</v>
      </c>
      <c r="S5" s="131">
        <f>'MODU 2025'!T8</f>
        <v>41</v>
      </c>
      <c r="T5" s="131">
        <f>'MODU 2025'!U8</f>
        <v>33</v>
      </c>
      <c r="U5" s="131">
        <f>'MODU 2025'!V8</f>
        <v>41</v>
      </c>
      <c r="V5" s="131">
        <f>'MODU 2025'!W8</f>
        <v>33</v>
      </c>
      <c r="W5" s="131">
        <f>'MODU 2025'!X8</f>
        <v>41</v>
      </c>
      <c r="X5" s="131">
        <f>'MODU 2025'!Y8</f>
        <v>33</v>
      </c>
      <c r="Y5" s="131">
        <f>'MODU 2025'!Z8</f>
        <v>41</v>
      </c>
      <c r="Z5" s="131">
        <f>'MODU 2025'!AA8</f>
        <v>33</v>
      </c>
      <c r="AA5" s="131">
        <f>'MODU 2025'!AB8</f>
        <v>41</v>
      </c>
      <c r="AB5" s="131">
        <f>'MODU 2025'!AC8</f>
        <v>33</v>
      </c>
      <c r="AC5" s="131">
        <f>'MODU 2025'!AD8</f>
        <v>41</v>
      </c>
      <c r="AD5" s="131">
        <f>'MODU 2025'!AE8</f>
        <v>33</v>
      </c>
      <c r="AE5" s="131">
        <f>'MODU 2025'!AF8</f>
        <v>41</v>
      </c>
      <c r="AF5" s="131">
        <f>'MODU 2025'!AG8</f>
        <v>33</v>
      </c>
      <c r="AG5" s="131">
        <f>'MODU 2025'!AH8</f>
        <v>41</v>
      </c>
      <c r="AH5" s="131">
        <f>'MODU 2025'!AI8</f>
        <v>33</v>
      </c>
      <c r="AI5" s="131">
        <f>'MODU 2025'!AJ8</f>
        <v>41</v>
      </c>
      <c r="AJ5" s="131">
        <f>'MODU 2025'!AK8</f>
        <v>33</v>
      </c>
      <c r="AK5" s="131">
        <f>'MODU 2025'!AL8</f>
        <v>41</v>
      </c>
      <c r="AL5" s="131">
        <f>'MODU 2025'!AM8</f>
        <v>33</v>
      </c>
      <c r="AM5" s="131">
        <f>'MODU 2025'!AN8</f>
        <v>41</v>
      </c>
      <c r="AN5" s="131">
        <f>'MODU 2025'!AO8</f>
        <v>33</v>
      </c>
      <c r="AO5" s="131">
        <f>'MODU 2025'!AP8</f>
        <v>41</v>
      </c>
      <c r="AP5" s="131">
        <f>'MODU 2025'!AQ8</f>
        <v>33</v>
      </c>
      <c r="AQ5" s="131">
        <f>'MODU 2025'!AR8</f>
        <v>41</v>
      </c>
      <c r="AR5" s="131">
        <f>'MODU 2025'!AS8</f>
        <v>33</v>
      </c>
      <c r="AS5" s="131">
        <f>'MODU 2025'!AT8</f>
        <v>41</v>
      </c>
      <c r="AT5" s="131">
        <f>'MODU 2025'!AU8</f>
        <v>33</v>
      </c>
      <c r="AU5" s="131">
        <f>'MODU 2025'!AV8</f>
        <v>41</v>
      </c>
      <c r="AV5" s="131">
        <f>'MODU 2025'!AW8</f>
        <v>33</v>
      </c>
      <c r="AW5" s="131">
        <f>'MODU 2025'!AX8</f>
        <v>41</v>
      </c>
      <c r="AX5" s="131">
        <f>'MODU 2025'!AY8</f>
        <v>33</v>
      </c>
      <c r="AY5" s="131">
        <f>'MODU 2025'!AZ8</f>
        <v>41</v>
      </c>
      <c r="AZ5" s="131">
        <f>'MODU 2025'!BA8</f>
        <v>33</v>
      </c>
      <c r="BA5" s="131">
        <f>'MODU 2025'!BB8</f>
        <v>41</v>
      </c>
      <c r="BB5" s="131">
        <f>'MODU 2025'!BC8</f>
        <v>33</v>
      </c>
      <c r="BC5" s="131">
        <f>'MODU 2025'!BD8</f>
        <v>41</v>
      </c>
      <c r="BD5" s="131">
        <f>'MODU 2025'!BE8</f>
        <v>33</v>
      </c>
      <c r="BE5" s="132">
        <f>'MODU 2025'!BF8</f>
        <v>41</v>
      </c>
      <c r="BF5" s="82"/>
      <c r="BG5" s="142">
        <v>37</v>
      </c>
      <c r="BH5" s="143">
        <v>37</v>
      </c>
      <c r="BI5" s="143">
        <v>37</v>
      </c>
      <c r="BJ5" s="143">
        <v>37</v>
      </c>
      <c r="BK5" s="143">
        <v>37</v>
      </c>
      <c r="BL5" s="143">
        <v>33</v>
      </c>
      <c r="BM5" s="143">
        <v>41</v>
      </c>
      <c r="BN5" s="143">
        <v>33</v>
      </c>
      <c r="BO5" s="143">
        <v>41</v>
      </c>
      <c r="BP5" s="143">
        <v>33</v>
      </c>
      <c r="BQ5" s="143">
        <v>41</v>
      </c>
      <c r="BR5" s="143">
        <v>33</v>
      </c>
      <c r="BS5" s="143">
        <v>41</v>
      </c>
      <c r="BT5" s="143">
        <v>33</v>
      </c>
      <c r="BU5" s="143">
        <v>41</v>
      </c>
      <c r="BV5" s="143">
        <v>33</v>
      </c>
      <c r="BW5" s="143">
        <v>41</v>
      </c>
      <c r="BX5" s="143">
        <v>33</v>
      </c>
      <c r="BY5" s="143">
        <v>41</v>
      </c>
      <c r="BZ5" s="143">
        <v>33</v>
      </c>
      <c r="CA5" s="143">
        <v>41</v>
      </c>
      <c r="CB5" s="143">
        <v>33</v>
      </c>
      <c r="CC5" s="143">
        <v>41</v>
      </c>
      <c r="CD5" s="143">
        <v>33</v>
      </c>
      <c r="CE5" s="143">
        <v>41</v>
      </c>
      <c r="CF5" s="143">
        <v>33</v>
      </c>
      <c r="CG5" s="143">
        <v>41</v>
      </c>
      <c r="CH5" s="143">
        <v>33</v>
      </c>
      <c r="CI5" s="143">
        <v>41</v>
      </c>
      <c r="CJ5" s="143">
        <v>33</v>
      </c>
      <c r="CK5" s="143">
        <v>41</v>
      </c>
      <c r="CL5" s="143">
        <v>33</v>
      </c>
      <c r="CM5" s="143">
        <v>41</v>
      </c>
      <c r="CN5" s="143">
        <v>33</v>
      </c>
      <c r="CO5" s="143">
        <v>41</v>
      </c>
      <c r="CP5" s="143">
        <v>33</v>
      </c>
      <c r="CQ5" s="143">
        <v>41</v>
      </c>
      <c r="CR5" s="143">
        <v>33</v>
      </c>
      <c r="CS5" s="143">
        <v>41</v>
      </c>
      <c r="CT5" s="143">
        <v>33</v>
      </c>
      <c r="CU5" s="143">
        <v>41</v>
      </c>
      <c r="CV5" s="143">
        <v>33</v>
      </c>
      <c r="CW5" s="143">
        <v>41</v>
      </c>
      <c r="CX5" s="143">
        <v>33</v>
      </c>
      <c r="CY5" s="143">
        <v>41</v>
      </c>
      <c r="CZ5" s="143">
        <v>33</v>
      </c>
      <c r="DA5" s="143">
        <v>41</v>
      </c>
      <c r="DB5" s="143">
        <v>33</v>
      </c>
      <c r="DC5" s="143">
        <v>41</v>
      </c>
      <c r="DD5" s="143">
        <v>33</v>
      </c>
      <c r="DE5" s="143">
        <v>41</v>
      </c>
      <c r="DF5" s="144">
        <v>33</v>
      </c>
      <c r="DG5" s="84"/>
      <c r="DH5" s="109">
        <f>IF(
$C5="Production",
IF(MOD(COLUMN(),2)=$DH$3,SUM(E5:F5)-SUM(BF5:BG5),0),
F5-BG5)</f>
        <v>0</v>
      </c>
      <c r="DI5" s="110">
        <f t="shared" ref="DI5:FG5" si="0">IF(
$C5="Production",
IF(MOD(COLUMN(),2)=$DH$3,SUM(F5:G5)-SUM(BG5:BH5),0),
G5-BH5)</f>
        <v>0</v>
      </c>
      <c r="DJ5" s="110">
        <f t="shared" si="0"/>
        <v>0</v>
      </c>
      <c r="DK5" s="110">
        <f t="shared" si="0"/>
        <v>0</v>
      </c>
      <c r="DL5" s="110">
        <f t="shared" si="0"/>
        <v>0</v>
      </c>
      <c r="DM5" s="110">
        <f t="shared" si="0"/>
        <v>8</v>
      </c>
      <c r="DN5" s="110">
        <f t="shared" si="0"/>
        <v>0</v>
      </c>
      <c r="DO5" s="110">
        <f t="shared" si="0"/>
        <v>0</v>
      </c>
      <c r="DP5" s="110">
        <f t="shared" si="0"/>
        <v>0</v>
      </c>
      <c r="DQ5" s="110">
        <f t="shared" si="0"/>
        <v>0</v>
      </c>
      <c r="DR5" s="110">
        <f t="shared" si="0"/>
        <v>0</v>
      </c>
      <c r="DS5" s="110">
        <f t="shared" si="0"/>
        <v>0</v>
      </c>
      <c r="DT5" s="110">
        <f t="shared" si="0"/>
        <v>0</v>
      </c>
      <c r="DU5" s="110">
        <f t="shared" si="0"/>
        <v>0</v>
      </c>
      <c r="DV5" s="110">
        <f t="shared" si="0"/>
        <v>0</v>
      </c>
      <c r="DW5" s="110">
        <f t="shared" si="0"/>
        <v>0</v>
      </c>
      <c r="DX5" s="110">
        <f t="shared" si="0"/>
        <v>0</v>
      </c>
      <c r="DY5" s="110">
        <f t="shared" si="0"/>
        <v>0</v>
      </c>
      <c r="DZ5" s="110">
        <f t="shared" si="0"/>
        <v>0</v>
      </c>
      <c r="EA5" s="110">
        <f t="shared" si="0"/>
        <v>0</v>
      </c>
      <c r="EB5" s="110">
        <f t="shared" si="0"/>
        <v>0</v>
      </c>
      <c r="EC5" s="110">
        <f t="shared" si="0"/>
        <v>0</v>
      </c>
      <c r="ED5" s="110">
        <f t="shared" si="0"/>
        <v>0</v>
      </c>
      <c r="EE5" s="110">
        <f t="shared" si="0"/>
        <v>0</v>
      </c>
      <c r="EF5" s="110">
        <f t="shared" si="0"/>
        <v>0</v>
      </c>
      <c r="EG5" s="110">
        <f t="shared" si="0"/>
        <v>0</v>
      </c>
      <c r="EH5" s="110">
        <f t="shared" si="0"/>
        <v>0</v>
      </c>
      <c r="EI5" s="110">
        <f t="shared" si="0"/>
        <v>0</v>
      </c>
      <c r="EJ5" s="110">
        <f t="shared" si="0"/>
        <v>0</v>
      </c>
      <c r="EK5" s="110">
        <f t="shared" si="0"/>
        <v>0</v>
      </c>
      <c r="EL5" s="110">
        <f t="shared" si="0"/>
        <v>0</v>
      </c>
      <c r="EM5" s="110">
        <f t="shared" si="0"/>
        <v>0</v>
      </c>
      <c r="EN5" s="110">
        <f t="shared" si="0"/>
        <v>0</v>
      </c>
      <c r="EO5" s="110">
        <f t="shared" si="0"/>
        <v>0</v>
      </c>
      <c r="EP5" s="110">
        <f t="shared" si="0"/>
        <v>0</v>
      </c>
      <c r="EQ5" s="110">
        <f t="shared" si="0"/>
        <v>0</v>
      </c>
      <c r="ER5" s="110">
        <f t="shared" si="0"/>
        <v>0</v>
      </c>
      <c r="ES5" s="110">
        <f t="shared" si="0"/>
        <v>0</v>
      </c>
      <c r="ET5" s="110">
        <f t="shared" si="0"/>
        <v>0</v>
      </c>
      <c r="EU5" s="110">
        <f t="shared" si="0"/>
        <v>0</v>
      </c>
      <c r="EV5" s="110">
        <f t="shared" si="0"/>
        <v>0</v>
      </c>
      <c r="EW5" s="110">
        <f t="shared" si="0"/>
        <v>0</v>
      </c>
      <c r="EX5" s="110">
        <f t="shared" si="0"/>
        <v>0</v>
      </c>
      <c r="EY5" s="110">
        <f t="shared" si="0"/>
        <v>0</v>
      </c>
      <c r="EZ5" s="110">
        <f t="shared" si="0"/>
        <v>0</v>
      </c>
      <c r="FA5" s="110">
        <f t="shared" si="0"/>
        <v>0</v>
      </c>
      <c r="FB5" s="110">
        <f t="shared" si="0"/>
        <v>0</v>
      </c>
      <c r="FC5" s="110">
        <f t="shared" si="0"/>
        <v>0</v>
      </c>
      <c r="FD5" s="110">
        <f t="shared" si="0"/>
        <v>0</v>
      </c>
      <c r="FE5" s="110">
        <f t="shared" si="0"/>
        <v>0</v>
      </c>
      <c r="FF5" s="110">
        <f t="shared" si="0"/>
        <v>0</v>
      </c>
      <c r="FG5" s="111">
        <f t="shared" si="0"/>
        <v>0</v>
      </c>
      <c r="FH5" s="111">
        <f>SUM(DH5:FG5)</f>
        <v>8</v>
      </c>
      <c r="FI5" s="80"/>
      <c r="FJ5" s="149" cm="1">
        <f t="array" ref="FJ5">IF($C5="Production",
IFERROR(_xlfn.IFS(AND(DH5&gt;0,DH5+SUM(BF5:BG5)&lt;=$FM$3),DH5,AND(DH5&gt;0,DH5+SUM(BF5:BG5)&gt;$FM$3),$FM$3-SUM(BF5:BG5)),0),
IFERROR(_xlfn.IFS(AND(DH5&gt;0,DH5+BG5&lt;=$FK$3),DH5,AND(DH5&gt;0,DH5+BG5&gt;$FK$3),0),0)
)</f>
        <v>0</v>
      </c>
      <c r="FK5" s="150" cm="1">
        <f t="array" ref="FK5">IF($C5="Production",
IFERROR(_xlfn.IFS(AND(DI5&gt;0,DI5+SUM(BG5:BH5)&lt;=$FM$3),DI5,AND(DI5&gt;0,DI5+SUM(BG5:BH5)&gt;$FM$3),$FM$3-SUM(BG5:BH5)),0),
IFERROR(_xlfn.IFS(AND(DI5&gt;0,DI5+BH5&lt;=$FK$3),DI5,AND(DI5&gt;0,DI5+BH5&gt;$FK$3),0),0)
)</f>
        <v>0</v>
      </c>
      <c r="FL5" s="150" cm="1">
        <f t="array" ref="FL5">IF($C5="Production",
IFERROR(_xlfn.IFS(AND(DJ5&gt;0,DJ5+SUM(BH5:BI5)&lt;=$FM$3),DJ5,AND(DJ5&gt;0,DJ5+SUM(BH5:BI5)&gt;$FM$3),$FM$3-SUM(BH5:BI5)),0),
IFERROR(_xlfn.IFS(AND(DJ5&gt;0,DJ5+BI5&lt;=$FK$3),DJ5,AND(DJ5&gt;0,DJ5+BI5&gt;$FK$3),0),0)
)</f>
        <v>0</v>
      </c>
      <c r="FM5" s="150" cm="1">
        <f t="array" ref="FM5">IF($C5="Production",
IFERROR(_xlfn.IFS(AND(DK5&gt;0,DK5+SUM(BI5:BJ5)&lt;=$FM$3),DK5,AND(DK5&gt;0,DK5+SUM(BI5:BJ5)&gt;$FM$3),$FM$3-SUM(BI5:BJ5)),0),
IFERROR(_xlfn.IFS(AND(DK5&gt;0,DK5+BJ5&lt;=$FK$3),DK5,AND(DK5&gt;0,DK5+BJ5&gt;$FK$3),0),0)
)</f>
        <v>0</v>
      </c>
      <c r="FN5" s="150" cm="1">
        <f t="array" ref="FN5">IF($C5="Production",
IFERROR(_xlfn.IFS(AND(DL5&gt;0,DL5+SUM(BJ5:BK5)&lt;=$FM$3),DL5,AND(DL5&gt;0,DL5+SUM(BJ5:BK5)&gt;$FM$3),$FM$3-SUM(BJ5:BK5)),0),
IFERROR(_xlfn.IFS(AND(DL5&gt;0,DL5+BK5&lt;=$FK$3),DL5,AND(DL5&gt;0,DL5+BK5&gt;$FK$3),0),0)
)</f>
        <v>0</v>
      </c>
      <c r="FO5" s="150" cm="1">
        <f t="array" ref="FO5">IF($C5="Production",
IFERROR(_xlfn.IFS(AND(DM5&gt;0,DM5+SUM(BK5:BL5)&lt;=$FM$3),DM5,AND(DM5&gt;0,DM5+SUM(BK5:BL5)&gt;$FM$3),$FM$3-SUM(BK5:BL5)),0),
IFERROR(_xlfn.IFS(AND(DM5&gt;0,DM5+BL5&lt;=$FK$3),DM5,AND(DM5&gt;0,DM5+BL5&gt;$FK$3),0),0)
)</f>
        <v>8</v>
      </c>
      <c r="FP5" s="150" cm="1">
        <f t="array" ref="FP5">IF($C5="Production",
IFERROR(_xlfn.IFS(AND(DN5&gt;0,DN5+SUM(BL5:BM5)&lt;=$FM$3),DN5,AND(DN5&gt;0,DN5+SUM(BL5:BM5)&gt;$FM$3),$FM$3-SUM(BL5:BM5)),0),
IFERROR(_xlfn.IFS(AND(DN5&gt;0,DN5+BM5&lt;=$FK$3),DN5,AND(DN5&gt;0,DN5+BM5&gt;$FK$3),0),0)
)</f>
        <v>0</v>
      </c>
      <c r="FQ5" s="150" cm="1">
        <f t="array" ref="FQ5">IF($C5="Production",
IFERROR(_xlfn.IFS(AND(DO5&gt;0,DO5+SUM(BM5:BN5)&lt;=$FM$3),DO5,AND(DO5&gt;0,DO5+SUM(BM5:BN5)&gt;$FM$3),$FM$3-SUM(BM5:BN5)),0),
IFERROR(_xlfn.IFS(AND(DO5&gt;0,DO5+BN5&lt;=$FK$3),DO5,AND(DO5&gt;0,DO5+BN5&gt;$FK$3),0),0)
)</f>
        <v>0</v>
      </c>
      <c r="FR5" s="150" cm="1">
        <f t="array" ref="FR5">IF($C5="Production",
IFERROR(_xlfn.IFS(AND(DP5&gt;0,DP5+SUM(BN5:BO5)&lt;=$FM$3),DP5,AND(DP5&gt;0,DP5+SUM(BN5:BO5)&gt;$FM$3),$FM$3-SUM(BN5:BO5)),0),
IFERROR(_xlfn.IFS(AND(DP5&gt;0,DP5+BO5&lt;=$FK$3),DP5,AND(DP5&gt;0,DP5+BO5&gt;$FK$3),0),0)
)</f>
        <v>0</v>
      </c>
      <c r="FS5" s="150" cm="1">
        <f t="array" ref="FS5">IF($C5="Production",
IFERROR(_xlfn.IFS(AND(DQ5&gt;0,DQ5+SUM(BO5:BP5)&lt;=$FM$3),DQ5,AND(DQ5&gt;0,DQ5+SUM(BO5:BP5)&gt;$FM$3),$FM$3-SUM(BO5:BP5)),0),
IFERROR(_xlfn.IFS(AND(DQ5&gt;0,DQ5+BP5&lt;=$FK$3),DQ5,AND(DQ5&gt;0,DQ5+BP5&gt;$FK$3),0),0)
)</f>
        <v>0</v>
      </c>
      <c r="FT5" s="150" cm="1">
        <f t="array" ref="FT5">IF($C5="Production",
IFERROR(_xlfn.IFS(AND(DR5&gt;0,DR5+SUM(BP5:BQ5)&lt;=$FM$3),DR5,AND(DR5&gt;0,DR5+SUM(BP5:BQ5)&gt;$FM$3),$FM$3-SUM(BP5:BQ5)),0),
IFERROR(_xlfn.IFS(AND(DR5&gt;0,DR5+BQ5&lt;=$FK$3),DR5,AND(DR5&gt;0,DR5+BQ5&gt;$FK$3),0),0)
)</f>
        <v>0</v>
      </c>
      <c r="FU5" s="150" cm="1">
        <f t="array" ref="FU5">IF($C5="Production",
IFERROR(_xlfn.IFS(AND(DS5&gt;0,DS5+SUM(BQ5:BR5)&lt;=$FM$3),DS5,AND(DS5&gt;0,DS5+SUM(BQ5:BR5)&gt;$FM$3),$FM$3-SUM(BQ5:BR5)),0),
IFERROR(_xlfn.IFS(AND(DS5&gt;0,DS5+BR5&lt;=$FK$3),DS5,AND(DS5&gt;0,DS5+BR5&gt;$FK$3),0),0)
)</f>
        <v>0</v>
      </c>
      <c r="FV5" s="150" cm="1">
        <f t="array" ref="FV5">IF($C5="Production",
IFERROR(_xlfn.IFS(AND(DT5&gt;0,DT5+SUM(BR5:BS5)&lt;=$FM$3),DT5,AND(DT5&gt;0,DT5+SUM(BR5:BS5)&gt;$FM$3),$FM$3-SUM(BR5:BS5)),0),
IFERROR(_xlfn.IFS(AND(DT5&gt;0,DT5+BS5&lt;=$FK$3),DT5,AND(DT5&gt;0,DT5+BS5&gt;$FK$3),0),0)
)</f>
        <v>0</v>
      </c>
      <c r="FW5" s="150" cm="1">
        <f t="array" ref="FW5">IF($C5="Production",
IFERROR(_xlfn.IFS(AND(DU5&gt;0,DU5+SUM(BS5:BT5)&lt;=$FM$3),DU5,AND(DU5&gt;0,DU5+SUM(BS5:BT5)&gt;$FM$3),$FM$3-SUM(BS5:BT5)),0),
IFERROR(_xlfn.IFS(AND(DU5&gt;0,DU5+BT5&lt;=$FK$3),DU5,AND(DU5&gt;0,DU5+BT5&gt;$FK$3),0),0)
)</f>
        <v>0</v>
      </c>
      <c r="FX5" s="150" cm="1">
        <f t="array" ref="FX5">IF($C5="Production",
IFERROR(_xlfn.IFS(AND(DV5&gt;0,DV5+SUM(BT5:BU5)&lt;=$FM$3),DV5,AND(DV5&gt;0,DV5+SUM(BT5:BU5)&gt;$FM$3),$FM$3-SUM(BT5:BU5)),0),
IFERROR(_xlfn.IFS(AND(DV5&gt;0,DV5+BU5&lt;=$FK$3),DV5,AND(DV5&gt;0,DV5+BU5&gt;$FK$3),0),0)
)</f>
        <v>0</v>
      </c>
      <c r="FY5" s="150" cm="1">
        <f t="array" ref="FY5">IF($C5="Production",
IFERROR(_xlfn.IFS(AND(DW5&gt;0,DW5+SUM(BU5:BV5)&lt;=$FM$3),DW5,AND(DW5&gt;0,DW5+SUM(BU5:BV5)&gt;$FM$3),$FM$3-SUM(BU5:BV5)),0),
IFERROR(_xlfn.IFS(AND(DW5&gt;0,DW5+BV5&lt;=$FK$3),DW5,AND(DW5&gt;0,DW5+BV5&gt;$FK$3),0),0)
)</f>
        <v>0</v>
      </c>
      <c r="FZ5" s="150" cm="1">
        <f t="array" ref="FZ5">IF($C5="Production",
IFERROR(_xlfn.IFS(AND(DX5&gt;0,DX5+SUM(BV5:BW5)&lt;=$FM$3),DX5,AND(DX5&gt;0,DX5+SUM(BV5:BW5)&gt;$FM$3),$FM$3-SUM(BV5:BW5)),0),
IFERROR(_xlfn.IFS(AND(DX5&gt;0,DX5+BW5&lt;=$FK$3),DX5,AND(DX5&gt;0,DX5+BW5&gt;$FK$3),0),0)
)</f>
        <v>0</v>
      </c>
      <c r="GA5" s="150" cm="1">
        <f t="array" ref="GA5">IF($C5="Production",
IFERROR(_xlfn.IFS(AND(DY5&gt;0,DY5+SUM(BW5:BX5)&lt;=$FM$3),DY5,AND(DY5&gt;0,DY5+SUM(BW5:BX5)&gt;$FM$3),$FM$3-SUM(BW5:BX5)),0),
IFERROR(_xlfn.IFS(AND(DY5&gt;0,DY5+BX5&lt;=$FK$3),DY5,AND(DY5&gt;0,DY5+BX5&gt;$FK$3),0),0)
)</f>
        <v>0</v>
      </c>
      <c r="GB5" s="150" cm="1">
        <f t="array" ref="GB5">IF($C5="Production",
IFERROR(_xlfn.IFS(AND(DZ5&gt;0,DZ5+SUM(BX5:BY5)&lt;=$FM$3),DZ5,AND(DZ5&gt;0,DZ5+SUM(BX5:BY5)&gt;$FM$3),$FM$3-SUM(BX5:BY5)),0),
IFERROR(_xlfn.IFS(AND(DZ5&gt;0,DZ5+BY5&lt;=$FK$3),DZ5,AND(DZ5&gt;0,DZ5+BY5&gt;$FK$3),0),0)
)</f>
        <v>0</v>
      </c>
      <c r="GC5" s="150" cm="1">
        <f t="array" ref="GC5">IF($C5="Production",
IFERROR(_xlfn.IFS(AND(EA5&gt;0,EA5+SUM(BY5:BZ5)&lt;=$FM$3),EA5,AND(EA5&gt;0,EA5+SUM(BY5:BZ5)&gt;$FM$3),$FM$3-SUM(BY5:BZ5)),0),
IFERROR(_xlfn.IFS(AND(EA5&gt;0,EA5+BZ5&lt;=$FK$3),EA5,AND(EA5&gt;0,EA5+BZ5&gt;$FK$3),0),0)
)</f>
        <v>0</v>
      </c>
      <c r="GD5" s="150" cm="1">
        <f t="array" ref="GD5">IF($C5="Production",
IFERROR(_xlfn.IFS(AND(EB5&gt;0,EB5+SUM(BZ5:CA5)&lt;=$FM$3),EB5,AND(EB5&gt;0,EB5+SUM(BZ5:CA5)&gt;$FM$3),$FM$3-SUM(BZ5:CA5)),0),
IFERROR(_xlfn.IFS(AND(EB5&gt;0,EB5+CA5&lt;=$FK$3),EB5,AND(EB5&gt;0,EB5+CA5&gt;$FK$3),0),0)
)</f>
        <v>0</v>
      </c>
      <c r="GE5" s="150" cm="1">
        <f t="array" ref="GE5">IF($C5="Production",
IFERROR(_xlfn.IFS(AND(EC5&gt;0,EC5+SUM(CA5:CB5)&lt;=$FM$3),EC5,AND(EC5&gt;0,EC5+SUM(CA5:CB5)&gt;$FM$3),$FM$3-SUM(CA5:CB5)),0),
IFERROR(_xlfn.IFS(AND(EC5&gt;0,EC5+CB5&lt;=$FK$3),EC5,AND(EC5&gt;0,EC5+CB5&gt;$FK$3),0),0)
)</f>
        <v>0</v>
      </c>
      <c r="GF5" s="150" cm="1">
        <f t="array" ref="GF5">IF($C5="Production",
IFERROR(_xlfn.IFS(AND(ED5&gt;0,ED5+SUM(CB5:CC5)&lt;=$FM$3),ED5,AND(ED5&gt;0,ED5+SUM(CB5:CC5)&gt;$FM$3),$FM$3-SUM(CB5:CC5)),0),
IFERROR(_xlfn.IFS(AND(ED5&gt;0,ED5+CC5&lt;=$FK$3),ED5,AND(ED5&gt;0,ED5+CC5&gt;$FK$3),0),0)
)</f>
        <v>0</v>
      </c>
      <c r="GG5" s="150" cm="1">
        <f t="array" ref="GG5">IF($C5="Production",
IFERROR(_xlfn.IFS(AND(EE5&gt;0,EE5+SUM(CC5:CD5)&lt;=$FM$3),EE5,AND(EE5&gt;0,EE5+SUM(CC5:CD5)&gt;$FM$3),$FM$3-SUM(CC5:CD5)),0),
IFERROR(_xlfn.IFS(AND(EE5&gt;0,EE5+CD5&lt;=$FK$3),EE5,AND(EE5&gt;0,EE5+CD5&gt;$FK$3),0),0)
)</f>
        <v>0</v>
      </c>
      <c r="GH5" s="150" cm="1">
        <f t="array" ref="GH5">IF($C5="Production",
IFERROR(_xlfn.IFS(AND(EF5&gt;0,EF5+SUM(CD5:CE5)&lt;=$FM$3),EF5,AND(EF5&gt;0,EF5+SUM(CD5:CE5)&gt;$FM$3),$FM$3-SUM(CD5:CE5)),0),
IFERROR(_xlfn.IFS(AND(EF5&gt;0,EF5+CE5&lt;=$FK$3),EF5,AND(EF5&gt;0,EF5+CE5&gt;$FK$3),0),0)
)</f>
        <v>0</v>
      </c>
      <c r="GI5" s="150" cm="1">
        <f t="array" ref="GI5">IF($C5="Production",
IFERROR(_xlfn.IFS(AND(EG5&gt;0,EG5+SUM(CE5:CF5)&lt;=$FM$3),EG5,AND(EG5&gt;0,EG5+SUM(CE5:CF5)&gt;$FM$3),$FM$3-SUM(CE5:CF5)),0),
IFERROR(_xlfn.IFS(AND(EG5&gt;0,EG5+CF5&lt;=$FK$3),EG5,AND(EG5&gt;0,EG5+CF5&gt;$FK$3),0),0)
)</f>
        <v>0</v>
      </c>
      <c r="GJ5" s="150" cm="1">
        <f t="array" ref="GJ5">IF($C5="Production",
IFERROR(_xlfn.IFS(AND(EH5&gt;0,EH5+SUM(CF5:CG5)&lt;=$FM$3),EH5,AND(EH5&gt;0,EH5+SUM(CF5:CG5)&gt;$FM$3),$FM$3-SUM(CF5:CG5)),0),
IFERROR(_xlfn.IFS(AND(EH5&gt;0,EH5+CG5&lt;=$FK$3),EH5,AND(EH5&gt;0,EH5+CG5&gt;$FK$3),0),0)
)</f>
        <v>0</v>
      </c>
      <c r="GK5" s="150" cm="1">
        <f t="array" ref="GK5">IF($C5="Production",
IFERROR(_xlfn.IFS(AND(EI5&gt;0,EI5+SUM(CG5:CH5)&lt;=$FM$3),EI5,AND(EI5&gt;0,EI5+SUM(CG5:CH5)&gt;$FM$3),$FM$3-SUM(CG5:CH5)),0),
IFERROR(_xlfn.IFS(AND(EI5&gt;0,EI5+CH5&lt;=$FK$3),EI5,AND(EI5&gt;0,EI5+CH5&gt;$FK$3),0),0)
)</f>
        <v>0</v>
      </c>
      <c r="GL5" s="150" cm="1">
        <f t="array" ref="GL5">IF($C5="Production",
IFERROR(_xlfn.IFS(AND(EJ5&gt;0,EJ5+SUM(CH5:CI5)&lt;=$FM$3),EJ5,AND(EJ5&gt;0,EJ5+SUM(CH5:CI5)&gt;$FM$3),$FM$3-SUM(CH5:CI5)),0),
IFERROR(_xlfn.IFS(AND(EJ5&gt;0,EJ5+CI5&lt;=$FK$3),EJ5,AND(EJ5&gt;0,EJ5+CI5&gt;$FK$3),0),0)
)</f>
        <v>0</v>
      </c>
      <c r="GM5" s="150" cm="1">
        <f t="array" ref="GM5">IF($C5="Production",
IFERROR(_xlfn.IFS(AND(EK5&gt;0,EK5+SUM(CI5:CJ5)&lt;=$FM$3),EK5,AND(EK5&gt;0,EK5+SUM(CI5:CJ5)&gt;$FM$3),$FM$3-SUM(CI5:CJ5)),0),
IFERROR(_xlfn.IFS(AND(EK5&gt;0,EK5+CJ5&lt;=$FK$3),EK5,AND(EK5&gt;0,EK5+CJ5&gt;$FK$3),0),0)
)</f>
        <v>0</v>
      </c>
      <c r="GN5" s="150" cm="1">
        <f t="array" ref="GN5">IF($C5="Production",
IFERROR(_xlfn.IFS(AND(EL5&gt;0,EL5+SUM(CJ5:CK5)&lt;=$FM$3),EL5,AND(EL5&gt;0,EL5+SUM(CJ5:CK5)&gt;$FM$3),$FM$3-SUM(CJ5:CK5)),0),
IFERROR(_xlfn.IFS(AND(EL5&gt;0,EL5+CK5&lt;=$FK$3),EL5,AND(EL5&gt;0,EL5+CK5&gt;$FK$3),0),0)
)</f>
        <v>0</v>
      </c>
      <c r="GO5" s="150" cm="1">
        <f t="array" ref="GO5">IF($C5="Production",
IFERROR(_xlfn.IFS(AND(EM5&gt;0,EM5+SUM(CK5:CL5)&lt;=$FM$3),EM5,AND(EM5&gt;0,EM5+SUM(CK5:CL5)&gt;$FM$3),$FM$3-SUM(CK5:CL5)),0),
IFERROR(_xlfn.IFS(AND(EM5&gt;0,EM5+CL5&lt;=$FK$3),EM5,AND(EM5&gt;0,EM5+CL5&gt;$FK$3),0),0)
)</f>
        <v>0</v>
      </c>
      <c r="GP5" s="150" cm="1">
        <f t="array" ref="GP5">IF($C5="Production",
IFERROR(_xlfn.IFS(AND(EN5&gt;0,EN5+SUM(CL5:CM5)&lt;=$FM$3),EN5,AND(EN5&gt;0,EN5+SUM(CL5:CM5)&gt;$FM$3),$FM$3-SUM(CL5:CM5)),0),
IFERROR(_xlfn.IFS(AND(EN5&gt;0,EN5+CM5&lt;=$FK$3),EN5,AND(EN5&gt;0,EN5+CM5&gt;$FK$3),0),0)
)</f>
        <v>0</v>
      </c>
      <c r="GQ5" s="150" cm="1">
        <f t="array" ref="GQ5">IF($C5="Production",
IFERROR(_xlfn.IFS(AND(EO5&gt;0,EO5+SUM(CM5:CN5)&lt;=$FM$3),EO5,AND(EO5&gt;0,EO5+SUM(CM5:CN5)&gt;$FM$3),$FM$3-SUM(CM5:CN5)),0),
IFERROR(_xlfn.IFS(AND(EO5&gt;0,EO5+CN5&lt;=$FK$3),EO5,AND(EO5&gt;0,EO5+CN5&gt;$FK$3),0),0)
)</f>
        <v>0</v>
      </c>
      <c r="GR5" s="150" cm="1">
        <f t="array" ref="GR5">IF($C5="Production",
IFERROR(_xlfn.IFS(AND(EP5&gt;0,EP5+SUM(CN5:CO5)&lt;=$FM$3),EP5,AND(EP5&gt;0,EP5+SUM(CN5:CO5)&gt;$FM$3),$FM$3-SUM(CN5:CO5)),0),
IFERROR(_xlfn.IFS(AND(EP5&gt;0,EP5+CO5&lt;=$FK$3),EP5,AND(EP5&gt;0,EP5+CO5&gt;$FK$3),0),0)
)</f>
        <v>0</v>
      </c>
      <c r="GS5" s="150" cm="1">
        <f t="array" ref="GS5">IF($C5="Production",
IFERROR(_xlfn.IFS(AND(EQ5&gt;0,EQ5+SUM(CO5:CP5)&lt;=$FM$3),EQ5,AND(EQ5&gt;0,EQ5+SUM(CO5:CP5)&gt;$FM$3),$FM$3-SUM(CO5:CP5)),0),
IFERROR(_xlfn.IFS(AND(EQ5&gt;0,EQ5+CP5&lt;=$FK$3),EQ5,AND(EQ5&gt;0,EQ5+CP5&gt;$FK$3),0),0)
)</f>
        <v>0</v>
      </c>
      <c r="GT5" s="150" cm="1">
        <f t="array" ref="GT5">IF($C5="Production",
IFERROR(_xlfn.IFS(AND(ER5&gt;0,ER5+SUM(CP5:CQ5)&lt;=$FM$3),ER5,AND(ER5&gt;0,ER5+SUM(CP5:CQ5)&gt;$FM$3),$FM$3-SUM(CP5:CQ5)),0),
IFERROR(_xlfn.IFS(AND(ER5&gt;0,ER5+CQ5&lt;=$FK$3),ER5,AND(ER5&gt;0,ER5+CQ5&gt;$FK$3),0),0)
)</f>
        <v>0</v>
      </c>
      <c r="GU5" s="150" cm="1">
        <f t="array" ref="GU5">IF($C5="Production",
IFERROR(_xlfn.IFS(AND(ES5&gt;0,ES5+SUM(CQ5:CR5)&lt;=$FM$3),ES5,AND(ES5&gt;0,ES5+SUM(CQ5:CR5)&gt;$FM$3),$FM$3-SUM(CQ5:CR5)),0),
IFERROR(_xlfn.IFS(AND(ES5&gt;0,ES5+CR5&lt;=$FK$3),ES5,AND(ES5&gt;0,ES5+CR5&gt;$FK$3),0),0)
)</f>
        <v>0</v>
      </c>
      <c r="GV5" s="150" cm="1">
        <f t="array" ref="GV5">IF($C5="Production",
IFERROR(_xlfn.IFS(AND(ET5&gt;0,ET5+SUM(CR5:CS5)&lt;=$FM$3),ET5,AND(ET5&gt;0,ET5+SUM(CR5:CS5)&gt;$FM$3),$FM$3-SUM(CR5:CS5)),0),
IFERROR(_xlfn.IFS(AND(ET5&gt;0,ET5+CS5&lt;=$FK$3),ET5,AND(ET5&gt;0,ET5+CS5&gt;$FK$3),0),0)
)</f>
        <v>0</v>
      </c>
      <c r="GW5" s="150" cm="1">
        <f t="array" ref="GW5">IF($C5="Production",
IFERROR(_xlfn.IFS(AND(EU5&gt;0,EU5+SUM(CS5:CT5)&lt;=$FM$3),EU5,AND(EU5&gt;0,EU5+SUM(CS5:CT5)&gt;$FM$3),$FM$3-SUM(CS5:CT5)),0),
IFERROR(_xlfn.IFS(AND(EU5&gt;0,EU5+CT5&lt;=$FK$3),EU5,AND(EU5&gt;0,EU5+CT5&gt;$FK$3),0),0)
)</f>
        <v>0</v>
      </c>
      <c r="GX5" s="150" cm="1">
        <f t="array" ref="GX5">IF($C5="Production",
IFERROR(_xlfn.IFS(AND(EV5&gt;0,EV5+SUM(CT5:CU5)&lt;=$FM$3),EV5,AND(EV5&gt;0,EV5+SUM(CT5:CU5)&gt;$FM$3),$FM$3-SUM(CT5:CU5)),0),
IFERROR(_xlfn.IFS(AND(EV5&gt;0,EV5+CU5&lt;=$FK$3),EV5,AND(EV5&gt;0,EV5+CU5&gt;$FK$3),0),0)
)</f>
        <v>0</v>
      </c>
      <c r="GY5" s="150" cm="1">
        <f t="array" ref="GY5">IF($C5="Production",
IFERROR(_xlfn.IFS(AND(EW5&gt;0,EW5+SUM(CU5:CV5)&lt;=$FM$3),EW5,AND(EW5&gt;0,EW5+SUM(CU5:CV5)&gt;$FM$3),$FM$3-SUM(CU5:CV5)),0),
IFERROR(_xlfn.IFS(AND(EW5&gt;0,EW5+CV5&lt;=$FK$3),EW5,AND(EW5&gt;0,EW5+CV5&gt;$FK$3),0),0)
)</f>
        <v>0</v>
      </c>
      <c r="GZ5" s="150" cm="1">
        <f t="array" ref="GZ5">IF($C5="Production",
IFERROR(_xlfn.IFS(AND(EX5&gt;0,EX5+SUM(CV5:CW5)&lt;=$FM$3),EX5,AND(EX5&gt;0,EX5+SUM(CV5:CW5)&gt;$FM$3),$FM$3-SUM(CV5:CW5)),0),
IFERROR(_xlfn.IFS(AND(EX5&gt;0,EX5+CW5&lt;=$FK$3),EX5,AND(EX5&gt;0,EX5+CW5&gt;$FK$3),0),0)
)</f>
        <v>0</v>
      </c>
      <c r="HA5" s="150" cm="1">
        <f t="array" ref="HA5">IF($C5="Production",
IFERROR(_xlfn.IFS(AND(EY5&gt;0,EY5+SUM(CW5:CX5)&lt;=$FM$3),EY5,AND(EY5&gt;0,EY5+SUM(CW5:CX5)&gt;$FM$3),$FM$3-SUM(CW5:CX5)),0),
IFERROR(_xlfn.IFS(AND(EY5&gt;0,EY5+CX5&lt;=$FK$3),EY5,AND(EY5&gt;0,EY5+CX5&gt;$FK$3),0),0)
)</f>
        <v>0</v>
      </c>
      <c r="HB5" s="150" cm="1">
        <f t="array" ref="HB5">IF($C5="Production",
IFERROR(_xlfn.IFS(AND(EZ5&gt;0,EZ5+SUM(CX5:CY5)&lt;=$FM$3),EZ5,AND(EZ5&gt;0,EZ5+SUM(CX5:CY5)&gt;$FM$3),$FM$3-SUM(CX5:CY5)),0),
IFERROR(_xlfn.IFS(AND(EZ5&gt;0,EZ5+CY5&lt;=$FK$3),EZ5,AND(EZ5&gt;0,EZ5+CY5&gt;$FK$3),0),0)
)</f>
        <v>0</v>
      </c>
      <c r="HC5" s="150" cm="1">
        <f t="array" ref="HC5">IF($C5="Production",
IFERROR(_xlfn.IFS(AND(FA5&gt;0,FA5+SUM(CY5:CZ5)&lt;=$FM$3),FA5,AND(FA5&gt;0,FA5+SUM(CY5:CZ5)&gt;$FM$3),$FM$3-SUM(CY5:CZ5)),0),
IFERROR(_xlfn.IFS(AND(FA5&gt;0,FA5+CZ5&lt;=$FK$3),FA5,AND(FA5&gt;0,FA5+CZ5&gt;$FK$3),0),0)
)</f>
        <v>0</v>
      </c>
      <c r="HD5" s="150" cm="1">
        <f t="array" ref="HD5">IF($C5="Production",
IFERROR(_xlfn.IFS(AND(FB5&gt;0,FB5+SUM(CZ5:DA5)&lt;=$FM$3),FB5,AND(FB5&gt;0,FB5+SUM(CZ5:DA5)&gt;$FM$3),$FM$3-SUM(CZ5:DA5)),0),
IFERROR(_xlfn.IFS(AND(FB5&gt;0,FB5+DA5&lt;=$FK$3),FB5,AND(FB5&gt;0,FB5+DA5&gt;$FK$3),0),0)
)</f>
        <v>0</v>
      </c>
      <c r="HE5" s="150" cm="1">
        <f t="array" ref="HE5">IF($C5="Production",
IFERROR(_xlfn.IFS(AND(FC5&gt;0,FC5+SUM(DA5:DB5)&lt;=$FM$3),FC5,AND(FC5&gt;0,FC5+SUM(DA5:DB5)&gt;$FM$3),$FM$3-SUM(DA5:DB5)),0),
IFERROR(_xlfn.IFS(AND(FC5&gt;0,FC5+DB5&lt;=$FK$3),FC5,AND(FC5&gt;0,FC5+DB5&gt;$FK$3),0),0)
)</f>
        <v>0</v>
      </c>
      <c r="HF5" s="150" cm="1">
        <f t="array" ref="HF5">IF($C5="Production",
IFERROR(_xlfn.IFS(AND(FD5&gt;0,FD5+SUM(DB5:DC5)&lt;=$FM$3),FD5,AND(FD5&gt;0,FD5+SUM(DB5:DC5)&gt;$FM$3),$FM$3-SUM(DB5:DC5)),0),
IFERROR(_xlfn.IFS(AND(FD5&gt;0,FD5+DC5&lt;=$FK$3),FD5,AND(FD5&gt;0,FD5+DC5&gt;$FK$3),0),0)
)</f>
        <v>0</v>
      </c>
      <c r="HG5" s="150" cm="1">
        <f t="array" ref="HG5">IF($C5="Production",
IFERROR(_xlfn.IFS(AND(FE5&gt;0,FE5+SUM(DC5:DD5)&lt;=$FM$3),FE5,AND(FE5&gt;0,FE5+SUM(DC5:DD5)&gt;$FM$3),$FM$3-SUM(DC5:DD5)),0),
IFERROR(_xlfn.IFS(AND(FE5&gt;0,FE5+DD5&lt;=$FK$3),FE5,AND(FE5&gt;0,FE5+DD5&gt;$FK$3),0),0)
)</f>
        <v>0</v>
      </c>
      <c r="HH5" s="150" cm="1">
        <f t="array" ref="HH5">IF($C5="Production",
IFERROR(_xlfn.IFS(AND(FF5&gt;0,FF5+SUM(DD5:DE5)&lt;=$FM$3),FF5,AND(FF5&gt;0,FF5+SUM(DD5:DE5)&gt;$FM$3),$FM$3-SUM(DD5:DE5)),0),
IFERROR(_xlfn.IFS(AND(FF5&gt;0,FF5+DE5&lt;=$FK$3),FF5,AND(FF5&gt;0,FF5+DE5&gt;$FK$3),0),0)
)</f>
        <v>0</v>
      </c>
      <c r="HI5" s="155" cm="1">
        <f t="array" ref="HI5">IF($C5="Production",
IFERROR(_xlfn.IFS(AND(FG5&gt;0,FG5+SUM(DE5:DF5)&lt;=$FM$3),FG5,AND(FG5&gt;0,FG5+SUM(DE5:DF5)&gt;$FM$3),$FM$3-SUM(DE5:DF5)),0),
IFERROR(_xlfn.IFS(AND(FG5&gt;0,FG5+DF5&lt;=$FK$3),FG5,AND(FG5&gt;0,FG5+DF5&gt;$FK$3),0),0)
)</f>
        <v>0</v>
      </c>
      <c r="HJ5" s="155">
        <f>SUM(FJ5:HI5)</f>
        <v>8</v>
      </c>
      <c r="HK5" s="80"/>
      <c r="HL5" s="109">
        <f>IFERROR(IF(FJ5&gt;0,DH5-FJ5,0),0)</f>
        <v>0</v>
      </c>
      <c r="HM5" s="110">
        <f t="shared" ref="HM5:JK5" si="1">IFERROR(IF(FK5&gt;0,DI5-FK5,0),0)</f>
        <v>0</v>
      </c>
      <c r="HN5" s="110">
        <f t="shared" si="1"/>
        <v>0</v>
      </c>
      <c r="HO5" s="110">
        <f t="shared" si="1"/>
        <v>0</v>
      </c>
      <c r="HP5" s="110">
        <f t="shared" si="1"/>
        <v>0</v>
      </c>
      <c r="HQ5" s="110">
        <f t="shared" si="1"/>
        <v>0</v>
      </c>
      <c r="HR5" s="110">
        <f t="shared" si="1"/>
        <v>0</v>
      </c>
      <c r="HS5" s="110">
        <f t="shared" si="1"/>
        <v>0</v>
      </c>
      <c r="HT5" s="110">
        <f t="shared" si="1"/>
        <v>0</v>
      </c>
      <c r="HU5" s="110">
        <f t="shared" si="1"/>
        <v>0</v>
      </c>
      <c r="HV5" s="110">
        <f t="shared" si="1"/>
        <v>0</v>
      </c>
      <c r="HW5" s="110">
        <f t="shared" si="1"/>
        <v>0</v>
      </c>
      <c r="HX5" s="110">
        <f t="shared" si="1"/>
        <v>0</v>
      </c>
      <c r="HY5" s="110">
        <f t="shared" si="1"/>
        <v>0</v>
      </c>
      <c r="HZ5" s="110">
        <f t="shared" si="1"/>
        <v>0</v>
      </c>
      <c r="IA5" s="110">
        <f t="shared" si="1"/>
        <v>0</v>
      </c>
      <c r="IB5" s="110">
        <f t="shared" si="1"/>
        <v>0</v>
      </c>
      <c r="IC5" s="110">
        <f t="shared" si="1"/>
        <v>0</v>
      </c>
      <c r="ID5" s="110">
        <f t="shared" si="1"/>
        <v>0</v>
      </c>
      <c r="IE5" s="110">
        <f t="shared" si="1"/>
        <v>0</v>
      </c>
      <c r="IF5" s="110">
        <f t="shared" si="1"/>
        <v>0</v>
      </c>
      <c r="IG5" s="110">
        <f t="shared" si="1"/>
        <v>0</v>
      </c>
      <c r="IH5" s="110">
        <f t="shared" si="1"/>
        <v>0</v>
      </c>
      <c r="II5" s="110">
        <f t="shared" si="1"/>
        <v>0</v>
      </c>
      <c r="IJ5" s="110">
        <f t="shared" si="1"/>
        <v>0</v>
      </c>
      <c r="IK5" s="110">
        <f t="shared" si="1"/>
        <v>0</v>
      </c>
      <c r="IL5" s="110">
        <f t="shared" si="1"/>
        <v>0</v>
      </c>
      <c r="IM5" s="110">
        <f t="shared" si="1"/>
        <v>0</v>
      </c>
      <c r="IN5" s="110">
        <f t="shared" si="1"/>
        <v>0</v>
      </c>
      <c r="IO5" s="110">
        <f t="shared" si="1"/>
        <v>0</v>
      </c>
      <c r="IP5" s="110">
        <f t="shared" si="1"/>
        <v>0</v>
      </c>
      <c r="IQ5" s="110">
        <f t="shared" si="1"/>
        <v>0</v>
      </c>
      <c r="IR5" s="110">
        <f t="shared" si="1"/>
        <v>0</v>
      </c>
      <c r="IS5" s="110">
        <f t="shared" si="1"/>
        <v>0</v>
      </c>
      <c r="IT5" s="110">
        <f t="shared" si="1"/>
        <v>0</v>
      </c>
      <c r="IU5" s="110">
        <f t="shared" si="1"/>
        <v>0</v>
      </c>
      <c r="IV5" s="110">
        <f t="shared" si="1"/>
        <v>0</v>
      </c>
      <c r="IW5" s="110">
        <f t="shared" si="1"/>
        <v>0</v>
      </c>
      <c r="IX5" s="110">
        <f t="shared" si="1"/>
        <v>0</v>
      </c>
      <c r="IY5" s="110">
        <f t="shared" si="1"/>
        <v>0</v>
      </c>
      <c r="IZ5" s="110">
        <f t="shared" si="1"/>
        <v>0</v>
      </c>
      <c r="JA5" s="110">
        <f t="shared" si="1"/>
        <v>0</v>
      </c>
      <c r="JB5" s="110">
        <f t="shared" si="1"/>
        <v>0</v>
      </c>
      <c r="JC5" s="110">
        <f t="shared" si="1"/>
        <v>0</v>
      </c>
      <c r="JD5" s="110">
        <f t="shared" si="1"/>
        <v>0</v>
      </c>
      <c r="JE5" s="110">
        <f t="shared" si="1"/>
        <v>0</v>
      </c>
      <c r="JF5" s="110">
        <f t="shared" si="1"/>
        <v>0</v>
      </c>
      <c r="JG5" s="110">
        <f t="shared" si="1"/>
        <v>0</v>
      </c>
      <c r="JH5" s="110">
        <f t="shared" si="1"/>
        <v>0</v>
      </c>
      <c r="JI5" s="110">
        <f t="shared" si="1"/>
        <v>0</v>
      </c>
      <c r="JJ5" s="110">
        <f t="shared" si="1"/>
        <v>0</v>
      </c>
      <c r="JK5" s="110">
        <f t="shared" si="1"/>
        <v>0</v>
      </c>
      <c r="JL5" s="117">
        <f>SUM(HL5:JK5)</f>
        <v>0</v>
      </c>
      <c r="JO5" s="88">
        <f>HJ5</f>
        <v>8</v>
      </c>
      <c r="JP5" s="120">
        <f>JL5</f>
        <v>0</v>
      </c>
      <c r="JQ5" s="89">
        <f t="shared" ref="JQ5:JQ46" si="2">$JO$4*JO5+$JP$4*JP5</f>
        <v>10</v>
      </c>
      <c r="JS5" s="122">
        <f>SUMIFS(DH5:FG5,DH5:FG5,"&lt;0")</f>
        <v>0</v>
      </c>
      <c r="JU5" s="122">
        <f>JQ5+JS5</f>
        <v>10</v>
      </c>
    </row>
    <row r="6" spans="2:281" x14ac:dyDescent="0.15">
      <c r="B6" s="82" t="str">
        <f>'MODU 2025'!B9</f>
        <v>ALVES Sylvie</v>
      </c>
      <c r="C6" s="82" t="str">
        <f>'MODU 2025'!C9</f>
        <v>Production CE</v>
      </c>
      <c r="D6" s="82">
        <f>'MODU 2025'!D9</f>
        <v>39</v>
      </c>
      <c r="E6" s="82"/>
      <c r="F6" s="133">
        <f>'MODU 2025'!G9</f>
        <v>41.5</v>
      </c>
      <c r="G6" s="140">
        <f>'MODU 2025'!H9</f>
        <v>40.5</v>
      </c>
      <c r="H6" s="140">
        <f>'MODU 2025'!I9</f>
        <v>39</v>
      </c>
      <c r="I6" s="140">
        <f>'MODU 2025'!J9</f>
        <v>42.5</v>
      </c>
      <c r="J6" s="140">
        <f>'MODU 2025'!K9</f>
        <v>39</v>
      </c>
      <c r="K6" s="140">
        <f>'MODU 2025'!L9</f>
        <v>40</v>
      </c>
      <c r="L6" s="140">
        <f>'MODU 2025'!M9</f>
        <v>39</v>
      </c>
      <c r="M6" s="140">
        <f>'MODU 2025'!N9</f>
        <v>39</v>
      </c>
      <c r="N6" s="140">
        <f>'MODU 2025'!O9</f>
        <v>40</v>
      </c>
      <c r="O6" s="140">
        <f>'MODU 2025'!P9</f>
        <v>41.5</v>
      </c>
      <c r="P6" s="140">
        <f>'MODU 2025'!Q9</f>
        <v>39</v>
      </c>
      <c r="Q6" s="140">
        <f>'MODU 2025'!R9</f>
        <v>39</v>
      </c>
      <c r="R6" s="140">
        <f>'MODU 2025'!S9</f>
        <v>39</v>
      </c>
      <c r="S6" s="140">
        <f>'MODU 2025'!T9</f>
        <v>39</v>
      </c>
      <c r="T6" s="140">
        <f>'MODU 2025'!U9</f>
        <v>39</v>
      </c>
      <c r="U6" s="140">
        <f>'MODU 2025'!V9</f>
        <v>39</v>
      </c>
      <c r="V6" s="140">
        <f>'MODU 2025'!W9</f>
        <v>39</v>
      </c>
      <c r="W6" s="140">
        <f>'MODU 2025'!X9</f>
        <v>39</v>
      </c>
      <c r="X6" s="140">
        <f>'MODU 2025'!Y9</f>
        <v>39</v>
      </c>
      <c r="Y6" s="140">
        <f>'MODU 2025'!Z9</f>
        <v>39</v>
      </c>
      <c r="Z6" s="140">
        <f>'MODU 2025'!AA9</f>
        <v>39</v>
      </c>
      <c r="AA6" s="140">
        <f>'MODU 2025'!AB9</f>
        <v>39</v>
      </c>
      <c r="AB6" s="140">
        <f>'MODU 2025'!AC9</f>
        <v>39</v>
      </c>
      <c r="AC6" s="140">
        <f>'MODU 2025'!AD9</f>
        <v>39</v>
      </c>
      <c r="AD6" s="140">
        <f>'MODU 2025'!AE9</f>
        <v>39</v>
      </c>
      <c r="AE6" s="140">
        <f>'MODU 2025'!AF9</f>
        <v>39</v>
      </c>
      <c r="AF6" s="140">
        <f>'MODU 2025'!AG9</f>
        <v>39</v>
      </c>
      <c r="AG6" s="140">
        <f>'MODU 2025'!AH9</f>
        <v>39</v>
      </c>
      <c r="AH6" s="140">
        <f>'MODU 2025'!AI9</f>
        <v>39</v>
      </c>
      <c r="AI6" s="140">
        <f>'MODU 2025'!AJ9</f>
        <v>39</v>
      </c>
      <c r="AJ6" s="140">
        <f>'MODU 2025'!AK9</f>
        <v>39</v>
      </c>
      <c r="AK6" s="140">
        <f>'MODU 2025'!AL9</f>
        <v>39</v>
      </c>
      <c r="AL6" s="140">
        <f>'MODU 2025'!AM9</f>
        <v>39</v>
      </c>
      <c r="AM6" s="140">
        <f>'MODU 2025'!AN9</f>
        <v>39</v>
      </c>
      <c r="AN6" s="140">
        <f>'MODU 2025'!AO9</f>
        <v>39</v>
      </c>
      <c r="AO6" s="140">
        <f>'MODU 2025'!AP9</f>
        <v>39</v>
      </c>
      <c r="AP6" s="140">
        <f>'MODU 2025'!AQ9</f>
        <v>39</v>
      </c>
      <c r="AQ6" s="140">
        <f>'MODU 2025'!AR9</f>
        <v>39</v>
      </c>
      <c r="AR6" s="140">
        <f>'MODU 2025'!AS9</f>
        <v>39</v>
      </c>
      <c r="AS6" s="140">
        <f>'MODU 2025'!AT9</f>
        <v>39</v>
      </c>
      <c r="AT6" s="140">
        <f>'MODU 2025'!AU9</f>
        <v>39</v>
      </c>
      <c r="AU6" s="140">
        <f>'MODU 2025'!AV9</f>
        <v>39</v>
      </c>
      <c r="AV6" s="140">
        <f>'MODU 2025'!AW9</f>
        <v>39</v>
      </c>
      <c r="AW6" s="140">
        <f>'MODU 2025'!AX9</f>
        <v>39</v>
      </c>
      <c r="AX6" s="140">
        <f>'MODU 2025'!AY9</f>
        <v>39</v>
      </c>
      <c r="AY6" s="140">
        <f>'MODU 2025'!AZ9</f>
        <v>39</v>
      </c>
      <c r="AZ6" s="140">
        <f>'MODU 2025'!BA9</f>
        <v>39</v>
      </c>
      <c r="BA6" s="140">
        <f>'MODU 2025'!BB9</f>
        <v>39</v>
      </c>
      <c r="BB6" s="140">
        <f>'MODU 2025'!BC9</f>
        <v>39</v>
      </c>
      <c r="BC6" s="140">
        <f>'MODU 2025'!BD9</f>
        <v>39</v>
      </c>
      <c r="BD6" s="140">
        <f>'MODU 2025'!BE9</f>
        <v>39</v>
      </c>
      <c r="BE6" s="134">
        <f>'MODU 2025'!BF9</f>
        <v>39</v>
      </c>
      <c r="BF6" s="82"/>
      <c r="BG6" s="107">
        <v>39</v>
      </c>
      <c r="BH6" s="145">
        <v>39</v>
      </c>
      <c r="BI6" s="145">
        <v>39</v>
      </c>
      <c r="BJ6" s="145">
        <v>39</v>
      </c>
      <c r="BK6" s="145">
        <v>39</v>
      </c>
      <c r="BL6" s="145">
        <v>39</v>
      </c>
      <c r="BM6" s="145">
        <v>39</v>
      </c>
      <c r="BN6" s="145">
        <v>39</v>
      </c>
      <c r="BO6" s="145">
        <v>39</v>
      </c>
      <c r="BP6" s="145">
        <v>39</v>
      </c>
      <c r="BQ6" s="145">
        <v>39</v>
      </c>
      <c r="BR6" s="145">
        <v>39</v>
      </c>
      <c r="BS6" s="145">
        <v>39</v>
      </c>
      <c r="BT6" s="145">
        <v>39</v>
      </c>
      <c r="BU6" s="145">
        <v>39</v>
      </c>
      <c r="BV6" s="145">
        <v>39</v>
      </c>
      <c r="BW6" s="145">
        <v>39</v>
      </c>
      <c r="BX6" s="145">
        <v>39</v>
      </c>
      <c r="BY6" s="145">
        <v>39</v>
      </c>
      <c r="BZ6" s="145">
        <v>39</v>
      </c>
      <c r="CA6" s="145">
        <v>39</v>
      </c>
      <c r="CB6" s="145">
        <v>39</v>
      </c>
      <c r="CC6" s="145">
        <v>39</v>
      </c>
      <c r="CD6" s="145">
        <v>39</v>
      </c>
      <c r="CE6" s="145">
        <v>39</v>
      </c>
      <c r="CF6" s="145">
        <v>39</v>
      </c>
      <c r="CG6" s="145">
        <v>39</v>
      </c>
      <c r="CH6" s="145">
        <v>39</v>
      </c>
      <c r="CI6" s="145">
        <v>39</v>
      </c>
      <c r="CJ6" s="145">
        <v>39</v>
      </c>
      <c r="CK6" s="145">
        <v>39</v>
      </c>
      <c r="CL6" s="145">
        <v>39</v>
      </c>
      <c r="CM6" s="145">
        <v>39</v>
      </c>
      <c r="CN6" s="145">
        <v>39</v>
      </c>
      <c r="CO6" s="145">
        <v>39</v>
      </c>
      <c r="CP6" s="145">
        <v>39</v>
      </c>
      <c r="CQ6" s="145">
        <v>39</v>
      </c>
      <c r="CR6" s="145">
        <v>39</v>
      </c>
      <c r="CS6" s="145">
        <v>39</v>
      </c>
      <c r="CT6" s="145">
        <v>39</v>
      </c>
      <c r="CU6" s="145">
        <v>39</v>
      </c>
      <c r="CV6" s="145">
        <v>39</v>
      </c>
      <c r="CW6" s="145">
        <v>39</v>
      </c>
      <c r="CX6" s="145">
        <v>39</v>
      </c>
      <c r="CY6" s="145">
        <v>39</v>
      </c>
      <c r="CZ6" s="145">
        <v>39</v>
      </c>
      <c r="DA6" s="145">
        <v>39</v>
      </c>
      <c r="DB6" s="145">
        <v>39</v>
      </c>
      <c r="DC6" s="145">
        <v>39</v>
      </c>
      <c r="DD6" s="145">
        <v>39</v>
      </c>
      <c r="DE6" s="145">
        <v>39</v>
      </c>
      <c r="DF6" s="108">
        <v>39</v>
      </c>
      <c r="DG6" s="84"/>
      <c r="DH6" s="112">
        <f t="shared" ref="DH6:DH46" si="3">IF(
$C6="Production",
IF(MOD(COLUMN(),2)=$DH$3,SUM(E6:F6)-SUM(BF6:BG6),0),
F6-BG6)</f>
        <v>2.5</v>
      </c>
      <c r="DI6" s="138">
        <f t="shared" ref="DI6:DI46" si="4">IF(
$C6="Production",
IF(MOD(COLUMN(),2)=$DH$3,SUM(F6:G6)-SUM(BG6:BH6),0),
G6-BH6)</f>
        <v>1.5</v>
      </c>
      <c r="DJ6" s="138">
        <f t="shared" ref="DJ6:DJ46" si="5">IF(
$C6="Production",
IF(MOD(COLUMN(),2)=$DH$3,SUM(G6:H6)-SUM(BH6:BI6),0),
H6-BI6)</f>
        <v>0</v>
      </c>
      <c r="DK6" s="138">
        <f t="shared" ref="DK6:DK46" si="6">IF(
$C6="Production",
IF(MOD(COLUMN(),2)=$DH$3,SUM(H6:I6)-SUM(BI6:BJ6),0),
I6-BJ6)</f>
        <v>3.5</v>
      </c>
      <c r="DL6" s="138">
        <f t="shared" ref="DL6:DL46" si="7">IF(
$C6="Production",
IF(MOD(COLUMN(),2)=$DH$3,SUM(I6:J6)-SUM(BJ6:BK6),0),
J6-BK6)</f>
        <v>0</v>
      </c>
      <c r="DM6" s="138">
        <f t="shared" ref="DM6:DM46" si="8">IF(
$C6="Production",
IF(MOD(COLUMN(),2)=$DH$3,SUM(J6:K6)-SUM(BK6:BL6),0),
K6-BL6)</f>
        <v>1</v>
      </c>
      <c r="DN6" s="138">
        <f t="shared" ref="DN6:DN46" si="9">IF(
$C6="Production",
IF(MOD(COLUMN(),2)=$DH$3,SUM(K6:L6)-SUM(BL6:BM6),0),
L6-BM6)</f>
        <v>0</v>
      </c>
      <c r="DO6" s="138">
        <f t="shared" ref="DO6:DO46" si="10">IF(
$C6="Production",
IF(MOD(COLUMN(),2)=$DH$3,SUM(L6:M6)-SUM(BM6:BN6),0),
M6-BN6)</f>
        <v>0</v>
      </c>
      <c r="DP6" s="138">
        <f t="shared" ref="DP6:DP46" si="11">IF(
$C6="Production",
IF(MOD(COLUMN(),2)=$DH$3,SUM(M6:N6)-SUM(BN6:BO6),0),
N6-BO6)</f>
        <v>1</v>
      </c>
      <c r="DQ6" s="138">
        <f t="shared" ref="DQ6:DQ46" si="12">IF(
$C6="Production",
IF(MOD(COLUMN(),2)=$DH$3,SUM(N6:O6)-SUM(BO6:BP6),0),
O6-BP6)</f>
        <v>2.5</v>
      </c>
      <c r="DR6" s="138">
        <f t="shared" ref="DR6:DR46" si="13">IF(
$C6="Production",
IF(MOD(COLUMN(),2)=$DH$3,SUM(O6:P6)-SUM(BP6:BQ6),0),
P6-BQ6)</f>
        <v>0</v>
      </c>
      <c r="DS6" s="138">
        <f t="shared" ref="DS6:DS46" si="14">IF(
$C6="Production",
IF(MOD(COLUMN(),2)=$DH$3,SUM(P6:Q6)-SUM(BQ6:BR6),0),
Q6-BR6)</f>
        <v>0</v>
      </c>
      <c r="DT6" s="138">
        <f t="shared" ref="DT6:DT46" si="15">IF(
$C6="Production",
IF(MOD(COLUMN(),2)=$DH$3,SUM(Q6:R6)-SUM(BR6:BS6),0),
R6-BS6)</f>
        <v>0</v>
      </c>
      <c r="DU6" s="138">
        <f t="shared" ref="DU6:DU46" si="16">IF(
$C6="Production",
IF(MOD(COLUMN(),2)=$DH$3,SUM(R6:S6)-SUM(BS6:BT6),0),
S6-BT6)</f>
        <v>0</v>
      </c>
      <c r="DV6" s="138">
        <f t="shared" ref="DV6:DV46" si="17">IF(
$C6="Production",
IF(MOD(COLUMN(),2)=$DH$3,SUM(S6:T6)-SUM(BT6:BU6),0),
T6-BU6)</f>
        <v>0</v>
      </c>
      <c r="DW6" s="138">
        <f t="shared" ref="DW6:DW46" si="18">IF(
$C6="Production",
IF(MOD(COLUMN(),2)=$DH$3,SUM(T6:U6)-SUM(BU6:BV6),0),
U6-BV6)</f>
        <v>0</v>
      </c>
      <c r="DX6" s="138">
        <f t="shared" ref="DX6:DX46" si="19">IF(
$C6="Production",
IF(MOD(COLUMN(),2)=$DH$3,SUM(U6:V6)-SUM(BV6:BW6),0),
V6-BW6)</f>
        <v>0</v>
      </c>
      <c r="DY6" s="138">
        <f t="shared" ref="DY6:DY46" si="20">IF(
$C6="Production",
IF(MOD(COLUMN(),2)=$DH$3,SUM(V6:W6)-SUM(BW6:BX6),0),
W6-BX6)</f>
        <v>0</v>
      </c>
      <c r="DZ6" s="138">
        <f t="shared" ref="DZ6:DZ46" si="21">IF(
$C6="Production",
IF(MOD(COLUMN(),2)=$DH$3,SUM(W6:X6)-SUM(BX6:BY6),0),
X6-BY6)</f>
        <v>0</v>
      </c>
      <c r="EA6" s="138">
        <f t="shared" ref="EA6:EA46" si="22">IF(
$C6="Production",
IF(MOD(COLUMN(),2)=$DH$3,SUM(X6:Y6)-SUM(BY6:BZ6),0),
Y6-BZ6)</f>
        <v>0</v>
      </c>
      <c r="EB6" s="138">
        <f t="shared" ref="EB6:EB46" si="23">IF(
$C6="Production",
IF(MOD(COLUMN(),2)=$DH$3,SUM(Y6:Z6)-SUM(BZ6:CA6),0),
Z6-CA6)</f>
        <v>0</v>
      </c>
      <c r="EC6" s="138">
        <f t="shared" ref="EC6:EC46" si="24">IF(
$C6="Production",
IF(MOD(COLUMN(),2)=$DH$3,SUM(Z6:AA6)-SUM(CA6:CB6),0),
AA6-CB6)</f>
        <v>0</v>
      </c>
      <c r="ED6" s="138">
        <f t="shared" ref="ED6:ED46" si="25">IF(
$C6="Production",
IF(MOD(COLUMN(),2)=$DH$3,SUM(AA6:AB6)-SUM(CB6:CC6),0),
AB6-CC6)</f>
        <v>0</v>
      </c>
      <c r="EE6" s="138">
        <f t="shared" ref="EE6:EE46" si="26">IF(
$C6="Production",
IF(MOD(COLUMN(),2)=$DH$3,SUM(AB6:AC6)-SUM(CC6:CD6),0),
AC6-CD6)</f>
        <v>0</v>
      </c>
      <c r="EF6" s="138">
        <f t="shared" ref="EF6:EF46" si="27">IF(
$C6="Production",
IF(MOD(COLUMN(),2)=$DH$3,SUM(AC6:AD6)-SUM(CD6:CE6),0),
AD6-CE6)</f>
        <v>0</v>
      </c>
      <c r="EG6" s="138">
        <f t="shared" ref="EG6:EG46" si="28">IF(
$C6="Production",
IF(MOD(COLUMN(),2)=$DH$3,SUM(AD6:AE6)-SUM(CE6:CF6),0),
AE6-CF6)</f>
        <v>0</v>
      </c>
      <c r="EH6" s="138">
        <f t="shared" ref="EH6:EH46" si="29">IF(
$C6="Production",
IF(MOD(COLUMN(),2)=$DH$3,SUM(AE6:AF6)-SUM(CF6:CG6),0),
AF6-CG6)</f>
        <v>0</v>
      </c>
      <c r="EI6" s="138">
        <f t="shared" ref="EI6:EI46" si="30">IF(
$C6="Production",
IF(MOD(COLUMN(),2)=$DH$3,SUM(AF6:AG6)-SUM(CG6:CH6),0),
AG6-CH6)</f>
        <v>0</v>
      </c>
      <c r="EJ6" s="138">
        <f t="shared" ref="EJ6:EJ46" si="31">IF(
$C6="Production",
IF(MOD(COLUMN(),2)=$DH$3,SUM(AG6:AH6)-SUM(CH6:CI6),0),
AH6-CI6)</f>
        <v>0</v>
      </c>
      <c r="EK6" s="138">
        <f t="shared" ref="EK6:EK46" si="32">IF(
$C6="Production",
IF(MOD(COLUMN(),2)=$DH$3,SUM(AH6:AI6)-SUM(CI6:CJ6),0),
AI6-CJ6)</f>
        <v>0</v>
      </c>
      <c r="EL6" s="138">
        <f t="shared" ref="EL6:EL46" si="33">IF(
$C6="Production",
IF(MOD(COLUMN(),2)=$DH$3,SUM(AI6:AJ6)-SUM(CJ6:CK6),0),
AJ6-CK6)</f>
        <v>0</v>
      </c>
      <c r="EM6" s="138">
        <f t="shared" ref="EM6:EM46" si="34">IF(
$C6="Production",
IF(MOD(COLUMN(),2)=$DH$3,SUM(AJ6:AK6)-SUM(CK6:CL6),0),
AK6-CL6)</f>
        <v>0</v>
      </c>
      <c r="EN6" s="138">
        <f t="shared" ref="EN6:EN46" si="35">IF(
$C6="Production",
IF(MOD(COLUMN(),2)=$DH$3,SUM(AK6:AL6)-SUM(CL6:CM6),0),
AL6-CM6)</f>
        <v>0</v>
      </c>
      <c r="EO6" s="138">
        <f t="shared" ref="EO6:EO46" si="36">IF(
$C6="Production",
IF(MOD(COLUMN(),2)=$DH$3,SUM(AL6:AM6)-SUM(CM6:CN6),0),
AM6-CN6)</f>
        <v>0</v>
      </c>
      <c r="EP6" s="138">
        <f t="shared" ref="EP6:EP46" si="37">IF(
$C6="Production",
IF(MOD(COLUMN(),2)=$DH$3,SUM(AM6:AN6)-SUM(CN6:CO6),0),
AN6-CO6)</f>
        <v>0</v>
      </c>
      <c r="EQ6" s="138">
        <f t="shared" ref="EQ6:EQ46" si="38">IF(
$C6="Production",
IF(MOD(COLUMN(),2)=$DH$3,SUM(AN6:AO6)-SUM(CO6:CP6),0),
AO6-CP6)</f>
        <v>0</v>
      </c>
      <c r="ER6" s="138">
        <f t="shared" ref="ER6:ER46" si="39">IF(
$C6="Production",
IF(MOD(COLUMN(),2)=$DH$3,SUM(AO6:AP6)-SUM(CP6:CQ6),0),
AP6-CQ6)</f>
        <v>0</v>
      </c>
      <c r="ES6" s="138">
        <f t="shared" ref="ES6:ES46" si="40">IF(
$C6="Production",
IF(MOD(COLUMN(),2)=$DH$3,SUM(AP6:AQ6)-SUM(CQ6:CR6),0),
AQ6-CR6)</f>
        <v>0</v>
      </c>
      <c r="ET6" s="138">
        <f t="shared" ref="ET6:ET46" si="41">IF(
$C6="Production",
IF(MOD(COLUMN(),2)=$DH$3,SUM(AQ6:AR6)-SUM(CR6:CS6),0),
AR6-CS6)</f>
        <v>0</v>
      </c>
      <c r="EU6" s="138">
        <f t="shared" ref="EU6:EU46" si="42">IF(
$C6="Production",
IF(MOD(COLUMN(),2)=$DH$3,SUM(AR6:AS6)-SUM(CS6:CT6),0),
AS6-CT6)</f>
        <v>0</v>
      </c>
      <c r="EV6" s="138">
        <f t="shared" ref="EV6:EV46" si="43">IF(
$C6="Production",
IF(MOD(COLUMN(),2)=$DH$3,SUM(AS6:AT6)-SUM(CT6:CU6),0),
AT6-CU6)</f>
        <v>0</v>
      </c>
      <c r="EW6" s="138">
        <f t="shared" ref="EW6:EW46" si="44">IF(
$C6="Production",
IF(MOD(COLUMN(),2)=$DH$3,SUM(AT6:AU6)-SUM(CU6:CV6),0),
AU6-CV6)</f>
        <v>0</v>
      </c>
      <c r="EX6" s="138">
        <f t="shared" ref="EX6:EX46" si="45">IF(
$C6="Production",
IF(MOD(COLUMN(),2)=$DH$3,SUM(AU6:AV6)-SUM(CV6:CW6),0),
AV6-CW6)</f>
        <v>0</v>
      </c>
      <c r="EY6" s="138">
        <f t="shared" ref="EY6:EY46" si="46">IF(
$C6="Production",
IF(MOD(COLUMN(),2)=$DH$3,SUM(AV6:AW6)-SUM(CW6:CX6),0),
AW6-CX6)</f>
        <v>0</v>
      </c>
      <c r="EZ6" s="138">
        <f t="shared" ref="EZ6:EZ46" si="47">IF(
$C6="Production",
IF(MOD(COLUMN(),2)=$DH$3,SUM(AW6:AX6)-SUM(CX6:CY6),0),
AX6-CY6)</f>
        <v>0</v>
      </c>
      <c r="FA6" s="138">
        <f t="shared" ref="FA6:FA46" si="48">IF(
$C6="Production",
IF(MOD(COLUMN(),2)=$DH$3,SUM(AX6:AY6)-SUM(CY6:CZ6),0),
AY6-CZ6)</f>
        <v>0</v>
      </c>
      <c r="FB6" s="138">
        <f t="shared" ref="FB6:FB46" si="49">IF(
$C6="Production",
IF(MOD(COLUMN(),2)=$DH$3,SUM(AY6:AZ6)-SUM(CZ6:DA6),0),
AZ6-DA6)</f>
        <v>0</v>
      </c>
      <c r="FC6" s="138">
        <f t="shared" ref="FC6:FC46" si="50">IF(
$C6="Production",
IF(MOD(COLUMN(),2)=$DH$3,SUM(AZ6:BA6)-SUM(DA6:DB6),0),
BA6-DB6)</f>
        <v>0</v>
      </c>
      <c r="FD6" s="138">
        <f t="shared" ref="FD6:FD46" si="51">IF(
$C6="Production",
IF(MOD(COLUMN(),2)=$DH$3,SUM(BA6:BB6)-SUM(DB6:DC6),0),
BB6-DC6)</f>
        <v>0</v>
      </c>
      <c r="FE6" s="138">
        <f t="shared" ref="FE6:FE46" si="52">IF(
$C6="Production",
IF(MOD(COLUMN(),2)=$DH$3,SUM(BB6:BC6)-SUM(DC6:DD6),0),
BC6-DD6)</f>
        <v>0</v>
      </c>
      <c r="FF6" s="138">
        <f t="shared" ref="FF6:FF46" si="53">IF(
$C6="Production",
IF(MOD(COLUMN(),2)=$DH$3,SUM(BC6:BD6)-SUM(DD6:DE6),0),
BD6-DE6)</f>
        <v>0</v>
      </c>
      <c r="FG6" s="113">
        <f t="shared" ref="FG6:FG46" si="54">IF(
$C6="Production",
IF(MOD(COLUMN(),2)=$DH$3,SUM(BD6:BE6)-SUM(DE6:DF6),0),
BE6-DF6)</f>
        <v>0</v>
      </c>
      <c r="FH6" s="113">
        <f t="shared" ref="FH6:FH46" si="55">SUM(DH6:FG6)</f>
        <v>12</v>
      </c>
      <c r="FI6" s="80"/>
      <c r="FJ6" s="151" cm="1">
        <f t="array" ref="FJ6">IF($C6="Production",
IFERROR(_xlfn.IFS(AND(DH6&gt;0,DH6+SUM(BF6:BG6)&lt;=$FM$3),DH6,AND(DH6&gt;0,DH6+SUM(BF6:BG6)&gt;$FM$3),$FM$3-SUM(BF6:BG6)),0),
IFERROR(_xlfn.IFS(AND(DH6&gt;0,DH6+BG6&lt;=$FK$3),DH6,AND(DH6&gt;0,DH6+BG6&gt;$FK$3),0),0)
)</f>
        <v>2.5</v>
      </c>
      <c r="FK6" s="152" cm="1">
        <f t="array" ref="FK6">IF($C6="Production",
IFERROR(_xlfn.IFS(AND(DI6&gt;0,DI6+SUM(BG6:BH6)&lt;=$FM$3),DI6,AND(DI6&gt;0,DI6+SUM(BG6:BH6)&gt;$FM$3),$FM$3-SUM(BG6:BH6)),0),
IFERROR(_xlfn.IFS(AND(DI6&gt;0,DI6+BH6&lt;=$FK$3),DI6,AND(DI6&gt;0,DI6+BH6&gt;$FK$3),0),0)
)</f>
        <v>1.5</v>
      </c>
      <c r="FL6" s="152" cm="1">
        <f t="array" ref="FL6">IF($C6="Production",
IFERROR(_xlfn.IFS(AND(DJ6&gt;0,DJ6+SUM(BH6:BI6)&lt;=$FM$3),DJ6,AND(DJ6&gt;0,DJ6+SUM(BH6:BI6)&gt;$FM$3),$FM$3-SUM(BH6:BI6)),0),
IFERROR(_xlfn.IFS(AND(DJ6&gt;0,DJ6+BI6&lt;=$FK$3),DJ6,AND(DJ6&gt;0,DJ6+BI6&gt;$FK$3),0),0)
)</f>
        <v>0</v>
      </c>
      <c r="FM6" s="152" cm="1">
        <f t="array" ref="FM6">IF($C6="Production",
IFERROR(_xlfn.IFS(AND(DK6&gt;0,DK6+SUM(BI6:BJ6)&lt;=$FM$3),DK6,AND(DK6&gt;0,DK6+SUM(BI6:BJ6)&gt;$FM$3),$FM$3-SUM(BI6:BJ6)),0),
IFERROR(_xlfn.IFS(AND(DK6&gt;0,DK6+BJ6&lt;=$FK$3),DK6,AND(DK6&gt;0,DK6+BJ6&gt;$FK$3),0),0)
)</f>
        <v>3.5</v>
      </c>
      <c r="FN6" s="152" cm="1">
        <f t="array" ref="FN6">IF($C6="Production",
IFERROR(_xlfn.IFS(AND(DL6&gt;0,DL6+SUM(BJ6:BK6)&lt;=$FM$3),DL6,AND(DL6&gt;0,DL6+SUM(BJ6:BK6)&gt;$FM$3),$FM$3-SUM(BJ6:BK6)),0),
IFERROR(_xlfn.IFS(AND(DL6&gt;0,DL6+BK6&lt;=$FK$3),DL6,AND(DL6&gt;0,DL6+BK6&gt;$FK$3),0),0)
)</f>
        <v>0</v>
      </c>
      <c r="FO6" s="152" cm="1">
        <f t="array" ref="FO6">IF($C6="Production",
IFERROR(_xlfn.IFS(AND(DM6&gt;0,DM6+SUM(BK6:BL6)&lt;=$FM$3),DM6,AND(DM6&gt;0,DM6+SUM(BK6:BL6)&gt;$FM$3),$FM$3-SUM(BK6:BL6)),0),
IFERROR(_xlfn.IFS(AND(DM6&gt;0,DM6+BL6&lt;=$FK$3),DM6,AND(DM6&gt;0,DM6+BL6&gt;$FK$3),0),0)
)</f>
        <v>1</v>
      </c>
      <c r="FP6" s="152" cm="1">
        <f t="array" ref="FP6">IF($C6="Production",
IFERROR(_xlfn.IFS(AND(DN6&gt;0,DN6+SUM(BL6:BM6)&lt;=$FM$3),DN6,AND(DN6&gt;0,DN6+SUM(BL6:BM6)&gt;$FM$3),$FM$3-SUM(BL6:BM6)),0),
IFERROR(_xlfn.IFS(AND(DN6&gt;0,DN6+BM6&lt;=$FK$3),DN6,AND(DN6&gt;0,DN6+BM6&gt;$FK$3),0),0)
)</f>
        <v>0</v>
      </c>
      <c r="FQ6" s="152" cm="1">
        <f t="array" ref="FQ6">IF($C6="Production",
IFERROR(_xlfn.IFS(AND(DO6&gt;0,DO6+SUM(BM6:BN6)&lt;=$FM$3),DO6,AND(DO6&gt;0,DO6+SUM(BM6:BN6)&gt;$FM$3),$FM$3-SUM(BM6:BN6)),0),
IFERROR(_xlfn.IFS(AND(DO6&gt;0,DO6+BN6&lt;=$FK$3),DO6,AND(DO6&gt;0,DO6+BN6&gt;$FK$3),0),0)
)</f>
        <v>0</v>
      </c>
      <c r="FR6" s="152" cm="1">
        <f t="array" ref="FR6">IF($C6="Production",
IFERROR(_xlfn.IFS(AND(DP6&gt;0,DP6+SUM(BN6:BO6)&lt;=$FM$3),DP6,AND(DP6&gt;0,DP6+SUM(BN6:BO6)&gt;$FM$3),$FM$3-SUM(BN6:BO6)),0),
IFERROR(_xlfn.IFS(AND(DP6&gt;0,DP6+BO6&lt;=$FK$3),DP6,AND(DP6&gt;0,DP6+BO6&gt;$FK$3),0),0)
)</f>
        <v>1</v>
      </c>
      <c r="FS6" s="152" cm="1">
        <f t="array" ref="FS6">IF($C6="Production",
IFERROR(_xlfn.IFS(AND(DQ6&gt;0,DQ6+SUM(BO6:BP6)&lt;=$FM$3),DQ6,AND(DQ6&gt;0,DQ6+SUM(BO6:BP6)&gt;$FM$3),$FM$3-SUM(BO6:BP6)),0),
IFERROR(_xlfn.IFS(AND(DQ6&gt;0,DQ6+BP6&lt;=$FK$3),DQ6,AND(DQ6&gt;0,DQ6+BP6&gt;$FK$3),0),0)
)</f>
        <v>2.5</v>
      </c>
      <c r="FT6" s="152" cm="1">
        <f t="array" ref="FT6">IF($C6="Production",
IFERROR(_xlfn.IFS(AND(DR6&gt;0,DR6+SUM(BP6:BQ6)&lt;=$FM$3),DR6,AND(DR6&gt;0,DR6+SUM(BP6:BQ6)&gt;$FM$3),$FM$3-SUM(BP6:BQ6)),0),
IFERROR(_xlfn.IFS(AND(DR6&gt;0,DR6+BQ6&lt;=$FK$3),DR6,AND(DR6&gt;0,DR6+BQ6&gt;$FK$3),0),0)
)</f>
        <v>0</v>
      </c>
      <c r="FU6" s="152" cm="1">
        <f t="array" ref="FU6">IF($C6="Production",
IFERROR(_xlfn.IFS(AND(DS6&gt;0,DS6+SUM(BQ6:BR6)&lt;=$FM$3),DS6,AND(DS6&gt;0,DS6+SUM(BQ6:BR6)&gt;$FM$3),$FM$3-SUM(BQ6:BR6)),0),
IFERROR(_xlfn.IFS(AND(DS6&gt;0,DS6+BR6&lt;=$FK$3),DS6,AND(DS6&gt;0,DS6+BR6&gt;$FK$3),0),0)
)</f>
        <v>0</v>
      </c>
      <c r="FV6" s="152" cm="1">
        <f t="array" ref="FV6">IF($C6="Production",
IFERROR(_xlfn.IFS(AND(DT6&gt;0,DT6+SUM(BR6:BS6)&lt;=$FM$3),DT6,AND(DT6&gt;0,DT6+SUM(BR6:BS6)&gt;$FM$3),$FM$3-SUM(BR6:BS6)),0),
IFERROR(_xlfn.IFS(AND(DT6&gt;0,DT6+BS6&lt;=$FK$3),DT6,AND(DT6&gt;0,DT6+BS6&gt;$FK$3),0),0)
)</f>
        <v>0</v>
      </c>
      <c r="FW6" s="152" cm="1">
        <f t="array" ref="FW6">IF($C6="Production",
IFERROR(_xlfn.IFS(AND(DU6&gt;0,DU6+SUM(BS6:BT6)&lt;=$FM$3),DU6,AND(DU6&gt;0,DU6+SUM(BS6:BT6)&gt;$FM$3),$FM$3-SUM(BS6:BT6)),0),
IFERROR(_xlfn.IFS(AND(DU6&gt;0,DU6+BT6&lt;=$FK$3),DU6,AND(DU6&gt;0,DU6+BT6&gt;$FK$3),0),0)
)</f>
        <v>0</v>
      </c>
      <c r="FX6" s="152" cm="1">
        <f t="array" ref="FX6">IF($C6="Production",
IFERROR(_xlfn.IFS(AND(DV6&gt;0,DV6+SUM(BT6:BU6)&lt;=$FM$3),DV6,AND(DV6&gt;0,DV6+SUM(BT6:BU6)&gt;$FM$3),$FM$3-SUM(BT6:BU6)),0),
IFERROR(_xlfn.IFS(AND(DV6&gt;0,DV6+BU6&lt;=$FK$3),DV6,AND(DV6&gt;0,DV6+BU6&gt;$FK$3),0),0)
)</f>
        <v>0</v>
      </c>
      <c r="FY6" s="152" cm="1">
        <f t="array" ref="FY6">IF($C6="Production",
IFERROR(_xlfn.IFS(AND(DW6&gt;0,DW6+SUM(BU6:BV6)&lt;=$FM$3),DW6,AND(DW6&gt;0,DW6+SUM(BU6:BV6)&gt;$FM$3),$FM$3-SUM(BU6:BV6)),0),
IFERROR(_xlfn.IFS(AND(DW6&gt;0,DW6+BV6&lt;=$FK$3),DW6,AND(DW6&gt;0,DW6+BV6&gt;$FK$3),0),0)
)</f>
        <v>0</v>
      </c>
      <c r="FZ6" s="152" cm="1">
        <f t="array" ref="FZ6">IF($C6="Production",
IFERROR(_xlfn.IFS(AND(DX6&gt;0,DX6+SUM(BV6:BW6)&lt;=$FM$3),DX6,AND(DX6&gt;0,DX6+SUM(BV6:BW6)&gt;$FM$3),$FM$3-SUM(BV6:BW6)),0),
IFERROR(_xlfn.IFS(AND(DX6&gt;0,DX6+BW6&lt;=$FK$3),DX6,AND(DX6&gt;0,DX6+BW6&gt;$FK$3),0),0)
)</f>
        <v>0</v>
      </c>
      <c r="GA6" s="152" cm="1">
        <f t="array" ref="GA6">IF($C6="Production",
IFERROR(_xlfn.IFS(AND(DY6&gt;0,DY6+SUM(BW6:BX6)&lt;=$FM$3),DY6,AND(DY6&gt;0,DY6+SUM(BW6:BX6)&gt;$FM$3),$FM$3-SUM(BW6:BX6)),0),
IFERROR(_xlfn.IFS(AND(DY6&gt;0,DY6+BX6&lt;=$FK$3),DY6,AND(DY6&gt;0,DY6+BX6&gt;$FK$3),0),0)
)</f>
        <v>0</v>
      </c>
      <c r="GB6" s="152" cm="1">
        <f t="array" ref="GB6">IF($C6="Production",
IFERROR(_xlfn.IFS(AND(DZ6&gt;0,DZ6+SUM(BX6:BY6)&lt;=$FM$3),DZ6,AND(DZ6&gt;0,DZ6+SUM(BX6:BY6)&gt;$FM$3),$FM$3-SUM(BX6:BY6)),0),
IFERROR(_xlfn.IFS(AND(DZ6&gt;0,DZ6+BY6&lt;=$FK$3),DZ6,AND(DZ6&gt;0,DZ6+BY6&gt;$FK$3),0),0)
)</f>
        <v>0</v>
      </c>
      <c r="GC6" s="152" cm="1">
        <f t="array" ref="GC6">IF($C6="Production",
IFERROR(_xlfn.IFS(AND(EA6&gt;0,EA6+SUM(BY6:BZ6)&lt;=$FM$3),EA6,AND(EA6&gt;0,EA6+SUM(BY6:BZ6)&gt;$FM$3),$FM$3-SUM(BY6:BZ6)),0),
IFERROR(_xlfn.IFS(AND(EA6&gt;0,EA6+BZ6&lt;=$FK$3),EA6,AND(EA6&gt;0,EA6+BZ6&gt;$FK$3),0),0)
)</f>
        <v>0</v>
      </c>
      <c r="GD6" s="152" cm="1">
        <f t="array" ref="GD6">IF($C6="Production",
IFERROR(_xlfn.IFS(AND(EB6&gt;0,EB6+SUM(BZ6:CA6)&lt;=$FM$3),EB6,AND(EB6&gt;0,EB6+SUM(BZ6:CA6)&gt;$FM$3),$FM$3-SUM(BZ6:CA6)),0),
IFERROR(_xlfn.IFS(AND(EB6&gt;0,EB6+CA6&lt;=$FK$3),EB6,AND(EB6&gt;0,EB6+CA6&gt;$FK$3),0),0)
)</f>
        <v>0</v>
      </c>
      <c r="GE6" s="152" cm="1">
        <f t="array" ref="GE6">IF($C6="Production",
IFERROR(_xlfn.IFS(AND(EC6&gt;0,EC6+SUM(CA6:CB6)&lt;=$FM$3),EC6,AND(EC6&gt;0,EC6+SUM(CA6:CB6)&gt;$FM$3),$FM$3-SUM(CA6:CB6)),0),
IFERROR(_xlfn.IFS(AND(EC6&gt;0,EC6+CB6&lt;=$FK$3),EC6,AND(EC6&gt;0,EC6+CB6&gt;$FK$3),0),0)
)</f>
        <v>0</v>
      </c>
      <c r="GF6" s="152" cm="1">
        <f t="array" ref="GF6">IF($C6="Production",
IFERROR(_xlfn.IFS(AND(ED6&gt;0,ED6+SUM(CB6:CC6)&lt;=$FM$3),ED6,AND(ED6&gt;0,ED6+SUM(CB6:CC6)&gt;$FM$3),$FM$3-SUM(CB6:CC6)),0),
IFERROR(_xlfn.IFS(AND(ED6&gt;0,ED6+CC6&lt;=$FK$3),ED6,AND(ED6&gt;0,ED6+CC6&gt;$FK$3),0),0)
)</f>
        <v>0</v>
      </c>
      <c r="GG6" s="152" cm="1">
        <f t="array" ref="GG6">IF($C6="Production",
IFERROR(_xlfn.IFS(AND(EE6&gt;0,EE6+SUM(CC6:CD6)&lt;=$FM$3),EE6,AND(EE6&gt;0,EE6+SUM(CC6:CD6)&gt;$FM$3),$FM$3-SUM(CC6:CD6)),0),
IFERROR(_xlfn.IFS(AND(EE6&gt;0,EE6+CD6&lt;=$FK$3),EE6,AND(EE6&gt;0,EE6+CD6&gt;$FK$3),0),0)
)</f>
        <v>0</v>
      </c>
      <c r="GH6" s="152" cm="1">
        <f t="array" ref="GH6">IF($C6="Production",
IFERROR(_xlfn.IFS(AND(EF6&gt;0,EF6+SUM(CD6:CE6)&lt;=$FM$3),EF6,AND(EF6&gt;0,EF6+SUM(CD6:CE6)&gt;$FM$3),$FM$3-SUM(CD6:CE6)),0),
IFERROR(_xlfn.IFS(AND(EF6&gt;0,EF6+CE6&lt;=$FK$3),EF6,AND(EF6&gt;0,EF6+CE6&gt;$FK$3),0),0)
)</f>
        <v>0</v>
      </c>
      <c r="GI6" s="152" cm="1">
        <f t="array" ref="GI6">IF($C6="Production",
IFERROR(_xlfn.IFS(AND(EG6&gt;0,EG6+SUM(CE6:CF6)&lt;=$FM$3),EG6,AND(EG6&gt;0,EG6+SUM(CE6:CF6)&gt;$FM$3),$FM$3-SUM(CE6:CF6)),0),
IFERROR(_xlfn.IFS(AND(EG6&gt;0,EG6+CF6&lt;=$FK$3),EG6,AND(EG6&gt;0,EG6+CF6&gt;$FK$3),0),0)
)</f>
        <v>0</v>
      </c>
      <c r="GJ6" s="152" cm="1">
        <f t="array" ref="GJ6">IF($C6="Production",
IFERROR(_xlfn.IFS(AND(EH6&gt;0,EH6+SUM(CF6:CG6)&lt;=$FM$3),EH6,AND(EH6&gt;0,EH6+SUM(CF6:CG6)&gt;$FM$3),$FM$3-SUM(CF6:CG6)),0),
IFERROR(_xlfn.IFS(AND(EH6&gt;0,EH6+CG6&lt;=$FK$3),EH6,AND(EH6&gt;0,EH6+CG6&gt;$FK$3),0),0)
)</f>
        <v>0</v>
      </c>
      <c r="GK6" s="152" cm="1">
        <f t="array" ref="GK6">IF($C6="Production",
IFERROR(_xlfn.IFS(AND(EI6&gt;0,EI6+SUM(CG6:CH6)&lt;=$FM$3),EI6,AND(EI6&gt;0,EI6+SUM(CG6:CH6)&gt;$FM$3),$FM$3-SUM(CG6:CH6)),0),
IFERROR(_xlfn.IFS(AND(EI6&gt;0,EI6+CH6&lt;=$FK$3),EI6,AND(EI6&gt;0,EI6+CH6&gt;$FK$3),0),0)
)</f>
        <v>0</v>
      </c>
      <c r="GL6" s="152" cm="1">
        <f t="array" ref="GL6">IF($C6="Production",
IFERROR(_xlfn.IFS(AND(EJ6&gt;0,EJ6+SUM(CH6:CI6)&lt;=$FM$3),EJ6,AND(EJ6&gt;0,EJ6+SUM(CH6:CI6)&gt;$FM$3),$FM$3-SUM(CH6:CI6)),0),
IFERROR(_xlfn.IFS(AND(EJ6&gt;0,EJ6+CI6&lt;=$FK$3),EJ6,AND(EJ6&gt;0,EJ6+CI6&gt;$FK$3),0),0)
)</f>
        <v>0</v>
      </c>
      <c r="GM6" s="152" cm="1">
        <f t="array" ref="GM6">IF($C6="Production",
IFERROR(_xlfn.IFS(AND(EK6&gt;0,EK6+SUM(CI6:CJ6)&lt;=$FM$3),EK6,AND(EK6&gt;0,EK6+SUM(CI6:CJ6)&gt;$FM$3),$FM$3-SUM(CI6:CJ6)),0),
IFERROR(_xlfn.IFS(AND(EK6&gt;0,EK6+CJ6&lt;=$FK$3),EK6,AND(EK6&gt;0,EK6+CJ6&gt;$FK$3),0),0)
)</f>
        <v>0</v>
      </c>
      <c r="GN6" s="152" cm="1">
        <f t="array" ref="GN6">IF($C6="Production",
IFERROR(_xlfn.IFS(AND(EL6&gt;0,EL6+SUM(CJ6:CK6)&lt;=$FM$3),EL6,AND(EL6&gt;0,EL6+SUM(CJ6:CK6)&gt;$FM$3),$FM$3-SUM(CJ6:CK6)),0),
IFERROR(_xlfn.IFS(AND(EL6&gt;0,EL6+CK6&lt;=$FK$3),EL6,AND(EL6&gt;0,EL6+CK6&gt;$FK$3),0),0)
)</f>
        <v>0</v>
      </c>
      <c r="GO6" s="152" cm="1">
        <f t="array" ref="GO6">IF($C6="Production",
IFERROR(_xlfn.IFS(AND(EM6&gt;0,EM6+SUM(CK6:CL6)&lt;=$FM$3),EM6,AND(EM6&gt;0,EM6+SUM(CK6:CL6)&gt;$FM$3),$FM$3-SUM(CK6:CL6)),0),
IFERROR(_xlfn.IFS(AND(EM6&gt;0,EM6+CL6&lt;=$FK$3),EM6,AND(EM6&gt;0,EM6+CL6&gt;$FK$3),0),0)
)</f>
        <v>0</v>
      </c>
      <c r="GP6" s="152" cm="1">
        <f t="array" ref="GP6">IF($C6="Production",
IFERROR(_xlfn.IFS(AND(EN6&gt;0,EN6+SUM(CL6:CM6)&lt;=$FM$3),EN6,AND(EN6&gt;0,EN6+SUM(CL6:CM6)&gt;$FM$3),$FM$3-SUM(CL6:CM6)),0),
IFERROR(_xlfn.IFS(AND(EN6&gt;0,EN6+CM6&lt;=$FK$3),EN6,AND(EN6&gt;0,EN6+CM6&gt;$FK$3),0),0)
)</f>
        <v>0</v>
      </c>
      <c r="GQ6" s="152" cm="1">
        <f t="array" ref="GQ6">IF($C6="Production",
IFERROR(_xlfn.IFS(AND(EO6&gt;0,EO6+SUM(CM6:CN6)&lt;=$FM$3),EO6,AND(EO6&gt;0,EO6+SUM(CM6:CN6)&gt;$FM$3),$FM$3-SUM(CM6:CN6)),0),
IFERROR(_xlfn.IFS(AND(EO6&gt;0,EO6+CN6&lt;=$FK$3),EO6,AND(EO6&gt;0,EO6+CN6&gt;$FK$3),0),0)
)</f>
        <v>0</v>
      </c>
      <c r="GR6" s="152" cm="1">
        <f t="array" ref="GR6">IF($C6="Production",
IFERROR(_xlfn.IFS(AND(EP6&gt;0,EP6+SUM(CN6:CO6)&lt;=$FM$3),EP6,AND(EP6&gt;0,EP6+SUM(CN6:CO6)&gt;$FM$3),$FM$3-SUM(CN6:CO6)),0),
IFERROR(_xlfn.IFS(AND(EP6&gt;0,EP6+CO6&lt;=$FK$3),EP6,AND(EP6&gt;0,EP6+CO6&gt;$FK$3),0),0)
)</f>
        <v>0</v>
      </c>
      <c r="GS6" s="152" cm="1">
        <f t="array" ref="GS6">IF($C6="Production",
IFERROR(_xlfn.IFS(AND(EQ6&gt;0,EQ6+SUM(CO6:CP6)&lt;=$FM$3),EQ6,AND(EQ6&gt;0,EQ6+SUM(CO6:CP6)&gt;$FM$3),$FM$3-SUM(CO6:CP6)),0),
IFERROR(_xlfn.IFS(AND(EQ6&gt;0,EQ6+CP6&lt;=$FK$3),EQ6,AND(EQ6&gt;0,EQ6+CP6&gt;$FK$3),0),0)
)</f>
        <v>0</v>
      </c>
      <c r="GT6" s="152" cm="1">
        <f t="array" ref="GT6">IF($C6="Production",
IFERROR(_xlfn.IFS(AND(ER6&gt;0,ER6+SUM(CP6:CQ6)&lt;=$FM$3),ER6,AND(ER6&gt;0,ER6+SUM(CP6:CQ6)&gt;$FM$3),$FM$3-SUM(CP6:CQ6)),0),
IFERROR(_xlfn.IFS(AND(ER6&gt;0,ER6+CQ6&lt;=$FK$3),ER6,AND(ER6&gt;0,ER6+CQ6&gt;$FK$3),0),0)
)</f>
        <v>0</v>
      </c>
      <c r="GU6" s="152" cm="1">
        <f t="array" ref="GU6">IF($C6="Production",
IFERROR(_xlfn.IFS(AND(ES6&gt;0,ES6+SUM(CQ6:CR6)&lt;=$FM$3),ES6,AND(ES6&gt;0,ES6+SUM(CQ6:CR6)&gt;$FM$3),$FM$3-SUM(CQ6:CR6)),0),
IFERROR(_xlfn.IFS(AND(ES6&gt;0,ES6+CR6&lt;=$FK$3),ES6,AND(ES6&gt;0,ES6+CR6&gt;$FK$3),0),0)
)</f>
        <v>0</v>
      </c>
      <c r="GV6" s="152" cm="1">
        <f t="array" ref="GV6">IF($C6="Production",
IFERROR(_xlfn.IFS(AND(ET6&gt;0,ET6+SUM(CR6:CS6)&lt;=$FM$3),ET6,AND(ET6&gt;0,ET6+SUM(CR6:CS6)&gt;$FM$3),$FM$3-SUM(CR6:CS6)),0),
IFERROR(_xlfn.IFS(AND(ET6&gt;0,ET6+CS6&lt;=$FK$3),ET6,AND(ET6&gt;0,ET6+CS6&gt;$FK$3),0),0)
)</f>
        <v>0</v>
      </c>
      <c r="GW6" s="152" cm="1">
        <f t="array" ref="GW6">IF($C6="Production",
IFERROR(_xlfn.IFS(AND(EU6&gt;0,EU6+SUM(CS6:CT6)&lt;=$FM$3),EU6,AND(EU6&gt;0,EU6+SUM(CS6:CT6)&gt;$FM$3),$FM$3-SUM(CS6:CT6)),0),
IFERROR(_xlfn.IFS(AND(EU6&gt;0,EU6+CT6&lt;=$FK$3),EU6,AND(EU6&gt;0,EU6+CT6&gt;$FK$3),0),0)
)</f>
        <v>0</v>
      </c>
      <c r="GX6" s="152" cm="1">
        <f t="array" ref="GX6">IF($C6="Production",
IFERROR(_xlfn.IFS(AND(EV6&gt;0,EV6+SUM(CT6:CU6)&lt;=$FM$3),EV6,AND(EV6&gt;0,EV6+SUM(CT6:CU6)&gt;$FM$3),$FM$3-SUM(CT6:CU6)),0),
IFERROR(_xlfn.IFS(AND(EV6&gt;0,EV6+CU6&lt;=$FK$3),EV6,AND(EV6&gt;0,EV6+CU6&gt;$FK$3),0),0)
)</f>
        <v>0</v>
      </c>
      <c r="GY6" s="152" cm="1">
        <f t="array" ref="GY6">IF($C6="Production",
IFERROR(_xlfn.IFS(AND(EW6&gt;0,EW6+SUM(CU6:CV6)&lt;=$FM$3),EW6,AND(EW6&gt;0,EW6+SUM(CU6:CV6)&gt;$FM$3),$FM$3-SUM(CU6:CV6)),0),
IFERROR(_xlfn.IFS(AND(EW6&gt;0,EW6+CV6&lt;=$FK$3),EW6,AND(EW6&gt;0,EW6+CV6&gt;$FK$3),0),0)
)</f>
        <v>0</v>
      </c>
      <c r="GZ6" s="152" cm="1">
        <f t="array" ref="GZ6">IF($C6="Production",
IFERROR(_xlfn.IFS(AND(EX6&gt;0,EX6+SUM(CV6:CW6)&lt;=$FM$3),EX6,AND(EX6&gt;0,EX6+SUM(CV6:CW6)&gt;$FM$3),$FM$3-SUM(CV6:CW6)),0),
IFERROR(_xlfn.IFS(AND(EX6&gt;0,EX6+CW6&lt;=$FK$3),EX6,AND(EX6&gt;0,EX6+CW6&gt;$FK$3),0),0)
)</f>
        <v>0</v>
      </c>
      <c r="HA6" s="152" cm="1">
        <f t="array" ref="HA6">IF($C6="Production",
IFERROR(_xlfn.IFS(AND(EY6&gt;0,EY6+SUM(CW6:CX6)&lt;=$FM$3),EY6,AND(EY6&gt;0,EY6+SUM(CW6:CX6)&gt;$FM$3),$FM$3-SUM(CW6:CX6)),0),
IFERROR(_xlfn.IFS(AND(EY6&gt;0,EY6+CX6&lt;=$FK$3),EY6,AND(EY6&gt;0,EY6+CX6&gt;$FK$3),0),0)
)</f>
        <v>0</v>
      </c>
      <c r="HB6" s="152" cm="1">
        <f t="array" ref="HB6">IF($C6="Production",
IFERROR(_xlfn.IFS(AND(EZ6&gt;0,EZ6+SUM(CX6:CY6)&lt;=$FM$3),EZ6,AND(EZ6&gt;0,EZ6+SUM(CX6:CY6)&gt;$FM$3),$FM$3-SUM(CX6:CY6)),0),
IFERROR(_xlfn.IFS(AND(EZ6&gt;0,EZ6+CY6&lt;=$FK$3),EZ6,AND(EZ6&gt;0,EZ6+CY6&gt;$FK$3),0),0)
)</f>
        <v>0</v>
      </c>
      <c r="HC6" s="152" cm="1">
        <f t="array" ref="HC6">IF($C6="Production",
IFERROR(_xlfn.IFS(AND(FA6&gt;0,FA6+SUM(CY6:CZ6)&lt;=$FM$3),FA6,AND(FA6&gt;0,FA6+SUM(CY6:CZ6)&gt;$FM$3),$FM$3-SUM(CY6:CZ6)),0),
IFERROR(_xlfn.IFS(AND(FA6&gt;0,FA6+CZ6&lt;=$FK$3),FA6,AND(FA6&gt;0,FA6+CZ6&gt;$FK$3),0),0)
)</f>
        <v>0</v>
      </c>
      <c r="HD6" s="152" cm="1">
        <f t="array" ref="HD6">IF($C6="Production",
IFERROR(_xlfn.IFS(AND(FB6&gt;0,FB6+SUM(CZ6:DA6)&lt;=$FM$3),FB6,AND(FB6&gt;0,FB6+SUM(CZ6:DA6)&gt;$FM$3),$FM$3-SUM(CZ6:DA6)),0),
IFERROR(_xlfn.IFS(AND(FB6&gt;0,FB6+DA6&lt;=$FK$3),FB6,AND(FB6&gt;0,FB6+DA6&gt;$FK$3),0),0)
)</f>
        <v>0</v>
      </c>
      <c r="HE6" s="152" cm="1">
        <f t="array" ref="HE6">IF($C6="Production",
IFERROR(_xlfn.IFS(AND(FC6&gt;0,FC6+SUM(DA6:DB6)&lt;=$FM$3),FC6,AND(FC6&gt;0,FC6+SUM(DA6:DB6)&gt;$FM$3),$FM$3-SUM(DA6:DB6)),0),
IFERROR(_xlfn.IFS(AND(FC6&gt;0,FC6+DB6&lt;=$FK$3),FC6,AND(FC6&gt;0,FC6+DB6&gt;$FK$3),0),0)
)</f>
        <v>0</v>
      </c>
      <c r="HF6" s="152" cm="1">
        <f t="array" ref="HF6">IF($C6="Production",
IFERROR(_xlfn.IFS(AND(FD6&gt;0,FD6+SUM(DB6:DC6)&lt;=$FM$3),FD6,AND(FD6&gt;0,FD6+SUM(DB6:DC6)&gt;$FM$3),$FM$3-SUM(DB6:DC6)),0),
IFERROR(_xlfn.IFS(AND(FD6&gt;0,FD6+DC6&lt;=$FK$3),FD6,AND(FD6&gt;0,FD6+DC6&gt;$FK$3),0),0)
)</f>
        <v>0</v>
      </c>
      <c r="HG6" s="152" cm="1">
        <f t="array" ref="HG6">IF($C6="Production",
IFERROR(_xlfn.IFS(AND(FE6&gt;0,FE6+SUM(DC6:DD6)&lt;=$FM$3),FE6,AND(FE6&gt;0,FE6+SUM(DC6:DD6)&gt;$FM$3),$FM$3-SUM(DC6:DD6)),0),
IFERROR(_xlfn.IFS(AND(FE6&gt;0,FE6+DD6&lt;=$FK$3),FE6,AND(FE6&gt;0,FE6+DD6&gt;$FK$3),0),0)
)</f>
        <v>0</v>
      </c>
      <c r="HH6" s="152" cm="1">
        <f t="array" ref="HH6">IF($C6="Production",
IFERROR(_xlfn.IFS(AND(FF6&gt;0,FF6+SUM(DD6:DE6)&lt;=$FM$3),FF6,AND(FF6&gt;0,FF6+SUM(DD6:DE6)&gt;$FM$3),$FM$3-SUM(DD6:DE6)),0),
IFERROR(_xlfn.IFS(AND(FF6&gt;0,FF6+DE6&lt;=$FK$3),FF6,AND(FF6&gt;0,FF6+DE6&gt;$FK$3),0),0)
)</f>
        <v>0</v>
      </c>
      <c r="HI6" s="156" cm="1">
        <f t="array" ref="HI6">IF($C6="Production",
IFERROR(_xlfn.IFS(AND(FG6&gt;0,FG6+SUM(DE6:DF6)&lt;=$FM$3),FG6,AND(FG6&gt;0,FG6+SUM(DE6:DF6)&gt;$FM$3),$FM$3-SUM(DE6:DF6)),0),
IFERROR(_xlfn.IFS(AND(FG6&gt;0,FG6+DF6&lt;=$FK$3),FG6,AND(FG6&gt;0,FG6+DF6&gt;$FK$3),0),0)
)</f>
        <v>0</v>
      </c>
      <c r="HJ6" s="113">
        <f>SUM(FJ6:HI6)</f>
        <v>12</v>
      </c>
      <c r="HK6" s="80"/>
      <c r="HL6" s="112">
        <f t="shared" ref="HL6:HL46" si="56">IFERROR(IF(FJ6&gt;0,DH6-FJ6,0),0)</f>
        <v>0</v>
      </c>
      <c r="HM6" s="138">
        <f t="shared" ref="HM6:HM46" si="57">IFERROR(IF(FK6&gt;0,DI6-FK6,0),0)</f>
        <v>0</v>
      </c>
      <c r="HN6" s="138">
        <f t="shared" ref="HN6:HN46" si="58">IFERROR(IF(FL6&gt;0,DJ6-FL6,0),0)</f>
        <v>0</v>
      </c>
      <c r="HO6" s="138">
        <f t="shared" ref="HO6:HO46" si="59">IFERROR(IF(FM6&gt;0,DK6-FM6,0),0)</f>
        <v>0</v>
      </c>
      <c r="HP6" s="138">
        <f t="shared" ref="HP6:HP46" si="60">IFERROR(IF(FN6&gt;0,DL6-FN6,0),0)</f>
        <v>0</v>
      </c>
      <c r="HQ6" s="138">
        <f t="shared" ref="HQ6:HQ46" si="61">IFERROR(IF(FO6&gt;0,DM6-FO6,0),0)</f>
        <v>0</v>
      </c>
      <c r="HR6" s="138">
        <f t="shared" ref="HR6:HR46" si="62">IFERROR(IF(FP6&gt;0,DN6-FP6,0),0)</f>
        <v>0</v>
      </c>
      <c r="HS6" s="138">
        <f t="shared" ref="HS6:HS46" si="63">IFERROR(IF(FQ6&gt;0,DO6-FQ6,0),0)</f>
        <v>0</v>
      </c>
      <c r="HT6" s="138">
        <f t="shared" ref="HT6:HT46" si="64">IFERROR(IF(FR6&gt;0,DP6-FR6,0),0)</f>
        <v>0</v>
      </c>
      <c r="HU6" s="138">
        <f t="shared" ref="HU6:HU46" si="65">IFERROR(IF(FS6&gt;0,DQ6-FS6,0),0)</f>
        <v>0</v>
      </c>
      <c r="HV6" s="138">
        <f t="shared" ref="HV6:HV46" si="66">IFERROR(IF(FT6&gt;0,DR6-FT6,0),0)</f>
        <v>0</v>
      </c>
      <c r="HW6" s="138">
        <f t="shared" ref="HW6:HW46" si="67">IFERROR(IF(FU6&gt;0,DS6-FU6,0),0)</f>
        <v>0</v>
      </c>
      <c r="HX6" s="138">
        <f t="shared" ref="HX6:HX46" si="68">IFERROR(IF(FV6&gt;0,DT6-FV6,0),0)</f>
        <v>0</v>
      </c>
      <c r="HY6" s="138">
        <f t="shared" ref="HY6:HY46" si="69">IFERROR(IF(FW6&gt;0,DU6-FW6,0),0)</f>
        <v>0</v>
      </c>
      <c r="HZ6" s="138">
        <f t="shared" ref="HZ6:HZ46" si="70">IFERROR(IF(FX6&gt;0,DV6-FX6,0),0)</f>
        <v>0</v>
      </c>
      <c r="IA6" s="138">
        <f t="shared" ref="IA6:IA46" si="71">IFERROR(IF(FY6&gt;0,DW6-FY6,0),0)</f>
        <v>0</v>
      </c>
      <c r="IB6" s="138">
        <f t="shared" ref="IB6:IB46" si="72">IFERROR(IF(FZ6&gt;0,DX6-FZ6,0),0)</f>
        <v>0</v>
      </c>
      <c r="IC6" s="138">
        <f t="shared" ref="IC6:IC46" si="73">IFERROR(IF(GA6&gt;0,DY6-GA6,0),0)</f>
        <v>0</v>
      </c>
      <c r="ID6" s="138">
        <f t="shared" ref="ID6:ID46" si="74">IFERROR(IF(GB6&gt;0,DZ6-GB6,0),0)</f>
        <v>0</v>
      </c>
      <c r="IE6" s="138">
        <f t="shared" ref="IE6:IE46" si="75">IFERROR(IF(GC6&gt;0,EA6-GC6,0),0)</f>
        <v>0</v>
      </c>
      <c r="IF6" s="138">
        <f t="shared" ref="IF6:IF46" si="76">IFERROR(IF(GD6&gt;0,EB6-GD6,0),0)</f>
        <v>0</v>
      </c>
      <c r="IG6" s="138">
        <f t="shared" ref="IG6:IG46" si="77">IFERROR(IF(GE6&gt;0,EC6-GE6,0),0)</f>
        <v>0</v>
      </c>
      <c r="IH6" s="138">
        <f t="shared" ref="IH6:IH46" si="78">IFERROR(IF(GF6&gt;0,ED6-GF6,0),0)</f>
        <v>0</v>
      </c>
      <c r="II6" s="138">
        <f t="shared" ref="II6:II46" si="79">IFERROR(IF(GG6&gt;0,EE6-GG6,0),0)</f>
        <v>0</v>
      </c>
      <c r="IJ6" s="138">
        <f t="shared" ref="IJ6:IJ46" si="80">IFERROR(IF(GH6&gt;0,EF6-GH6,0),0)</f>
        <v>0</v>
      </c>
      <c r="IK6" s="138">
        <f t="shared" ref="IK6:IK46" si="81">IFERROR(IF(GI6&gt;0,EG6-GI6,0),0)</f>
        <v>0</v>
      </c>
      <c r="IL6" s="138">
        <f t="shared" ref="IL6:IL46" si="82">IFERROR(IF(GJ6&gt;0,EH6-GJ6,0),0)</f>
        <v>0</v>
      </c>
      <c r="IM6" s="138">
        <f t="shared" ref="IM6:IM46" si="83">IFERROR(IF(GK6&gt;0,EI6-GK6,0),0)</f>
        <v>0</v>
      </c>
      <c r="IN6" s="138">
        <f t="shared" ref="IN6:IN46" si="84">IFERROR(IF(GL6&gt;0,EJ6-GL6,0),0)</f>
        <v>0</v>
      </c>
      <c r="IO6" s="138">
        <f t="shared" ref="IO6:IO46" si="85">IFERROR(IF(GM6&gt;0,EK6-GM6,0),0)</f>
        <v>0</v>
      </c>
      <c r="IP6" s="138">
        <f t="shared" ref="IP6:IP46" si="86">IFERROR(IF(GN6&gt;0,EL6-GN6,0),0)</f>
        <v>0</v>
      </c>
      <c r="IQ6" s="138">
        <f t="shared" ref="IQ6:IQ46" si="87">IFERROR(IF(GO6&gt;0,EM6-GO6,0),0)</f>
        <v>0</v>
      </c>
      <c r="IR6" s="138">
        <f t="shared" ref="IR6:IR46" si="88">IFERROR(IF(GP6&gt;0,EN6-GP6,0),0)</f>
        <v>0</v>
      </c>
      <c r="IS6" s="138">
        <f t="shared" ref="IS6:IS46" si="89">IFERROR(IF(GQ6&gt;0,EO6-GQ6,0),0)</f>
        <v>0</v>
      </c>
      <c r="IT6" s="138">
        <f t="shared" ref="IT6:IT46" si="90">IFERROR(IF(GR6&gt;0,EP6-GR6,0),0)</f>
        <v>0</v>
      </c>
      <c r="IU6" s="138">
        <f t="shared" ref="IU6:IU46" si="91">IFERROR(IF(GS6&gt;0,EQ6-GS6,0),0)</f>
        <v>0</v>
      </c>
      <c r="IV6" s="138">
        <f t="shared" ref="IV6:IV46" si="92">IFERROR(IF(GT6&gt;0,ER6-GT6,0),0)</f>
        <v>0</v>
      </c>
      <c r="IW6" s="138">
        <f t="shared" ref="IW6:IW46" si="93">IFERROR(IF(GU6&gt;0,ES6-GU6,0),0)</f>
        <v>0</v>
      </c>
      <c r="IX6" s="138">
        <f t="shared" ref="IX6:IX46" si="94">IFERROR(IF(GV6&gt;0,ET6-GV6,0),0)</f>
        <v>0</v>
      </c>
      <c r="IY6" s="138">
        <f t="shared" ref="IY6:IY46" si="95">IFERROR(IF(GW6&gt;0,EU6-GW6,0),0)</f>
        <v>0</v>
      </c>
      <c r="IZ6" s="138">
        <f t="shared" ref="IZ6:IZ46" si="96">IFERROR(IF(GX6&gt;0,EV6-GX6,0),0)</f>
        <v>0</v>
      </c>
      <c r="JA6" s="138">
        <f t="shared" ref="JA6:JA46" si="97">IFERROR(IF(GY6&gt;0,EW6-GY6,0),0)</f>
        <v>0</v>
      </c>
      <c r="JB6" s="138">
        <f t="shared" ref="JB6:JB46" si="98">IFERROR(IF(GZ6&gt;0,EX6-GZ6,0),0)</f>
        <v>0</v>
      </c>
      <c r="JC6" s="138">
        <f t="shared" ref="JC6:JC46" si="99">IFERROR(IF(HA6&gt;0,EY6-HA6,0),0)</f>
        <v>0</v>
      </c>
      <c r="JD6" s="138">
        <f t="shared" ref="JD6:JD46" si="100">IFERROR(IF(HB6&gt;0,EZ6-HB6,0),0)</f>
        <v>0</v>
      </c>
      <c r="JE6" s="138">
        <f t="shared" ref="JE6:JE46" si="101">IFERROR(IF(HC6&gt;0,FA6-HC6,0),0)</f>
        <v>0</v>
      </c>
      <c r="JF6" s="138">
        <f t="shared" ref="JF6:JF46" si="102">IFERROR(IF(HD6&gt;0,FB6-HD6,0),0)</f>
        <v>0</v>
      </c>
      <c r="JG6" s="138">
        <f t="shared" ref="JG6:JG46" si="103">IFERROR(IF(HE6&gt;0,FC6-HE6,0),0)</f>
        <v>0</v>
      </c>
      <c r="JH6" s="138">
        <f t="shared" ref="JH6:JH46" si="104">IFERROR(IF(HF6&gt;0,FD6-HF6,0),0)</f>
        <v>0</v>
      </c>
      <c r="JI6" s="138">
        <f t="shared" ref="JI6:JI46" si="105">IFERROR(IF(HG6&gt;0,FE6-HG6,0),0)</f>
        <v>0</v>
      </c>
      <c r="JJ6" s="138">
        <f t="shared" ref="JJ6:JJ46" si="106">IFERROR(IF(HH6&gt;0,FF6-HH6,0),0)</f>
        <v>0</v>
      </c>
      <c r="JK6" s="138">
        <f t="shared" ref="JK6:JK46" si="107">IFERROR(IF(HI6&gt;0,FG6-HI6,0),0)</f>
        <v>0</v>
      </c>
      <c r="JL6" s="118">
        <f>SUM(HL6:JK6)</f>
        <v>0</v>
      </c>
      <c r="JO6" s="90">
        <f>HJ6</f>
        <v>12</v>
      </c>
      <c r="JP6" s="79">
        <f t="shared" ref="JP6:JP46" si="108">JL6</f>
        <v>0</v>
      </c>
      <c r="JQ6" s="91">
        <f t="shared" si="2"/>
        <v>15</v>
      </c>
      <c r="JS6" s="123">
        <f t="shared" ref="JS6:JS46" si="109">SUMIFS(DH6:FG6,DH6:FG6,"&lt;0")</f>
        <v>0</v>
      </c>
      <c r="JU6" s="123">
        <f>JQ6+JS6</f>
        <v>15</v>
      </c>
    </row>
    <row r="7" spans="2:281" x14ac:dyDescent="0.15">
      <c r="B7" s="82" t="str">
        <f>'MODU 2025'!B10</f>
        <v>BALLOT Lucas</v>
      </c>
      <c r="C7" s="82" t="str">
        <f>'MODU 2025'!C10</f>
        <v>Production</v>
      </c>
      <c r="D7" s="82">
        <f>'MODU 2025'!D10</f>
        <v>37</v>
      </c>
      <c r="E7" s="82"/>
      <c r="F7" s="133">
        <f>'MODU 2025'!G10</f>
        <v>37</v>
      </c>
      <c r="G7" s="141">
        <f>'MODU 2025'!H10</f>
        <v>37</v>
      </c>
      <c r="H7" s="140">
        <f>'MODU 2025'!I10</f>
        <v>37</v>
      </c>
      <c r="I7" s="140">
        <f>'MODU 2025'!J10</f>
        <v>37</v>
      </c>
      <c r="J7" s="140">
        <f>'MODU 2025'!K10</f>
        <v>37</v>
      </c>
      <c r="K7" s="140">
        <f>'MODU 2025'!L10</f>
        <v>37</v>
      </c>
      <c r="L7" s="140">
        <f>'MODU 2025'!M10</f>
        <v>37</v>
      </c>
      <c r="M7" s="140">
        <f>'MODU 2025'!N10</f>
        <v>37</v>
      </c>
      <c r="N7" s="140">
        <f>'MODU 2025'!O10</f>
        <v>37</v>
      </c>
      <c r="O7" s="140">
        <f>'MODU 2025'!P10</f>
        <v>37</v>
      </c>
      <c r="P7" s="140">
        <f>'MODU 2025'!Q10</f>
        <v>41</v>
      </c>
      <c r="Q7" s="140">
        <f>'MODU 2025'!R10</f>
        <v>33</v>
      </c>
      <c r="R7" s="140">
        <f>'MODU 2025'!S10</f>
        <v>41</v>
      </c>
      <c r="S7" s="140">
        <f>'MODU 2025'!T10</f>
        <v>33</v>
      </c>
      <c r="T7" s="140">
        <f>'MODU 2025'!U10</f>
        <v>41</v>
      </c>
      <c r="U7" s="140">
        <f>'MODU 2025'!V10</f>
        <v>33</v>
      </c>
      <c r="V7" s="140">
        <f>'MODU 2025'!W10</f>
        <v>41</v>
      </c>
      <c r="W7" s="140">
        <f>'MODU 2025'!X10</f>
        <v>33</v>
      </c>
      <c r="X7" s="140">
        <f>'MODU 2025'!Y10</f>
        <v>41</v>
      </c>
      <c r="Y7" s="140">
        <f>'MODU 2025'!Z10</f>
        <v>33</v>
      </c>
      <c r="Z7" s="140">
        <f>'MODU 2025'!AA10</f>
        <v>41</v>
      </c>
      <c r="AA7" s="140">
        <f>'MODU 2025'!AB10</f>
        <v>33</v>
      </c>
      <c r="AB7" s="140">
        <f>'MODU 2025'!AC10</f>
        <v>41</v>
      </c>
      <c r="AC7" s="140">
        <f>'MODU 2025'!AD10</f>
        <v>33</v>
      </c>
      <c r="AD7" s="140">
        <f>'MODU 2025'!AE10</f>
        <v>41</v>
      </c>
      <c r="AE7" s="140">
        <f>'MODU 2025'!AF10</f>
        <v>33</v>
      </c>
      <c r="AF7" s="140">
        <f>'MODU 2025'!AG10</f>
        <v>41</v>
      </c>
      <c r="AG7" s="140">
        <f>'MODU 2025'!AH10</f>
        <v>33</v>
      </c>
      <c r="AH7" s="140">
        <f>'MODU 2025'!AI10</f>
        <v>41</v>
      </c>
      <c r="AI7" s="140">
        <f>'MODU 2025'!AJ10</f>
        <v>33</v>
      </c>
      <c r="AJ7" s="140">
        <f>'MODU 2025'!AK10</f>
        <v>41</v>
      </c>
      <c r="AK7" s="140">
        <f>'MODU 2025'!AL10</f>
        <v>33</v>
      </c>
      <c r="AL7" s="140">
        <f>'MODU 2025'!AM10</f>
        <v>41</v>
      </c>
      <c r="AM7" s="140">
        <f>'MODU 2025'!AN10</f>
        <v>33</v>
      </c>
      <c r="AN7" s="140">
        <f>'MODU 2025'!AO10</f>
        <v>41</v>
      </c>
      <c r="AO7" s="140">
        <f>'MODU 2025'!AP10</f>
        <v>33</v>
      </c>
      <c r="AP7" s="140">
        <f>'MODU 2025'!AQ10</f>
        <v>41</v>
      </c>
      <c r="AQ7" s="140">
        <f>'MODU 2025'!AR10</f>
        <v>33</v>
      </c>
      <c r="AR7" s="140">
        <f>'MODU 2025'!AS10</f>
        <v>41</v>
      </c>
      <c r="AS7" s="140">
        <f>'MODU 2025'!AT10</f>
        <v>33</v>
      </c>
      <c r="AT7" s="140">
        <f>'MODU 2025'!AU10</f>
        <v>41</v>
      </c>
      <c r="AU7" s="140">
        <f>'MODU 2025'!AV10</f>
        <v>33</v>
      </c>
      <c r="AV7" s="140">
        <f>'MODU 2025'!AW10</f>
        <v>41</v>
      </c>
      <c r="AW7" s="140">
        <f>'MODU 2025'!AX10</f>
        <v>33</v>
      </c>
      <c r="AX7" s="140">
        <f>'MODU 2025'!AY10</f>
        <v>41</v>
      </c>
      <c r="AY7" s="140">
        <f>'MODU 2025'!AZ10</f>
        <v>33</v>
      </c>
      <c r="AZ7" s="140">
        <f>'MODU 2025'!BA10</f>
        <v>41</v>
      </c>
      <c r="BA7" s="140">
        <f>'MODU 2025'!BB10</f>
        <v>33</v>
      </c>
      <c r="BB7" s="140">
        <f>'MODU 2025'!BC10</f>
        <v>41</v>
      </c>
      <c r="BC7" s="140">
        <f>'MODU 2025'!BD10</f>
        <v>33</v>
      </c>
      <c r="BD7" s="140">
        <f>'MODU 2025'!BE10</f>
        <v>41</v>
      </c>
      <c r="BE7" s="134">
        <f>'MODU 2025'!BF10</f>
        <v>33</v>
      </c>
      <c r="BF7" s="82"/>
      <c r="BG7" s="107">
        <v>41</v>
      </c>
      <c r="BH7" s="145">
        <v>33</v>
      </c>
      <c r="BI7" s="145">
        <v>41</v>
      </c>
      <c r="BJ7" s="145">
        <v>33</v>
      </c>
      <c r="BK7" s="145">
        <v>41</v>
      </c>
      <c r="BL7" s="145">
        <v>33</v>
      </c>
      <c r="BM7" s="145">
        <v>41</v>
      </c>
      <c r="BN7" s="145">
        <v>33</v>
      </c>
      <c r="BO7" s="145">
        <v>41</v>
      </c>
      <c r="BP7" s="145">
        <v>33</v>
      </c>
      <c r="BQ7" s="145">
        <v>41</v>
      </c>
      <c r="BR7" s="145">
        <v>33</v>
      </c>
      <c r="BS7" s="145">
        <v>41</v>
      </c>
      <c r="BT7" s="145">
        <v>33</v>
      </c>
      <c r="BU7" s="145">
        <v>41</v>
      </c>
      <c r="BV7" s="145">
        <v>33</v>
      </c>
      <c r="BW7" s="145">
        <v>41</v>
      </c>
      <c r="BX7" s="145">
        <v>33</v>
      </c>
      <c r="BY7" s="145">
        <v>41</v>
      </c>
      <c r="BZ7" s="145">
        <v>33</v>
      </c>
      <c r="CA7" s="145">
        <v>41</v>
      </c>
      <c r="CB7" s="145">
        <v>33</v>
      </c>
      <c r="CC7" s="145">
        <v>41</v>
      </c>
      <c r="CD7" s="145">
        <v>33</v>
      </c>
      <c r="CE7" s="145">
        <v>41</v>
      </c>
      <c r="CF7" s="145">
        <v>33</v>
      </c>
      <c r="CG7" s="145">
        <v>41</v>
      </c>
      <c r="CH7" s="145">
        <v>33</v>
      </c>
      <c r="CI7" s="145">
        <v>41</v>
      </c>
      <c r="CJ7" s="145">
        <v>33</v>
      </c>
      <c r="CK7" s="145">
        <v>41</v>
      </c>
      <c r="CL7" s="145">
        <v>33</v>
      </c>
      <c r="CM7" s="145">
        <v>41</v>
      </c>
      <c r="CN7" s="145">
        <v>33</v>
      </c>
      <c r="CO7" s="145">
        <v>41</v>
      </c>
      <c r="CP7" s="145">
        <v>33</v>
      </c>
      <c r="CQ7" s="145">
        <v>41</v>
      </c>
      <c r="CR7" s="145">
        <v>33</v>
      </c>
      <c r="CS7" s="145">
        <v>41</v>
      </c>
      <c r="CT7" s="145">
        <v>33</v>
      </c>
      <c r="CU7" s="145">
        <v>41</v>
      </c>
      <c r="CV7" s="145">
        <v>33</v>
      </c>
      <c r="CW7" s="145">
        <v>41</v>
      </c>
      <c r="CX7" s="145">
        <v>33</v>
      </c>
      <c r="CY7" s="145">
        <v>41</v>
      </c>
      <c r="CZ7" s="145">
        <v>33</v>
      </c>
      <c r="DA7" s="145">
        <v>41</v>
      </c>
      <c r="DB7" s="145">
        <v>33</v>
      </c>
      <c r="DC7" s="145">
        <v>41</v>
      </c>
      <c r="DD7" s="145">
        <v>33</v>
      </c>
      <c r="DE7" s="145">
        <v>41</v>
      </c>
      <c r="DF7" s="108">
        <v>33</v>
      </c>
      <c r="DG7" s="84"/>
      <c r="DH7" s="112">
        <f t="shared" si="3"/>
        <v>0</v>
      </c>
      <c r="DI7" s="138">
        <f t="shared" si="4"/>
        <v>0</v>
      </c>
      <c r="DJ7" s="138">
        <f t="shared" si="5"/>
        <v>0</v>
      </c>
      <c r="DK7" s="138">
        <f t="shared" si="6"/>
        <v>0</v>
      </c>
      <c r="DL7" s="138">
        <f t="shared" si="7"/>
        <v>0</v>
      </c>
      <c r="DM7" s="138">
        <f t="shared" si="8"/>
        <v>0</v>
      </c>
      <c r="DN7" s="138">
        <f t="shared" si="9"/>
        <v>0</v>
      </c>
      <c r="DO7" s="138">
        <f t="shared" si="10"/>
        <v>0</v>
      </c>
      <c r="DP7" s="138">
        <f t="shared" si="11"/>
        <v>0</v>
      </c>
      <c r="DQ7" s="138">
        <f t="shared" si="12"/>
        <v>0</v>
      </c>
      <c r="DR7" s="138">
        <f t="shared" si="13"/>
        <v>0</v>
      </c>
      <c r="DS7" s="138">
        <f t="shared" si="14"/>
        <v>0</v>
      </c>
      <c r="DT7" s="138">
        <f t="shared" si="15"/>
        <v>0</v>
      </c>
      <c r="DU7" s="138">
        <f t="shared" si="16"/>
        <v>0</v>
      </c>
      <c r="DV7" s="138">
        <f t="shared" si="17"/>
        <v>0</v>
      </c>
      <c r="DW7" s="138">
        <f t="shared" si="18"/>
        <v>0</v>
      </c>
      <c r="DX7" s="138">
        <f t="shared" si="19"/>
        <v>0</v>
      </c>
      <c r="DY7" s="138">
        <f t="shared" si="20"/>
        <v>0</v>
      </c>
      <c r="DZ7" s="138">
        <f t="shared" si="21"/>
        <v>0</v>
      </c>
      <c r="EA7" s="138">
        <f t="shared" si="22"/>
        <v>0</v>
      </c>
      <c r="EB7" s="138">
        <f t="shared" si="23"/>
        <v>0</v>
      </c>
      <c r="EC7" s="138">
        <f t="shared" si="24"/>
        <v>0</v>
      </c>
      <c r="ED7" s="138">
        <f t="shared" si="25"/>
        <v>0</v>
      </c>
      <c r="EE7" s="138">
        <f t="shared" si="26"/>
        <v>0</v>
      </c>
      <c r="EF7" s="138">
        <f t="shared" si="27"/>
        <v>0</v>
      </c>
      <c r="EG7" s="138">
        <f t="shared" si="28"/>
        <v>0</v>
      </c>
      <c r="EH7" s="138">
        <f t="shared" si="29"/>
        <v>0</v>
      </c>
      <c r="EI7" s="138">
        <f t="shared" si="30"/>
        <v>0</v>
      </c>
      <c r="EJ7" s="138">
        <f t="shared" si="31"/>
        <v>0</v>
      </c>
      <c r="EK7" s="138">
        <f t="shared" si="32"/>
        <v>0</v>
      </c>
      <c r="EL7" s="138">
        <f t="shared" si="33"/>
        <v>0</v>
      </c>
      <c r="EM7" s="138">
        <f t="shared" si="34"/>
        <v>0</v>
      </c>
      <c r="EN7" s="138">
        <f t="shared" si="35"/>
        <v>0</v>
      </c>
      <c r="EO7" s="138">
        <f t="shared" si="36"/>
        <v>0</v>
      </c>
      <c r="EP7" s="138">
        <f t="shared" si="37"/>
        <v>0</v>
      </c>
      <c r="EQ7" s="138">
        <f t="shared" si="38"/>
        <v>0</v>
      </c>
      <c r="ER7" s="138">
        <f t="shared" si="39"/>
        <v>0</v>
      </c>
      <c r="ES7" s="138">
        <f t="shared" si="40"/>
        <v>0</v>
      </c>
      <c r="ET7" s="138">
        <f t="shared" si="41"/>
        <v>0</v>
      </c>
      <c r="EU7" s="138">
        <f t="shared" si="42"/>
        <v>0</v>
      </c>
      <c r="EV7" s="138">
        <f t="shared" si="43"/>
        <v>0</v>
      </c>
      <c r="EW7" s="138">
        <f t="shared" si="44"/>
        <v>0</v>
      </c>
      <c r="EX7" s="138">
        <f t="shared" si="45"/>
        <v>0</v>
      </c>
      <c r="EY7" s="138">
        <f t="shared" si="46"/>
        <v>0</v>
      </c>
      <c r="EZ7" s="138">
        <f t="shared" si="47"/>
        <v>0</v>
      </c>
      <c r="FA7" s="138">
        <f t="shared" si="48"/>
        <v>0</v>
      </c>
      <c r="FB7" s="138">
        <f t="shared" si="49"/>
        <v>0</v>
      </c>
      <c r="FC7" s="138">
        <f t="shared" si="50"/>
        <v>0</v>
      </c>
      <c r="FD7" s="138">
        <f t="shared" si="51"/>
        <v>0</v>
      </c>
      <c r="FE7" s="138">
        <f t="shared" si="52"/>
        <v>0</v>
      </c>
      <c r="FF7" s="138">
        <f t="shared" si="53"/>
        <v>0</v>
      </c>
      <c r="FG7" s="113">
        <f t="shared" si="54"/>
        <v>0</v>
      </c>
      <c r="FH7" s="113">
        <f t="shared" si="55"/>
        <v>0</v>
      </c>
      <c r="FI7" s="35"/>
      <c r="FJ7" s="151" cm="1">
        <f t="array" ref="FJ7">IF($C7="Production",
IFERROR(_xlfn.IFS(AND(DH7&gt;0,DH7+SUM(BF7:BG7)&lt;=$FM$3),DH7,AND(DH7&gt;0,DH7+SUM(BF7:BG7)&gt;$FM$3),$FM$3-SUM(BF7:BG7)),0),
IFERROR(_xlfn.IFS(AND(DH7&gt;0,DH7+BG7&lt;=$FK$3),DH7,AND(DH7&gt;0,DH7+BG7&gt;$FK$3),0),0)
)</f>
        <v>0</v>
      </c>
      <c r="FK7" s="152" cm="1">
        <f t="array" ref="FK7">IF($C7="Production",
IFERROR(_xlfn.IFS(AND(DI7&gt;0,DI7+SUM(BG7:BH7)&lt;=$FM$3),DI7,AND(DI7&gt;0,DI7+SUM(BG7:BH7)&gt;$FM$3),$FM$3-SUM(BG7:BH7)),0),
IFERROR(_xlfn.IFS(AND(DI7&gt;0,DI7+BH7&lt;=$FK$3),DI7,AND(DI7&gt;0,DI7+BH7&gt;$FK$3),0),0)
)</f>
        <v>0</v>
      </c>
      <c r="FL7" s="152" cm="1">
        <f t="array" ref="FL7">IF($C7="Production",
IFERROR(_xlfn.IFS(AND(DJ7&gt;0,DJ7+SUM(BH7:BI7)&lt;=$FM$3),DJ7,AND(DJ7&gt;0,DJ7+SUM(BH7:BI7)&gt;$FM$3),$FM$3-SUM(BH7:BI7)),0),
IFERROR(_xlfn.IFS(AND(DJ7&gt;0,DJ7+BI7&lt;=$FK$3),DJ7,AND(DJ7&gt;0,DJ7+BI7&gt;$FK$3),0),0)
)</f>
        <v>0</v>
      </c>
      <c r="FM7" s="152" cm="1">
        <f t="array" ref="FM7">IF($C7="Production",
IFERROR(_xlfn.IFS(AND(DK7&gt;0,DK7+SUM(BI7:BJ7)&lt;=$FM$3),DK7,AND(DK7&gt;0,DK7+SUM(BI7:BJ7)&gt;$FM$3),$FM$3-SUM(BI7:BJ7)),0),
IFERROR(_xlfn.IFS(AND(DK7&gt;0,DK7+BJ7&lt;=$FK$3),DK7,AND(DK7&gt;0,DK7+BJ7&gt;$FK$3),0),0)
)</f>
        <v>0</v>
      </c>
      <c r="FN7" s="152" cm="1">
        <f t="array" ref="FN7">IF($C7="Production",
IFERROR(_xlfn.IFS(AND(DL7&gt;0,DL7+SUM(BJ7:BK7)&lt;=$FM$3),DL7,AND(DL7&gt;0,DL7+SUM(BJ7:BK7)&gt;$FM$3),$FM$3-SUM(BJ7:BK7)),0),
IFERROR(_xlfn.IFS(AND(DL7&gt;0,DL7+BK7&lt;=$FK$3),DL7,AND(DL7&gt;0,DL7+BK7&gt;$FK$3),0),0)
)</f>
        <v>0</v>
      </c>
      <c r="FO7" s="152" cm="1">
        <f t="array" ref="FO7">IF($C7="Production",
IFERROR(_xlfn.IFS(AND(DM7&gt;0,DM7+SUM(BK7:BL7)&lt;=$FM$3),DM7,AND(DM7&gt;0,DM7+SUM(BK7:BL7)&gt;$FM$3),$FM$3-SUM(BK7:BL7)),0),
IFERROR(_xlfn.IFS(AND(DM7&gt;0,DM7+BL7&lt;=$FK$3),DM7,AND(DM7&gt;0,DM7+BL7&gt;$FK$3),0),0)
)</f>
        <v>0</v>
      </c>
      <c r="FP7" s="152" cm="1">
        <f t="array" ref="FP7">IF($C7="Production",
IFERROR(_xlfn.IFS(AND(DN7&gt;0,DN7+SUM(BL7:BM7)&lt;=$FM$3),DN7,AND(DN7&gt;0,DN7+SUM(BL7:BM7)&gt;$FM$3),$FM$3-SUM(BL7:BM7)),0),
IFERROR(_xlfn.IFS(AND(DN7&gt;0,DN7+BM7&lt;=$FK$3),DN7,AND(DN7&gt;0,DN7+BM7&gt;$FK$3),0),0)
)</f>
        <v>0</v>
      </c>
      <c r="FQ7" s="152" cm="1">
        <f t="array" ref="FQ7">IF($C7="Production",
IFERROR(_xlfn.IFS(AND(DO7&gt;0,DO7+SUM(BM7:BN7)&lt;=$FM$3),DO7,AND(DO7&gt;0,DO7+SUM(BM7:BN7)&gt;$FM$3),$FM$3-SUM(BM7:BN7)),0),
IFERROR(_xlfn.IFS(AND(DO7&gt;0,DO7+BN7&lt;=$FK$3),DO7,AND(DO7&gt;0,DO7+BN7&gt;$FK$3),0),0)
)</f>
        <v>0</v>
      </c>
      <c r="FR7" s="152" cm="1">
        <f t="array" ref="FR7">IF($C7="Production",
IFERROR(_xlfn.IFS(AND(DP7&gt;0,DP7+SUM(BN7:BO7)&lt;=$FM$3),DP7,AND(DP7&gt;0,DP7+SUM(BN7:BO7)&gt;$FM$3),$FM$3-SUM(BN7:BO7)),0),
IFERROR(_xlfn.IFS(AND(DP7&gt;0,DP7+BO7&lt;=$FK$3),DP7,AND(DP7&gt;0,DP7+BO7&gt;$FK$3),0),0)
)</f>
        <v>0</v>
      </c>
      <c r="FS7" s="152" cm="1">
        <f t="array" ref="FS7">IF($C7="Production",
IFERROR(_xlfn.IFS(AND(DQ7&gt;0,DQ7+SUM(BO7:BP7)&lt;=$FM$3),DQ7,AND(DQ7&gt;0,DQ7+SUM(BO7:BP7)&gt;$FM$3),$FM$3-SUM(BO7:BP7)),0),
IFERROR(_xlfn.IFS(AND(DQ7&gt;0,DQ7+BP7&lt;=$FK$3),DQ7,AND(DQ7&gt;0,DQ7+BP7&gt;$FK$3),0),0)
)</f>
        <v>0</v>
      </c>
      <c r="FT7" s="152" cm="1">
        <f t="array" ref="FT7">IF($C7="Production",
IFERROR(_xlfn.IFS(AND(DR7&gt;0,DR7+SUM(BP7:BQ7)&lt;=$FM$3),DR7,AND(DR7&gt;0,DR7+SUM(BP7:BQ7)&gt;$FM$3),$FM$3-SUM(BP7:BQ7)),0),
IFERROR(_xlfn.IFS(AND(DR7&gt;0,DR7+BQ7&lt;=$FK$3),DR7,AND(DR7&gt;0,DR7+BQ7&gt;$FK$3),0),0)
)</f>
        <v>0</v>
      </c>
      <c r="FU7" s="152" cm="1">
        <f t="array" ref="FU7">IF($C7="Production",
IFERROR(_xlfn.IFS(AND(DS7&gt;0,DS7+SUM(BQ7:BR7)&lt;=$FM$3),DS7,AND(DS7&gt;0,DS7+SUM(BQ7:BR7)&gt;$FM$3),$FM$3-SUM(BQ7:BR7)),0),
IFERROR(_xlfn.IFS(AND(DS7&gt;0,DS7+BR7&lt;=$FK$3),DS7,AND(DS7&gt;0,DS7+BR7&gt;$FK$3),0),0)
)</f>
        <v>0</v>
      </c>
      <c r="FV7" s="152" cm="1">
        <f t="array" ref="FV7">IF($C7="Production",
IFERROR(_xlfn.IFS(AND(DT7&gt;0,DT7+SUM(BR7:BS7)&lt;=$FM$3),DT7,AND(DT7&gt;0,DT7+SUM(BR7:BS7)&gt;$FM$3),$FM$3-SUM(BR7:BS7)),0),
IFERROR(_xlfn.IFS(AND(DT7&gt;0,DT7+BS7&lt;=$FK$3),DT7,AND(DT7&gt;0,DT7+BS7&gt;$FK$3),0),0)
)</f>
        <v>0</v>
      </c>
      <c r="FW7" s="152" cm="1">
        <f t="array" ref="FW7">IF($C7="Production",
IFERROR(_xlfn.IFS(AND(DU7&gt;0,DU7+SUM(BS7:BT7)&lt;=$FM$3),DU7,AND(DU7&gt;0,DU7+SUM(BS7:BT7)&gt;$FM$3),$FM$3-SUM(BS7:BT7)),0),
IFERROR(_xlfn.IFS(AND(DU7&gt;0,DU7+BT7&lt;=$FK$3),DU7,AND(DU7&gt;0,DU7+BT7&gt;$FK$3),0),0)
)</f>
        <v>0</v>
      </c>
      <c r="FX7" s="152" cm="1">
        <f t="array" ref="FX7">IF($C7="Production",
IFERROR(_xlfn.IFS(AND(DV7&gt;0,DV7+SUM(BT7:BU7)&lt;=$FM$3),DV7,AND(DV7&gt;0,DV7+SUM(BT7:BU7)&gt;$FM$3),$FM$3-SUM(BT7:BU7)),0),
IFERROR(_xlfn.IFS(AND(DV7&gt;0,DV7+BU7&lt;=$FK$3),DV7,AND(DV7&gt;0,DV7+BU7&gt;$FK$3),0),0)
)</f>
        <v>0</v>
      </c>
      <c r="FY7" s="152" cm="1">
        <f t="array" ref="FY7">IF($C7="Production",
IFERROR(_xlfn.IFS(AND(DW7&gt;0,DW7+SUM(BU7:BV7)&lt;=$FM$3),DW7,AND(DW7&gt;0,DW7+SUM(BU7:BV7)&gt;$FM$3),$FM$3-SUM(BU7:BV7)),0),
IFERROR(_xlfn.IFS(AND(DW7&gt;0,DW7+BV7&lt;=$FK$3),DW7,AND(DW7&gt;0,DW7+BV7&gt;$FK$3),0),0)
)</f>
        <v>0</v>
      </c>
      <c r="FZ7" s="152" cm="1">
        <f t="array" ref="FZ7">IF($C7="Production",
IFERROR(_xlfn.IFS(AND(DX7&gt;0,DX7+SUM(BV7:BW7)&lt;=$FM$3),DX7,AND(DX7&gt;0,DX7+SUM(BV7:BW7)&gt;$FM$3),$FM$3-SUM(BV7:BW7)),0),
IFERROR(_xlfn.IFS(AND(DX7&gt;0,DX7+BW7&lt;=$FK$3),DX7,AND(DX7&gt;0,DX7+BW7&gt;$FK$3),0),0)
)</f>
        <v>0</v>
      </c>
      <c r="GA7" s="152" cm="1">
        <f t="array" ref="GA7">IF($C7="Production",
IFERROR(_xlfn.IFS(AND(DY7&gt;0,DY7+SUM(BW7:BX7)&lt;=$FM$3),DY7,AND(DY7&gt;0,DY7+SUM(BW7:BX7)&gt;$FM$3),$FM$3-SUM(BW7:BX7)),0),
IFERROR(_xlfn.IFS(AND(DY7&gt;0,DY7+BX7&lt;=$FK$3),DY7,AND(DY7&gt;0,DY7+BX7&gt;$FK$3),0),0)
)</f>
        <v>0</v>
      </c>
      <c r="GB7" s="152" cm="1">
        <f t="array" ref="GB7">IF($C7="Production",
IFERROR(_xlfn.IFS(AND(DZ7&gt;0,DZ7+SUM(BX7:BY7)&lt;=$FM$3),DZ7,AND(DZ7&gt;0,DZ7+SUM(BX7:BY7)&gt;$FM$3),$FM$3-SUM(BX7:BY7)),0),
IFERROR(_xlfn.IFS(AND(DZ7&gt;0,DZ7+BY7&lt;=$FK$3),DZ7,AND(DZ7&gt;0,DZ7+BY7&gt;$FK$3),0),0)
)</f>
        <v>0</v>
      </c>
      <c r="GC7" s="152" cm="1">
        <f t="array" ref="GC7">IF($C7="Production",
IFERROR(_xlfn.IFS(AND(EA7&gt;0,EA7+SUM(BY7:BZ7)&lt;=$FM$3),EA7,AND(EA7&gt;0,EA7+SUM(BY7:BZ7)&gt;$FM$3),$FM$3-SUM(BY7:BZ7)),0),
IFERROR(_xlfn.IFS(AND(EA7&gt;0,EA7+BZ7&lt;=$FK$3),EA7,AND(EA7&gt;0,EA7+BZ7&gt;$FK$3),0),0)
)</f>
        <v>0</v>
      </c>
      <c r="GD7" s="152" cm="1">
        <f t="array" ref="GD7">IF($C7="Production",
IFERROR(_xlfn.IFS(AND(EB7&gt;0,EB7+SUM(BZ7:CA7)&lt;=$FM$3),EB7,AND(EB7&gt;0,EB7+SUM(BZ7:CA7)&gt;$FM$3),$FM$3-SUM(BZ7:CA7)),0),
IFERROR(_xlfn.IFS(AND(EB7&gt;0,EB7+CA7&lt;=$FK$3),EB7,AND(EB7&gt;0,EB7+CA7&gt;$FK$3),0),0)
)</f>
        <v>0</v>
      </c>
      <c r="GE7" s="152" cm="1">
        <f t="array" ref="GE7">IF($C7="Production",
IFERROR(_xlfn.IFS(AND(EC7&gt;0,EC7+SUM(CA7:CB7)&lt;=$FM$3),EC7,AND(EC7&gt;0,EC7+SUM(CA7:CB7)&gt;$FM$3),$FM$3-SUM(CA7:CB7)),0),
IFERROR(_xlfn.IFS(AND(EC7&gt;0,EC7+CB7&lt;=$FK$3),EC7,AND(EC7&gt;0,EC7+CB7&gt;$FK$3),0),0)
)</f>
        <v>0</v>
      </c>
      <c r="GF7" s="152" cm="1">
        <f t="array" ref="GF7">IF($C7="Production",
IFERROR(_xlfn.IFS(AND(ED7&gt;0,ED7+SUM(CB7:CC7)&lt;=$FM$3),ED7,AND(ED7&gt;0,ED7+SUM(CB7:CC7)&gt;$FM$3),$FM$3-SUM(CB7:CC7)),0),
IFERROR(_xlfn.IFS(AND(ED7&gt;0,ED7+CC7&lt;=$FK$3),ED7,AND(ED7&gt;0,ED7+CC7&gt;$FK$3),0),0)
)</f>
        <v>0</v>
      </c>
      <c r="GG7" s="152" cm="1">
        <f t="array" ref="GG7">IF($C7="Production",
IFERROR(_xlfn.IFS(AND(EE7&gt;0,EE7+SUM(CC7:CD7)&lt;=$FM$3),EE7,AND(EE7&gt;0,EE7+SUM(CC7:CD7)&gt;$FM$3),$FM$3-SUM(CC7:CD7)),0),
IFERROR(_xlfn.IFS(AND(EE7&gt;0,EE7+CD7&lt;=$FK$3),EE7,AND(EE7&gt;0,EE7+CD7&gt;$FK$3),0),0)
)</f>
        <v>0</v>
      </c>
      <c r="GH7" s="152" cm="1">
        <f t="array" ref="GH7">IF($C7="Production",
IFERROR(_xlfn.IFS(AND(EF7&gt;0,EF7+SUM(CD7:CE7)&lt;=$FM$3),EF7,AND(EF7&gt;0,EF7+SUM(CD7:CE7)&gt;$FM$3),$FM$3-SUM(CD7:CE7)),0),
IFERROR(_xlfn.IFS(AND(EF7&gt;0,EF7+CE7&lt;=$FK$3),EF7,AND(EF7&gt;0,EF7+CE7&gt;$FK$3),0),0)
)</f>
        <v>0</v>
      </c>
      <c r="GI7" s="152" cm="1">
        <f t="array" ref="GI7">IF($C7="Production",
IFERROR(_xlfn.IFS(AND(EG7&gt;0,EG7+SUM(CE7:CF7)&lt;=$FM$3),EG7,AND(EG7&gt;0,EG7+SUM(CE7:CF7)&gt;$FM$3),$FM$3-SUM(CE7:CF7)),0),
IFERROR(_xlfn.IFS(AND(EG7&gt;0,EG7+CF7&lt;=$FK$3),EG7,AND(EG7&gt;0,EG7+CF7&gt;$FK$3),0),0)
)</f>
        <v>0</v>
      </c>
      <c r="GJ7" s="152" cm="1">
        <f t="array" ref="GJ7">IF($C7="Production",
IFERROR(_xlfn.IFS(AND(EH7&gt;0,EH7+SUM(CF7:CG7)&lt;=$FM$3),EH7,AND(EH7&gt;0,EH7+SUM(CF7:CG7)&gt;$FM$3),$FM$3-SUM(CF7:CG7)),0),
IFERROR(_xlfn.IFS(AND(EH7&gt;0,EH7+CG7&lt;=$FK$3),EH7,AND(EH7&gt;0,EH7+CG7&gt;$FK$3),0),0)
)</f>
        <v>0</v>
      </c>
      <c r="GK7" s="152" cm="1">
        <f t="array" ref="GK7">IF($C7="Production",
IFERROR(_xlfn.IFS(AND(EI7&gt;0,EI7+SUM(CG7:CH7)&lt;=$FM$3),EI7,AND(EI7&gt;0,EI7+SUM(CG7:CH7)&gt;$FM$3),$FM$3-SUM(CG7:CH7)),0),
IFERROR(_xlfn.IFS(AND(EI7&gt;0,EI7+CH7&lt;=$FK$3),EI7,AND(EI7&gt;0,EI7+CH7&gt;$FK$3),0),0)
)</f>
        <v>0</v>
      </c>
      <c r="GL7" s="152" cm="1">
        <f t="array" ref="GL7">IF($C7="Production",
IFERROR(_xlfn.IFS(AND(EJ7&gt;0,EJ7+SUM(CH7:CI7)&lt;=$FM$3),EJ7,AND(EJ7&gt;0,EJ7+SUM(CH7:CI7)&gt;$FM$3),$FM$3-SUM(CH7:CI7)),0),
IFERROR(_xlfn.IFS(AND(EJ7&gt;0,EJ7+CI7&lt;=$FK$3),EJ7,AND(EJ7&gt;0,EJ7+CI7&gt;$FK$3),0),0)
)</f>
        <v>0</v>
      </c>
      <c r="GM7" s="152" cm="1">
        <f t="array" ref="GM7">IF($C7="Production",
IFERROR(_xlfn.IFS(AND(EK7&gt;0,EK7+SUM(CI7:CJ7)&lt;=$FM$3),EK7,AND(EK7&gt;0,EK7+SUM(CI7:CJ7)&gt;$FM$3),$FM$3-SUM(CI7:CJ7)),0),
IFERROR(_xlfn.IFS(AND(EK7&gt;0,EK7+CJ7&lt;=$FK$3),EK7,AND(EK7&gt;0,EK7+CJ7&gt;$FK$3),0),0)
)</f>
        <v>0</v>
      </c>
      <c r="GN7" s="152" cm="1">
        <f t="array" ref="GN7">IF($C7="Production",
IFERROR(_xlfn.IFS(AND(EL7&gt;0,EL7+SUM(CJ7:CK7)&lt;=$FM$3),EL7,AND(EL7&gt;0,EL7+SUM(CJ7:CK7)&gt;$FM$3),$FM$3-SUM(CJ7:CK7)),0),
IFERROR(_xlfn.IFS(AND(EL7&gt;0,EL7+CK7&lt;=$FK$3),EL7,AND(EL7&gt;0,EL7+CK7&gt;$FK$3),0),0)
)</f>
        <v>0</v>
      </c>
      <c r="GO7" s="152" cm="1">
        <f t="array" ref="GO7">IF($C7="Production",
IFERROR(_xlfn.IFS(AND(EM7&gt;0,EM7+SUM(CK7:CL7)&lt;=$FM$3),EM7,AND(EM7&gt;0,EM7+SUM(CK7:CL7)&gt;$FM$3),$FM$3-SUM(CK7:CL7)),0),
IFERROR(_xlfn.IFS(AND(EM7&gt;0,EM7+CL7&lt;=$FK$3),EM7,AND(EM7&gt;0,EM7+CL7&gt;$FK$3),0),0)
)</f>
        <v>0</v>
      </c>
      <c r="GP7" s="152" cm="1">
        <f t="array" ref="GP7">IF($C7="Production",
IFERROR(_xlfn.IFS(AND(EN7&gt;0,EN7+SUM(CL7:CM7)&lt;=$FM$3),EN7,AND(EN7&gt;0,EN7+SUM(CL7:CM7)&gt;$FM$3),$FM$3-SUM(CL7:CM7)),0),
IFERROR(_xlfn.IFS(AND(EN7&gt;0,EN7+CM7&lt;=$FK$3),EN7,AND(EN7&gt;0,EN7+CM7&gt;$FK$3),0),0)
)</f>
        <v>0</v>
      </c>
      <c r="GQ7" s="152" cm="1">
        <f t="array" ref="GQ7">IF($C7="Production",
IFERROR(_xlfn.IFS(AND(EO7&gt;0,EO7+SUM(CM7:CN7)&lt;=$FM$3),EO7,AND(EO7&gt;0,EO7+SUM(CM7:CN7)&gt;$FM$3),$FM$3-SUM(CM7:CN7)),0),
IFERROR(_xlfn.IFS(AND(EO7&gt;0,EO7+CN7&lt;=$FK$3),EO7,AND(EO7&gt;0,EO7+CN7&gt;$FK$3),0),0)
)</f>
        <v>0</v>
      </c>
      <c r="GR7" s="152" cm="1">
        <f t="array" ref="GR7">IF($C7="Production",
IFERROR(_xlfn.IFS(AND(EP7&gt;0,EP7+SUM(CN7:CO7)&lt;=$FM$3),EP7,AND(EP7&gt;0,EP7+SUM(CN7:CO7)&gt;$FM$3),$FM$3-SUM(CN7:CO7)),0),
IFERROR(_xlfn.IFS(AND(EP7&gt;0,EP7+CO7&lt;=$FK$3),EP7,AND(EP7&gt;0,EP7+CO7&gt;$FK$3),0),0)
)</f>
        <v>0</v>
      </c>
      <c r="GS7" s="152" cm="1">
        <f t="array" ref="GS7">IF($C7="Production",
IFERROR(_xlfn.IFS(AND(EQ7&gt;0,EQ7+SUM(CO7:CP7)&lt;=$FM$3),EQ7,AND(EQ7&gt;0,EQ7+SUM(CO7:CP7)&gt;$FM$3),$FM$3-SUM(CO7:CP7)),0),
IFERROR(_xlfn.IFS(AND(EQ7&gt;0,EQ7+CP7&lt;=$FK$3),EQ7,AND(EQ7&gt;0,EQ7+CP7&gt;$FK$3),0),0)
)</f>
        <v>0</v>
      </c>
      <c r="GT7" s="152" cm="1">
        <f t="array" ref="GT7">IF($C7="Production",
IFERROR(_xlfn.IFS(AND(ER7&gt;0,ER7+SUM(CP7:CQ7)&lt;=$FM$3),ER7,AND(ER7&gt;0,ER7+SUM(CP7:CQ7)&gt;$FM$3),$FM$3-SUM(CP7:CQ7)),0),
IFERROR(_xlfn.IFS(AND(ER7&gt;0,ER7+CQ7&lt;=$FK$3),ER7,AND(ER7&gt;0,ER7+CQ7&gt;$FK$3),0),0)
)</f>
        <v>0</v>
      </c>
      <c r="GU7" s="152" cm="1">
        <f t="array" ref="GU7">IF($C7="Production",
IFERROR(_xlfn.IFS(AND(ES7&gt;0,ES7+SUM(CQ7:CR7)&lt;=$FM$3),ES7,AND(ES7&gt;0,ES7+SUM(CQ7:CR7)&gt;$FM$3),$FM$3-SUM(CQ7:CR7)),0),
IFERROR(_xlfn.IFS(AND(ES7&gt;0,ES7+CR7&lt;=$FK$3),ES7,AND(ES7&gt;0,ES7+CR7&gt;$FK$3),0),0)
)</f>
        <v>0</v>
      </c>
      <c r="GV7" s="152" cm="1">
        <f t="array" ref="GV7">IF($C7="Production",
IFERROR(_xlfn.IFS(AND(ET7&gt;0,ET7+SUM(CR7:CS7)&lt;=$FM$3),ET7,AND(ET7&gt;0,ET7+SUM(CR7:CS7)&gt;$FM$3),$FM$3-SUM(CR7:CS7)),0),
IFERROR(_xlfn.IFS(AND(ET7&gt;0,ET7+CS7&lt;=$FK$3),ET7,AND(ET7&gt;0,ET7+CS7&gt;$FK$3),0),0)
)</f>
        <v>0</v>
      </c>
      <c r="GW7" s="152" cm="1">
        <f t="array" ref="GW7">IF($C7="Production",
IFERROR(_xlfn.IFS(AND(EU7&gt;0,EU7+SUM(CS7:CT7)&lt;=$FM$3),EU7,AND(EU7&gt;0,EU7+SUM(CS7:CT7)&gt;$FM$3),$FM$3-SUM(CS7:CT7)),0),
IFERROR(_xlfn.IFS(AND(EU7&gt;0,EU7+CT7&lt;=$FK$3),EU7,AND(EU7&gt;0,EU7+CT7&gt;$FK$3),0),0)
)</f>
        <v>0</v>
      </c>
      <c r="GX7" s="152" cm="1">
        <f t="array" ref="GX7">IF($C7="Production",
IFERROR(_xlfn.IFS(AND(EV7&gt;0,EV7+SUM(CT7:CU7)&lt;=$FM$3),EV7,AND(EV7&gt;0,EV7+SUM(CT7:CU7)&gt;$FM$3),$FM$3-SUM(CT7:CU7)),0),
IFERROR(_xlfn.IFS(AND(EV7&gt;0,EV7+CU7&lt;=$FK$3),EV7,AND(EV7&gt;0,EV7+CU7&gt;$FK$3),0),0)
)</f>
        <v>0</v>
      </c>
      <c r="GY7" s="152" cm="1">
        <f t="array" ref="GY7">IF($C7="Production",
IFERROR(_xlfn.IFS(AND(EW7&gt;0,EW7+SUM(CU7:CV7)&lt;=$FM$3),EW7,AND(EW7&gt;0,EW7+SUM(CU7:CV7)&gt;$FM$3),$FM$3-SUM(CU7:CV7)),0),
IFERROR(_xlfn.IFS(AND(EW7&gt;0,EW7+CV7&lt;=$FK$3),EW7,AND(EW7&gt;0,EW7+CV7&gt;$FK$3),0),0)
)</f>
        <v>0</v>
      </c>
      <c r="GZ7" s="152" cm="1">
        <f t="array" ref="GZ7">IF($C7="Production",
IFERROR(_xlfn.IFS(AND(EX7&gt;0,EX7+SUM(CV7:CW7)&lt;=$FM$3),EX7,AND(EX7&gt;0,EX7+SUM(CV7:CW7)&gt;$FM$3),$FM$3-SUM(CV7:CW7)),0),
IFERROR(_xlfn.IFS(AND(EX7&gt;0,EX7+CW7&lt;=$FK$3),EX7,AND(EX7&gt;0,EX7+CW7&gt;$FK$3),0),0)
)</f>
        <v>0</v>
      </c>
      <c r="HA7" s="152" cm="1">
        <f t="array" ref="HA7">IF($C7="Production",
IFERROR(_xlfn.IFS(AND(EY7&gt;0,EY7+SUM(CW7:CX7)&lt;=$FM$3),EY7,AND(EY7&gt;0,EY7+SUM(CW7:CX7)&gt;$FM$3),$FM$3-SUM(CW7:CX7)),0),
IFERROR(_xlfn.IFS(AND(EY7&gt;0,EY7+CX7&lt;=$FK$3),EY7,AND(EY7&gt;0,EY7+CX7&gt;$FK$3),0),0)
)</f>
        <v>0</v>
      </c>
      <c r="HB7" s="152" cm="1">
        <f t="array" ref="HB7">IF($C7="Production",
IFERROR(_xlfn.IFS(AND(EZ7&gt;0,EZ7+SUM(CX7:CY7)&lt;=$FM$3),EZ7,AND(EZ7&gt;0,EZ7+SUM(CX7:CY7)&gt;$FM$3),$FM$3-SUM(CX7:CY7)),0),
IFERROR(_xlfn.IFS(AND(EZ7&gt;0,EZ7+CY7&lt;=$FK$3),EZ7,AND(EZ7&gt;0,EZ7+CY7&gt;$FK$3),0),0)
)</f>
        <v>0</v>
      </c>
      <c r="HC7" s="152" cm="1">
        <f t="array" ref="HC7">IF($C7="Production",
IFERROR(_xlfn.IFS(AND(FA7&gt;0,FA7+SUM(CY7:CZ7)&lt;=$FM$3),FA7,AND(FA7&gt;0,FA7+SUM(CY7:CZ7)&gt;$FM$3),$FM$3-SUM(CY7:CZ7)),0),
IFERROR(_xlfn.IFS(AND(FA7&gt;0,FA7+CZ7&lt;=$FK$3),FA7,AND(FA7&gt;0,FA7+CZ7&gt;$FK$3),0),0)
)</f>
        <v>0</v>
      </c>
      <c r="HD7" s="152" cm="1">
        <f t="array" ref="HD7">IF($C7="Production",
IFERROR(_xlfn.IFS(AND(FB7&gt;0,FB7+SUM(CZ7:DA7)&lt;=$FM$3),FB7,AND(FB7&gt;0,FB7+SUM(CZ7:DA7)&gt;$FM$3),$FM$3-SUM(CZ7:DA7)),0),
IFERROR(_xlfn.IFS(AND(FB7&gt;0,FB7+DA7&lt;=$FK$3),FB7,AND(FB7&gt;0,FB7+DA7&gt;$FK$3),0),0)
)</f>
        <v>0</v>
      </c>
      <c r="HE7" s="152" cm="1">
        <f t="array" ref="HE7">IF($C7="Production",
IFERROR(_xlfn.IFS(AND(FC7&gt;0,FC7+SUM(DA7:DB7)&lt;=$FM$3),FC7,AND(FC7&gt;0,FC7+SUM(DA7:DB7)&gt;$FM$3),$FM$3-SUM(DA7:DB7)),0),
IFERROR(_xlfn.IFS(AND(FC7&gt;0,FC7+DB7&lt;=$FK$3),FC7,AND(FC7&gt;0,FC7+DB7&gt;$FK$3),0),0)
)</f>
        <v>0</v>
      </c>
      <c r="HF7" s="152" cm="1">
        <f t="array" ref="HF7">IF($C7="Production",
IFERROR(_xlfn.IFS(AND(FD7&gt;0,FD7+SUM(DB7:DC7)&lt;=$FM$3),FD7,AND(FD7&gt;0,FD7+SUM(DB7:DC7)&gt;$FM$3),$FM$3-SUM(DB7:DC7)),0),
IFERROR(_xlfn.IFS(AND(FD7&gt;0,FD7+DC7&lt;=$FK$3),FD7,AND(FD7&gt;0,FD7+DC7&gt;$FK$3),0),0)
)</f>
        <v>0</v>
      </c>
      <c r="HG7" s="152" cm="1">
        <f t="array" ref="HG7">IF($C7="Production",
IFERROR(_xlfn.IFS(AND(FE7&gt;0,FE7+SUM(DC7:DD7)&lt;=$FM$3),FE7,AND(FE7&gt;0,FE7+SUM(DC7:DD7)&gt;$FM$3),$FM$3-SUM(DC7:DD7)),0),
IFERROR(_xlfn.IFS(AND(FE7&gt;0,FE7+DD7&lt;=$FK$3),FE7,AND(FE7&gt;0,FE7+DD7&gt;$FK$3),0),0)
)</f>
        <v>0</v>
      </c>
      <c r="HH7" s="152" cm="1">
        <f t="array" ref="HH7">IF($C7="Production",
IFERROR(_xlfn.IFS(AND(FF7&gt;0,FF7+SUM(DD7:DE7)&lt;=$FM$3),FF7,AND(FF7&gt;0,FF7+SUM(DD7:DE7)&gt;$FM$3),$FM$3-SUM(DD7:DE7)),0),
IFERROR(_xlfn.IFS(AND(FF7&gt;0,FF7+DE7&lt;=$FK$3),FF7,AND(FF7&gt;0,FF7+DE7&gt;$FK$3),0),0)
)</f>
        <v>0</v>
      </c>
      <c r="HI7" s="156" cm="1">
        <f t="array" ref="HI7">IF($C7="Production",
IFERROR(_xlfn.IFS(AND(FG7&gt;0,FG7+SUM(DE7:DF7)&lt;=$FM$3),FG7,AND(FG7&gt;0,FG7+SUM(DE7:DF7)&gt;$FM$3),$FM$3-SUM(DE7:DF7)),0),
IFERROR(_xlfn.IFS(AND(FG7&gt;0,FG7+DF7&lt;=$FK$3),FG7,AND(FG7&gt;0,FG7+DF7&gt;$FK$3),0),0)
)</f>
        <v>0</v>
      </c>
      <c r="HJ7" s="113">
        <f t="shared" ref="HJ7:HJ46" si="110">SUM(FJ7:HI7)</f>
        <v>0</v>
      </c>
      <c r="HK7" s="80"/>
      <c r="HL7" s="112">
        <f t="shared" si="56"/>
        <v>0</v>
      </c>
      <c r="HM7" s="138">
        <f t="shared" si="57"/>
        <v>0</v>
      </c>
      <c r="HN7" s="138">
        <f t="shared" si="58"/>
        <v>0</v>
      </c>
      <c r="HO7" s="138">
        <f t="shared" si="59"/>
        <v>0</v>
      </c>
      <c r="HP7" s="138">
        <f t="shared" si="60"/>
        <v>0</v>
      </c>
      <c r="HQ7" s="138">
        <f t="shared" si="61"/>
        <v>0</v>
      </c>
      <c r="HR7" s="138">
        <f t="shared" si="62"/>
        <v>0</v>
      </c>
      <c r="HS7" s="138">
        <f t="shared" si="63"/>
        <v>0</v>
      </c>
      <c r="HT7" s="138">
        <f t="shared" si="64"/>
        <v>0</v>
      </c>
      <c r="HU7" s="138">
        <f t="shared" si="65"/>
        <v>0</v>
      </c>
      <c r="HV7" s="138">
        <f t="shared" si="66"/>
        <v>0</v>
      </c>
      <c r="HW7" s="138">
        <f t="shared" si="67"/>
        <v>0</v>
      </c>
      <c r="HX7" s="138">
        <f t="shared" si="68"/>
        <v>0</v>
      </c>
      <c r="HY7" s="138">
        <f t="shared" si="69"/>
        <v>0</v>
      </c>
      <c r="HZ7" s="138">
        <f t="shared" si="70"/>
        <v>0</v>
      </c>
      <c r="IA7" s="138">
        <f t="shared" si="71"/>
        <v>0</v>
      </c>
      <c r="IB7" s="138">
        <f t="shared" si="72"/>
        <v>0</v>
      </c>
      <c r="IC7" s="138">
        <f t="shared" si="73"/>
        <v>0</v>
      </c>
      <c r="ID7" s="138">
        <f t="shared" si="74"/>
        <v>0</v>
      </c>
      <c r="IE7" s="138">
        <f t="shared" si="75"/>
        <v>0</v>
      </c>
      <c r="IF7" s="138">
        <f t="shared" si="76"/>
        <v>0</v>
      </c>
      <c r="IG7" s="138">
        <f t="shared" si="77"/>
        <v>0</v>
      </c>
      <c r="IH7" s="138">
        <f t="shared" si="78"/>
        <v>0</v>
      </c>
      <c r="II7" s="138">
        <f t="shared" si="79"/>
        <v>0</v>
      </c>
      <c r="IJ7" s="138">
        <f t="shared" si="80"/>
        <v>0</v>
      </c>
      <c r="IK7" s="138">
        <f t="shared" si="81"/>
        <v>0</v>
      </c>
      <c r="IL7" s="138">
        <f t="shared" si="82"/>
        <v>0</v>
      </c>
      <c r="IM7" s="138">
        <f t="shared" si="83"/>
        <v>0</v>
      </c>
      <c r="IN7" s="138">
        <f t="shared" si="84"/>
        <v>0</v>
      </c>
      <c r="IO7" s="138">
        <f t="shared" si="85"/>
        <v>0</v>
      </c>
      <c r="IP7" s="138">
        <f t="shared" si="86"/>
        <v>0</v>
      </c>
      <c r="IQ7" s="138">
        <f t="shared" si="87"/>
        <v>0</v>
      </c>
      <c r="IR7" s="138">
        <f t="shared" si="88"/>
        <v>0</v>
      </c>
      <c r="IS7" s="138">
        <f t="shared" si="89"/>
        <v>0</v>
      </c>
      <c r="IT7" s="138">
        <f t="shared" si="90"/>
        <v>0</v>
      </c>
      <c r="IU7" s="138">
        <f t="shared" si="91"/>
        <v>0</v>
      </c>
      <c r="IV7" s="138">
        <f t="shared" si="92"/>
        <v>0</v>
      </c>
      <c r="IW7" s="138">
        <f t="shared" si="93"/>
        <v>0</v>
      </c>
      <c r="IX7" s="138">
        <f t="shared" si="94"/>
        <v>0</v>
      </c>
      <c r="IY7" s="138">
        <f t="shared" si="95"/>
        <v>0</v>
      </c>
      <c r="IZ7" s="138">
        <f t="shared" si="96"/>
        <v>0</v>
      </c>
      <c r="JA7" s="138">
        <f t="shared" si="97"/>
        <v>0</v>
      </c>
      <c r="JB7" s="138">
        <f t="shared" si="98"/>
        <v>0</v>
      </c>
      <c r="JC7" s="138">
        <f t="shared" si="99"/>
        <v>0</v>
      </c>
      <c r="JD7" s="138">
        <f t="shared" si="100"/>
        <v>0</v>
      </c>
      <c r="JE7" s="138">
        <f t="shared" si="101"/>
        <v>0</v>
      </c>
      <c r="JF7" s="138">
        <f t="shared" si="102"/>
        <v>0</v>
      </c>
      <c r="JG7" s="138">
        <f t="shared" si="103"/>
        <v>0</v>
      </c>
      <c r="JH7" s="138">
        <f t="shared" si="104"/>
        <v>0</v>
      </c>
      <c r="JI7" s="138">
        <f t="shared" si="105"/>
        <v>0</v>
      </c>
      <c r="JJ7" s="138">
        <f t="shared" si="106"/>
        <v>0</v>
      </c>
      <c r="JK7" s="138">
        <f t="shared" si="107"/>
        <v>0</v>
      </c>
      <c r="JL7" s="118">
        <f t="shared" ref="JL7:JL46" si="111">SUM(HL7:JK7)</f>
        <v>0</v>
      </c>
      <c r="JO7" s="90">
        <f t="shared" ref="JO7:JO46" si="112">HJ7</f>
        <v>0</v>
      </c>
      <c r="JP7" s="79">
        <f t="shared" si="108"/>
        <v>0</v>
      </c>
      <c r="JQ7" s="91">
        <f t="shared" si="2"/>
        <v>0</v>
      </c>
      <c r="JS7" s="123">
        <f t="shared" si="109"/>
        <v>0</v>
      </c>
      <c r="JU7" s="123">
        <f t="shared" ref="JU7:JU45" si="113">JQ7+JS7</f>
        <v>0</v>
      </c>
    </row>
    <row r="8" spans="2:281" x14ac:dyDescent="0.15">
      <c r="B8" s="82" t="str">
        <f>'MODU 2025'!B11</f>
        <v>BOLLET DURAFOUR Bérangère</v>
      </c>
      <c r="C8" s="82" t="str">
        <f>'MODU 2025'!C11</f>
        <v>Production</v>
      </c>
      <c r="D8" s="82">
        <f>'MODU 2025'!D11</f>
        <v>37</v>
      </c>
      <c r="E8" s="82"/>
      <c r="F8" s="133">
        <f>'MODU 2025'!G11</f>
        <v>41</v>
      </c>
      <c r="G8" s="140">
        <f>'MODU 2025'!H11</f>
        <v>33</v>
      </c>
      <c r="H8" s="140">
        <f>'MODU 2025'!I11</f>
        <v>41</v>
      </c>
      <c r="I8" s="140">
        <f>'MODU 2025'!J11</f>
        <v>33</v>
      </c>
      <c r="J8" s="140">
        <f>'MODU 2025'!K11</f>
        <v>41</v>
      </c>
      <c r="K8" s="140">
        <f>'MODU 2025'!L11</f>
        <v>33</v>
      </c>
      <c r="L8" s="140">
        <f>'MODU 2025'!M11</f>
        <v>41</v>
      </c>
      <c r="M8" s="140">
        <f>'MODU 2025'!N11</f>
        <v>33</v>
      </c>
      <c r="N8" s="140">
        <f>'MODU 2025'!O11</f>
        <v>41</v>
      </c>
      <c r="O8" s="140">
        <f>'MODU 2025'!P11</f>
        <v>33</v>
      </c>
      <c r="P8" s="140">
        <f>'MODU 2025'!Q11</f>
        <v>41</v>
      </c>
      <c r="Q8" s="140">
        <f>'MODU 2025'!R11</f>
        <v>33</v>
      </c>
      <c r="R8" s="140">
        <f>'MODU 2025'!S11</f>
        <v>41</v>
      </c>
      <c r="S8" s="140">
        <f>'MODU 2025'!T11</f>
        <v>33</v>
      </c>
      <c r="T8" s="140">
        <f>'MODU 2025'!U11</f>
        <v>41</v>
      </c>
      <c r="U8" s="140">
        <f>'MODU 2025'!V11</f>
        <v>33</v>
      </c>
      <c r="V8" s="140">
        <f>'MODU 2025'!W11</f>
        <v>41</v>
      </c>
      <c r="W8" s="140">
        <f>'MODU 2025'!X11</f>
        <v>33</v>
      </c>
      <c r="X8" s="140">
        <f>'MODU 2025'!Y11</f>
        <v>41</v>
      </c>
      <c r="Y8" s="140">
        <f>'MODU 2025'!Z11</f>
        <v>33</v>
      </c>
      <c r="Z8" s="140">
        <f>'MODU 2025'!AA11</f>
        <v>41</v>
      </c>
      <c r="AA8" s="140">
        <f>'MODU 2025'!AB11</f>
        <v>33</v>
      </c>
      <c r="AB8" s="140">
        <f>'MODU 2025'!AC11</f>
        <v>41</v>
      </c>
      <c r="AC8" s="140">
        <f>'MODU 2025'!AD11</f>
        <v>33</v>
      </c>
      <c r="AD8" s="140">
        <f>'MODU 2025'!AE11</f>
        <v>41</v>
      </c>
      <c r="AE8" s="140">
        <f>'MODU 2025'!AF11</f>
        <v>33</v>
      </c>
      <c r="AF8" s="140">
        <f>'MODU 2025'!AG11</f>
        <v>41</v>
      </c>
      <c r="AG8" s="140">
        <f>'MODU 2025'!AH11</f>
        <v>33</v>
      </c>
      <c r="AH8" s="140">
        <f>'MODU 2025'!AI11</f>
        <v>41</v>
      </c>
      <c r="AI8" s="140">
        <f>'MODU 2025'!AJ11</f>
        <v>33</v>
      </c>
      <c r="AJ8" s="140">
        <f>'MODU 2025'!AK11</f>
        <v>41</v>
      </c>
      <c r="AK8" s="140">
        <f>'MODU 2025'!AL11</f>
        <v>33</v>
      </c>
      <c r="AL8" s="140">
        <f>'MODU 2025'!AM11</f>
        <v>41</v>
      </c>
      <c r="AM8" s="140">
        <f>'MODU 2025'!AN11</f>
        <v>33</v>
      </c>
      <c r="AN8" s="140">
        <f>'MODU 2025'!AO11</f>
        <v>41</v>
      </c>
      <c r="AO8" s="140">
        <f>'MODU 2025'!AP11</f>
        <v>33</v>
      </c>
      <c r="AP8" s="140">
        <f>'MODU 2025'!AQ11</f>
        <v>41</v>
      </c>
      <c r="AQ8" s="140">
        <f>'MODU 2025'!AR11</f>
        <v>33</v>
      </c>
      <c r="AR8" s="140">
        <f>'MODU 2025'!AS11</f>
        <v>41</v>
      </c>
      <c r="AS8" s="140">
        <f>'MODU 2025'!AT11</f>
        <v>33</v>
      </c>
      <c r="AT8" s="140">
        <f>'MODU 2025'!AU11</f>
        <v>41</v>
      </c>
      <c r="AU8" s="140">
        <f>'MODU 2025'!AV11</f>
        <v>33</v>
      </c>
      <c r="AV8" s="140">
        <f>'MODU 2025'!AW11</f>
        <v>41</v>
      </c>
      <c r="AW8" s="140">
        <f>'MODU 2025'!AX11</f>
        <v>33</v>
      </c>
      <c r="AX8" s="140">
        <f>'MODU 2025'!AY11</f>
        <v>41</v>
      </c>
      <c r="AY8" s="140">
        <f>'MODU 2025'!AZ11</f>
        <v>33</v>
      </c>
      <c r="AZ8" s="140">
        <f>'MODU 2025'!BA11</f>
        <v>41</v>
      </c>
      <c r="BA8" s="140">
        <f>'MODU 2025'!BB11</f>
        <v>33</v>
      </c>
      <c r="BB8" s="140">
        <f>'MODU 2025'!BC11</f>
        <v>41</v>
      </c>
      <c r="BC8" s="140">
        <f>'MODU 2025'!BD11</f>
        <v>33</v>
      </c>
      <c r="BD8" s="140">
        <f>'MODU 2025'!BE11</f>
        <v>41</v>
      </c>
      <c r="BE8" s="134">
        <f>'MODU 2025'!BF11</f>
        <v>33</v>
      </c>
      <c r="BF8" s="82"/>
      <c r="BG8" s="107">
        <v>41</v>
      </c>
      <c r="BH8" s="145">
        <v>33</v>
      </c>
      <c r="BI8" s="145">
        <v>41</v>
      </c>
      <c r="BJ8" s="145">
        <v>33</v>
      </c>
      <c r="BK8" s="145">
        <v>41</v>
      </c>
      <c r="BL8" s="145">
        <v>33</v>
      </c>
      <c r="BM8" s="145">
        <v>41</v>
      </c>
      <c r="BN8" s="145">
        <v>33</v>
      </c>
      <c r="BO8" s="145">
        <v>41</v>
      </c>
      <c r="BP8" s="145">
        <v>33</v>
      </c>
      <c r="BQ8" s="145">
        <v>41</v>
      </c>
      <c r="BR8" s="145">
        <v>33</v>
      </c>
      <c r="BS8" s="145">
        <v>41</v>
      </c>
      <c r="BT8" s="145">
        <v>33</v>
      </c>
      <c r="BU8" s="145">
        <v>41</v>
      </c>
      <c r="BV8" s="145">
        <v>33</v>
      </c>
      <c r="BW8" s="145">
        <v>41</v>
      </c>
      <c r="BX8" s="145">
        <v>33</v>
      </c>
      <c r="BY8" s="145">
        <v>41</v>
      </c>
      <c r="BZ8" s="145">
        <v>33</v>
      </c>
      <c r="CA8" s="145">
        <v>41</v>
      </c>
      <c r="CB8" s="145">
        <v>33</v>
      </c>
      <c r="CC8" s="145">
        <v>41</v>
      </c>
      <c r="CD8" s="145">
        <v>33</v>
      </c>
      <c r="CE8" s="145">
        <v>41</v>
      </c>
      <c r="CF8" s="145">
        <v>33</v>
      </c>
      <c r="CG8" s="145">
        <v>41</v>
      </c>
      <c r="CH8" s="145">
        <v>33</v>
      </c>
      <c r="CI8" s="145">
        <v>41</v>
      </c>
      <c r="CJ8" s="145">
        <v>33</v>
      </c>
      <c r="CK8" s="145">
        <v>41</v>
      </c>
      <c r="CL8" s="145">
        <v>33</v>
      </c>
      <c r="CM8" s="145">
        <v>41</v>
      </c>
      <c r="CN8" s="145">
        <v>33</v>
      </c>
      <c r="CO8" s="145">
        <v>41</v>
      </c>
      <c r="CP8" s="145">
        <v>33</v>
      </c>
      <c r="CQ8" s="145">
        <v>41</v>
      </c>
      <c r="CR8" s="145">
        <v>33</v>
      </c>
      <c r="CS8" s="145">
        <v>41</v>
      </c>
      <c r="CT8" s="145">
        <v>33</v>
      </c>
      <c r="CU8" s="145">
        <v>41</v>
      </c>
      <c r="CV8" s="145">
        <v>33</v>
      </c>
      <c r="CW8" s="145">
        <v>41</v>
      </c>
      <c r="CX8" s="145">
        <v>33</v>
      </c>
      <c r="CY8" s="145">
        <v>41</v>
      </c>
      <c r="CZ8" s="145">
        <v>33</v>
      </c>
      <c r="DA8" s="145">
        <v>41</v>
      </c>
      <c r="DB8" s="145">
        <v>33</v>
      </c>
      <c r="DC8" s="145">
        <v>41</v>
      </c>
      <c r="DD8" s="145">
        <v>33</v>
      </c>
      <c r="DE8" s="145">
        <v>41</v>
      </c>
      <c r="DF8" s="108">
        <v>33</v>
      </c>
      <c r="DG8" s="84"/>
      <c r="DH8" s="112">
        <f t="shared" si="3"/>
        <v>0</v>
      </c>
      <c r="DI8" s="138">
        <f t="shared" si="4"/>
        <v>0</v>
      </c>
      <c r="DJ8" s="138">
        <f t="shared" si="5"/>
        <v>0</v>
      </c>
      <c r="DK8" s="138">
        <f t="shared" si="6"/>
        <v>0</v>
      </c>
      <c r="DL8" s="138">
        <f t="shared" si="7"/>
        <v>0</v>
      </c>
      <c r="DM8" s="138">
        <f t="shared" si="8"/>
        <v>0</v>
      </c>
      <c r="DN8" s="138">
        <f t="shared" si="9"/>
        <v>0</v>
      </c>
      <c r="DO8" s="138">
        <f t="shared" si="10"/>
        <v>0</v>
      </c>
      <c r="DP8" s="138">
        <f t="shared" si="11"/>
        <v>0</v>
      </c>
      <c r="DQ8" s="138">
        <f t="shared" si="12"/>
        <v>0</v>
      </c>
      <c r="DR8" s="138">
        <f t="shared" si="13"/>
        <v>0</v>
      </c>
      <c r="DS8" s="138">
        <f t="shared" si="14"/>
        <v>0</v>
      </c>
      <c r="DT8" s="138">
        <f t="shared" si="15"/>
        <v>0</v>
      </c>
      <c r="DU8" s="138">
        <f t="shared" si="16"/>
        <v>0</v>
      </c>
      <c r="DV8" s="138">
        <f t="shared" si="17"/>
        <v>0</v>
      </c>
      <c r="DW8" s="138">
        <f t="shared" si="18"/>
        <v>0</v>
      </c>
      <c r="DX8" s="138">
        <f t="shared" si="19"/>
        <v>0</v>
      </c>
      <c r="DY8" s="138">
        <f t="shared" si="20"/>
        <v>0</v>
      </c>
      <c r="DZ8" s="138">
        <f t="shared" si="21"/>
        <v>0</v>
      </c>
      <c r="EA8" s="138">
        <f t="shared" si="22"/>
        <v>0</v>
      </c>
      <c r="EB8" s="138">
        <f t="shared" si="23"/>
        <v>0</v>
      </c>
      <c r="EC8" s="138">
        <f t="shared" si="24"/>
        <v>0</v>
      </c>
      <c r="ED8" s="138">
        <f t="shared" si="25"/>
        <v>0</v>
      </c>
      <c r="EE8" s="138">
        <f t="shared" si="26"/>
        <v>0</v>
      </c>
      <c r="EF8" s="138">
        <f t="shared" si="27"/>
        <v>0</v>
      </c>
      <c r="EG8" s="138">
        <f t="shared" si="28"/>
        <v>0</v>
      </c>
      <c r="EH8" s="138">
        <f t="shared" si="29"/>
        <v>0</v>
      </c>
      <c r="EI8" s="138">
        <f t="shared" si="30"/>
        <v>0</v>
      </c>
      <c r="EJ8" s="138">
        <f t="shared" si="31"/>
        <v>0</v>
      </c>
      <c r="EK8" s="138">
        <f t="shared" si="32"/>
        <v>0</v>
      </c>
      <c r="EL8" s="138">
        <f t="shared" si="33"/>
        <v>0</v>
      </c>
      <c r="EM8" s="138">
        <f t="shared" si="34"/>
        <v>0</v>
      </c>
      <c r="EN8" s="138">
        <f t="shared" si="35"/>
        <v>0</v>
      </c>
      <c r="EO8" s="138">
        <f t="shared" si="36"/>
        <v>0</v>
      </c>
      <c r="EP8" s="138">
        <f t="shared" si="37"/>
        <v>0</v>
      </c>
      <c r="EQ8" s="138">
        <f t="shared" si="38"/>
        <v>0</v>
      </c>
      <c r="ER8" s="138">
        <f t="shared" si="39"/>
        <v>0</v>
      </c>
      <c r="ES8" s="138">
        <f t="shared" si="40"/>
        <v>0</v>
      </c>
      <c r="ET8" s="138">
        <f t="shared" si="41"/>
        <v>0</v>
      </c>
      <c r="EU8" s="138">
        <f t="shared" si="42"/>
        <v>0</v>
      </c>
      <c r="EV8" s="138">
        <f t="shared" si="43"/>
        <v>0</v>
      </c>
      <c r="EW8" s="138">
        <f t="shared" si="44"/>
        <v>0</v>
      </c>
      <c r="EX8" s="138">
        <f t="shared" si="45"/>
        <v>0</v>
      </c>
      <c r="EY8" s="138">
        <f t="shared" si="46"/>
        <v>0</v>
      </c>
      <c r="EZ8" s="138">
        <f t="shared" si="47"/>
        <v>0</v>
      </c>
      <c r="FA8" s="138">
        <f t="shared" si="48"/>
        <v>0</v>
      </c>
      <c r="FB8" s="138">
        <f t="shared" si="49"/>
        <v>0</v>
      </c>
      <c r="FC8" s="138">
        <f t="shared" si="50"/>
        <v>0</v>
      </c>
      <c r="FD8" s="138">
        <f t="shared" si="51"/>
        <v>0</v>
      </c>
      <c r="FE8" s="138">
        <f t="shared" si="52"/>
        <v>0</v>
      </c>
      <c r="FF8" s="138">
        <f t="shared" si="53"/>
        <v>0</v>
      </c>
      <c r="FG8" s="113">
        <f t="shared" si="54"/>
        <v>0</v>
      </c>
      <c r="FH8" s="113">
        <f t="shared" si="55"/>
        <v>0</v>
      </c>
      <c r="FI8" s="35"/>
      <c r="FJ8" s="151" cm="1">
        <f t="array" ref="FJ8">IF($C8="Production",
IFERROR(_xlfn.IFS(AND(DH8&gt;0,DH8+SUM(BF8:BG8)&lt;=$FM$3),DH8,AND(DH8&gt;0,DH8+SUM(BF8:BG8)&gt;$FM$3),$FM$3-SUM(BF8:BG8)),0),
IFERROR(_xlfn.IFS(AND(DH8&gt;0,DH8+BG8&lt;=$FK$3),DH8,AND(DH8&gt;0,DH8+BG8&gt;$FK$3),0),0)
)</f>
        <v>0</v>
      </c>
      <c r="FK8" s="152" cm="1">
        <f t="array" ref="FK8">IF($C8="Production",
IFERROR(_xlfn.IFS(AND(DI8&gt;0,DI8+SUM(BG8:BH8)&lt;=$FM$3),DI8,AND(DI8&gt;0,DI8+SUM(BG8:BH8)&gt;$FM$3),$FM$3-SUM(BG8:BH8)),0),
IFERROR(_xlfn.IFS(AND(DI8&gt;0,DI8+BH8&lt;=$FK$3),DI8,AND(DI8&gt;0,DI8+BH8&gt;$FK$3),0),0)
)</f>
        <v>0</v>
      </c>
      <c r="FL8" s="152" cm="1">
        <f t="array" ref="FL8">IF($C8="Production",
IFERROR(_xlfn.IFS(AND(DJ8&gt;0,DJ8+SUM(BH8:BI8)&lt;=$FM$3),DJ8,AND(DJ8&gt;0,DJ8+SUM(BH8:BI8)&gt;$FM$3),$FM$3-SUM(BH8:BI8)),0),
IFERROR(_xlfn.IFS(AND(DJ8&gt;0,DJ8+BI8&lt;=$FK$3),DJ8,AND(DJ8&gt;0,DJ8+BI8&gt;$FK$3),0),0)
)</f>
        <v>0</v>
      </c>
      <c r="FM8" s="152" cm="1">
        <f t="array" ref="FM8">IF($C8="Production",
IFERROR(_xlfn.IFS(AND(DK8&gt;0,DK8+SUM(BI8:BJ8)&lt;=$FM$3),DK8,AND(DK8&gt;0,DK8+SUM(BI8:BJ8)&gt;$FM$3),$FM$3-SUM(BI8:BJ8)),0),
IFERROR(_xlfn.IFS(AND(DK8&gt;0,DK8+BJ8&lt;=$FK$3),DK8,AND(DK8&gt;0,DK8+BJ8&gt;$FK$3),0),0)
)</f>
        <v>0</v>
      </c>
      <c r="FN8" s="152" cm="1">
        <f t="array" ref="FN8">IF($C8="Production",
IFERROR(_xlfn.IFS(AND(DL8&gt;0,DL8+SUM(BJ8:BK8)&lt;=$FM$3),DL8,AND(DL8&gt;0,DL8+SUM(BJ8:BK8)&gt;$FM$3),$FM$3-SUM(BJ8:BK8)),0),
IFERROR(_xlfn.IFS(AND(DL8&gt;0,DL8+BK8&lt;=$FK$3),DL8,AND(DL8&gt;0,DL8+BK8&gt;$FK$3),0),0)
)</f>
        <v>0</v>
      </c>
      <c r="FO8" s="152" cm="1">
        <f t="array" ref="FO8">IF($C8="Production",
IFERROR(_xlfn.IFS(AND(DM8&gt;0,DM8+SUM(BK8:BL8)&lt;=$FM$3),DM8,AND(DM8&gt;0,DM8+SUM(BK8:BL8)&gt;$FM$3),$FM$3-SUM(BK8:BL8)),0),
IFERROR(_xlfn.IFS(AND(DM8&gt;0,DM8+BL8&lt;=$FK$3),DM8,AND(DM8&gt;0,DM8+BL8&gt;$FK$3),0),0)
)</f>
        <v>0</v>
      </c>
      <c r="FP8" s="152" cm="1">
        <f t="array" ref="FP8">IF($C8="Production",
IFERROR(_xlfn.IFS(AND(DN8&gt;0,DN8+SUM(BL8:BM8)&lt;=$FM$3),DN8,AND(DN8&gt;0,DN8+SUM(BL8:BM8)&gt;$FM$3),$FM$3-SUM(BL8:BM8)),0),
IFERROR(_xlfn.IFS(AND(DN8&gt;0,DN8+BM8&lt;=$FK$3),DN8,AND(DN8&gt;0,DN8+BM8&gt;$FK$3),0),0)
)</f>
        <v>0</v>
      </c>
      <c r="FQ8" s="152" cm="1">
        <f t="array" ref="FQ8">IF($C8="Production",
IFERROR(_xlfn.IFS(AND(DO8&gt;0,DO8+SUM(BM8:BN8)&lt;=$FM$3),DO8,AND(DO8&gt;0,DO8+SUM(BM8:BN8)&gt;$FM$3),$FM$3-SUM(BM8:BN8)),0),
IFERROR(_xlfn.IFS(AND(DO8&gt;0,DO8+BN8&lt;=$FK$3),DO8,AND(DO8&gt;0,DO8+BN8&gt;$FK$3),0),0)
)</f>
        <v>0</v>
      </c>
      <c r="FR8" s="152" cm="1">
        <f t="array" ref="FR8">IF($C8="Production",
IFERROR(_xlfn.IFS(AND(DP8&gt;0,DP8+SUM(BN8:BO8)&lt;=$FM$3),DP8,AND(DP8&gt;0,DP8+SUM(BN8:BO8)&gt;$FM$3),$FM$3-SUM(BN8:BO8)),0),
IFERROR(_xlfn.IFS(AND(DP8&gt;0,DP8+BO8&lt;=$FK$3),DP8,AND(DP8&gt;0,DP8+BO8&gt;$FK$3),0),0)
)</f>
        <v>0</v>
      </c>
      <c r="FS8" s="152" cm="1">
        <f t="array" ref="FS8">IF($C8="Production",
IFERROR(_xlfn.IFS(AND(DQ8&gt;0,DQ8+SUM(BO8:BP8)&lt;=$FM$3),DQ8,AND(DQ8&gt;0,DQ8+SUM(BO8:BP8)&gt;$FM$3),$FM$3-SUM(BO8:BP8)),0),
IFERROR(_xlfn.IFS(AND(DQ8&gt;0,DQ8+BP8&lt;=$FK$3),DQ8,AND(DQ8&gt;0,DQ8+BP8&gt;$FK$3),0),0)
)</f>
        <v>0</v>
      </c>
      <c r="FT8" s="152" cm="1">
        <f t="array" ref="FT8">IF($C8="Production",
IFERROR(_xlfn.IFS(AND(DR8&gt;0,DR8+SUM(BP8:BQ8)&lt;=$FM$3),DR8,AND(DR8&gt;0,DR8+SUM(BP8:BQ8)&gt;$FM$3),$FM$3-SUM(BP8:BQ8)),0),
IFERROR(_xlfn.IFS(AND(DR8&gt;0,DR8+BQ8&lt;=$FK$3),DR8,AND(DR8&gt;0,DR8+BQ8&gt;$FK$3),0),0)
)</f>
        <v>0</v>
      </c>
      <c r="FU8" s="152" cm="1">
        <f t="array" ref="FU8">IF($C8="Production",
IFERROR(_xlfn.IFS(AND(DS8&gt;0,DS8+SUM(BQ8:BR8)&lt;=$FM$3),DS8,AND(DS8&gt;0,DS8+SUM(BQ8:BR8)&gt;$FM$3),$FM$3-SUM(BQ8:BR8)),0),
IFERROR(_xlfn.IFS(AND(DS8&gt;0,DS8+BR8&lt;=$FK$3),DS8,AND(DS8&gt;0,DS8+BR8&gt;$FK$3),0),0)
)</f>
        <v>0</v>
      </c>
      <c r="FV8" s="152" cm="1">
        <f t="array" ref="FV8">IF($C8="Production",
IFERROR(_xlfn.IFS(AND(DT8&gt;0,DT8+SUM(BR8:BS8)&lt;=$FM$3),DT8,AND(DT8&gt;0,DT8+SUM(BR8:BS8)&gt;$FM$3),$FM$3-SUM(BR8:BS8)),0),
IFERROR(_xlfn.IFS(AND(DT8&gt;0,DT8+BS8&lt;=$FK$3),DT8,AND(DT8&gt;0,DT8+BS8&gt;$FK$3),0),0)
)</f>
        <v>0</v>
      </c>
      <c r="FW8" s="152" cm="1">
        <f t="array" ref="FW8">IF($C8="Production",
IFERROR(_xlfn.IFS(AND(DU8&gt;0,DU8+SUM(BS8:BT8)&lt;=$FM$3),DU8,AND(DU8&gt;0,DU8+SUM(BS8:BT8)&gt;$FM$3),$FM$3-SUM(BS8:BT8)),0),
IFERROR(_xlfn.IFS(AND(DU8&gt;0,DU8+BT8&lt;=$FK$3),DU8,AND(DU8&gt;0,DU8+BT8&gt;$FK$3),0),0)
)</f>
        <v>0</v>
      </c>
      <c r="FX8" s="152" cm="1">
        <f t="array" ref="FX8">IF($C8="Production",
IFERROR(_xlfn.IFS(AND(DV8&gt;0,DV8+SUM(BT8:BU8)&lt;=$FM$3),DV8,AND(DV8&gt;0,DV8+SUM(BT8:BU8)&gt;$FM$3),$FM$3-SUM(BT8:BU8)),0),
IFERROR(_xlfn.IFS(AND(DV8&gt;0,DV8+BU8&lt;=$FK$3),DV8,AND(DV8&gt;0,DV8+BU8&gt;$FK$3),0),0)
)</f>
        <v>0</v>
      </c>
      <c r="FY8" s="152" cm="1">
        <f t="array" ref="FY8">IF($C8="Production",
IFERROR(_xlfn.IFS(AND(DW8&gt;0,DW8+SUM(BU8:BV8)&lt;=$FM$3),DW8,AND(DW8&gt;0,DW8+SUM(BU8:BV8)&gt;$FM$3),$FM$3-SUM(BU8:BV8)),0),
IFERROR(_xlfn.IFS(AND(DW8&gt;0,DW8+BV8&lt;=$FK$3),DW8,AND(DW8&gt;0,DW8+BV8&gt;$FK$3),0),0)
)</f>
        <v>0</v>
      </c>
      <c r="FZ8" s="152" cm="1">
        <f t="array" ref="FZ8">IF($C8="Production",
IFERROR(_xlfn.IFS(AND(DX8&gt;0,DX8+SUM(BV8:BW8)&lt;=$FM$3),DX8,AND(DX8&gt;0,DX8+SUM(BV8:BW8)&gt;$FM$3),$FM$3-SUM(BV8:BW8)),0),
IFERROR(_xlfn.IFS(AND(DX8&gt;0,DX8+BW8&lt;=$FK$3),DX8,AND(DX8&gt;0,DX8+BW8&gt;$FK$3),0),0)
)</f>
        <v>0</v>
      </c>
      <c r="GA8" s="152" cm="1">
        <f t="array" ref="GA8">IF($C8="Production",
IFERROR(_xlfn.IFS(AND(DY8&gt;0,DY8+SUM(BW8:BX8)&lt;=$FM$3),DY8,AND(DY8&gt;0,DY8+SUM(BW8:BX8)&gt;$FM$3),$FM$3-SUM(BW8:BX8)),0),
IFERROR(_xlfn.IFS(AND(DY8&gt;0,DY8+BX8&lt;=$FK$3),DY8,AND(DY8&gt;0,DY8+BX8&gt;$FK$3),0),0)
)</f>
        <v>0</v>
      </c>
      <c r="GB8" s="152" cm="1">
        <f t="array" ref="GB8">IF($C8="Production",
IFERROR(_xlfn.IFS(AND(DZ8&gt;0,DZ8+SUM(BX8:BY8)&lt;=$FM$3),DZ8,AND(DZ8&gt;0,DZ8+SUM(BX8:BY8)&gt;$FM$3),$FM$3-SUM(BX8:BY8)),0),
IFERROR(_xlfn.IFS(AND(DZ8&gt;0,DZ8+BY8&lt;=$FK$3),DZ8,AND(DZ8&gt;0,DZ8+BY8&gt;$FK$3),0),0)
)</f>
        <v>0</v>
      </c>
      <c r="GC8" s="152" cm="1">
        <f t="array" ref="GC8">IF($C8="Production",
IFERROR(_xlfn.IFS(AND(EA8&gt;0,EA8+SUM(BY8:BZ8)&lt;=$FM$3),EA8,AND(EA8&gt;0,EA8+SUM(BY8:BZ8)&gt;$FM$3),$FM$3-SUM(BY8:BZ8)),0),
IFERROR(_xlfn.IFS(AND(EA8&gt;0,EA8+BZ8&lt;=$FK$3),EA8,AND(EA8&gt;0,EA8+BZ8&gt;$FK$3),0),0)
)</f>
        <v>0</v>
      </c>
      <c r="GD8" s="152" cm="1">
        <f t="array" ref="GD8">IF($C8="Production",
IFERROR(_xlfn.IFS(AND(EB8&gt;0,EB8+SUM(BZ8:CA8)&lt;=$FM$3),EB8,AND(EB8&gt;0,EB8+SUM(BZ8:CA8)&gt;$FM$3),$FM$3-SUM(BZ8:CA8)),0),
IFERROR(_xlfn.IFS(AND(EB8&gt;0,EB8+CA8&lt;=$FK$3),EB8,AND(EB8&gt;0,EB8+CA8&gt;$FK$3),0),0)
)</f>
        <v>0</v>
      </c>
      <c r="GE8" s="152" cm="1">
        <f t="array" ref="GE8">IF($C8="Production",
IFERROR(_xlfn.IFS(AND(EC8&gt;0,EC8+SUM(CA8:CB8)&lt;=$FM$3),EC8,AND(EC8&gt;0,EC8+SUM(CA8:CB8)&gt;$FM$3),$FM$3-SUM(CA8:CB8)),0),
IFERROR(_xlfn.IFS(AND(EC8&gt;0,EC8+CB8&lt;=$FK$3),EC8,AND(EC8&gt;0,EC8+CB8&gt;$FK$3),0),0)
)</f>
        <v>0</v>
      </c>
      <c r="GF8" s="152" cm="1">
        <f t="array" ref="GF8">IF($C8="Production",
IFERROR(_xlfn.IFS(AND(ED8&gt;0,ED8+SUM(CB8:CC8)&lt;=$FM$3),ED8,AND(ED8&gt;0,ED8+SUM(CB8:CC8)&gt;$FM$3),$FM$3-SUM(CB8:CC8)),0),
IFERROR(_xlfn.IFS(AND(ED8&gt;0,ED8+CC8&lt;=$FK$3),ED8,AND(ED8&gt;0,ED8+CC8&gt;$FK$3),0),0)
)</f>
        <v>0</v>
      </c>
      <c r="GG8" s="152" cm="1">
        <f t="array" ref="GG8">IF($C8="Production",
IFERROR(_xlfn.IFS(AND(EE8&gt;0,EE8+SUM(CC8:CD8)&lt;=$FM$3),EE8,AND(EE8&gt;0,EE8+SUM(CC8:CD8)&gt;$FM$3),$FM$3-SUM(CC8:CD8)),0),
IFERROR(_xlfn.IFS(AND(EE8&gt;0,EE8+CD8&lt;=$FK$3),EE8,AND(EE8&gt;0,EE8+CD8&gt;$FK$3),0),0)
)</f>
        <v>0</v>
      </c>
      <c r="GH8" s="152" cm="1">
        <f t="array" ref="GH8">IF($C8="Production",
IFERROR(_xlfn.IFS(AND(EF8&gt;0,EF8+SUM(CD8:CE8)&lt;=$FM$3),EF8,AND(EF8&gt;0,EF8+SUM(CD8:CE8)&gt;$FM$3),$FM$3-SUM(CD8:CE8)),0),
IFERROR(_xlfn.IFS(AND(EF8&gt;0,EF8+CE8&lt;=$FK$3),EF8,AND(EF8&gt;0,EF8+CE8&gt;$FK$3),0),0)
)</f>
        <v>0</v>
      </c>
      <c r="GI8" s="152" cm="1">
        <f t="array" ref="GI8">IF($C8="Production",
IFERROR(_xlfn.IFS(AND(EG8&gt;0,EG8+SUM(CE8:CF8)&lt;=$FM$3),EG8,AND(EG8&gt;0,EG8+SUM(CE8:CF8)&gt;$FM$3),$FM$3-SUM(CE8:CF8)),0),
IFERROR(_xlfn.IFS(AND(EG8&gt;0,EG8+CF8&lt;=$FK$3),EG8,AND(EG8&gt;0,EG8+CF8&gt;$FK$3),0),0)
)</f>
        <v>0</v>
      </c>
      <c r="GJ8" s="152" cm="1">
        <f t="array" ref="GJ8">IF($C8="Production",
IFERROR(_xlfn.IFS(AND(EH8&gt;0,EH8+SUM(CF8:CG8)&lt;=$FM$3),EH8,AND(EH8&gt;0,EH8+SUM(CF8:CG8)&gt;$FM$3),$FM$3-SUM(CF8:CG8)),0),
IFERROR(_xlfn.IFS(AND(EH8&gt;0,EH8+CG8&lt;=$FK$3),EH8,AND(EH8&gt;0,EH8+CG8&gt;$FK$3),0),0)
)</f>
        <v>0</v>
      </c>
      <c r="GK8" s="152" cm="1">
        <f t="array" ref="GK8">IF($C8="Production",
IFERROR(_xlfn.IFS(AND(EI8&gt;0,EI8+SUM(CG8:CH8)&lt;=$FM$3),EI8,AND(EI8&gt;0,EI8+SUM(CG8:CH8)&gt;$FM$3),$FM$3-SUM(CG8:CH8)),0),
IFERROR(_xlfn.IFS(AND(EI8&gt;0,EI8+CH8&lt;=$FK$3),EI8,AND(EI8&gt;0,EI8+CH8&gt;$FK$3),0),0)
)</f>
        <v>0</v>
      </c>
      <c r="GL8" s="152" cm="1">
        <f t="array" ref="GL8">IF($C8="Production",
IFERROR(_xlfn.IFS(AND(EJ8&gt;0,EJ8+SUM(CH8:CI8)&lt;=$FM$3),EJ8,AND(EJ8&gt;0,EJ8+SUM(CH8:CI8)&gt;$FM$3),$FM$3-SUM(CH8:CI8)),0),
IFERROR(_xlfn.IFS(AND(EJ8&gt;0,EJ8+CI8&lt;=$FK$3),EJ8,AND(EJ8&gt;0,EJ8+CI8&gt;$FK$3),0),0)
)</f>
        <v>0</v>
      </c>
      <c r="GM8" s="152" cm="1">
        <f t="array" ref="GM8">IF($C8="Production",
IFERROR(_xlfn.IFS(AND(EK8&gt;0,EK8+SUM(CI8:CJ8)&lt;=$FM$3),EK8,AND(EK8&gt;0,EK8+SUM(CI8:CJ8)&gt;$FM$3),$FM$3-SUM(CI8:CJ8)),0),
IFERROR(_xlfn.IFS(AND(EK8&gt;0,EK8+CJ8&lt;=$FK$3),EK8,AND(EK8&gt;0,EK8+CJ8&gt;$FK$3),0),0)
)</f>
        <v>0</v>
      </c>
      <c r="GN8" s="152" cm="1">
        <f t="array" ref="GN8">IF($C8="Production",
IFERROR(_xlfn.IFS(AND(EL8&gt;0,EL8+SUM(CJ8:CK8)&lt;=$FM$3),EL8,AND(EL8&gt;0,EL8+SUM(CJ8:CK8)&gt;$FM$3),$FM$3-SUM(CJ8:CK8)),0),
IFERROR(_xlfn.IFS(AND(EL8&gt;0,EL8+CK8&lt;=$FK$3),EL8,AND(EL8&gt;0,EL8+CK8&gt;$FK$3),0),0)
)</f>
        <v>0</v>
      </c>
      <c r="GO8" s="152" cm="1">
        <f t="array" ref="GO8">IF($C8="Production",
IFERROR(_xlfn.IFS(AND(EM8&gt;0,EM8+SUM(CK8:CL8)&lt;=$FM$3),EM8,AND(EM8&gt;0,EM8+SUM(CK8:CL8)&gt;$FM$3),$FM$3-SUM(CK8:CL8)),0),
IFERROR(_xlfn.IFS(AND(EM8&gt;0,EM8+CL8&lt;=$FK$3),EM8,AND(EM8&gt;0,EM8+CL8&gt;$FK$3),0),0)
)</f>
        <v>0</v>
      </c>
      <c r="GP8" s="152" cm="1">
        <f t="array" ref="GP8">IF($C8="Production",
IFERROR(_xlfn.IFS(AND(EN8&gt;0,EN8+SUM(CL8:CM8)&lt;=$FM$3),EN8,AND(EN8&gt;0,EN8+SUM(CL8:CM8)&gt;$FM$3),$FM$3-SUM(CL8:CM8)),0),
IFERROR(_xlfn.IFS(AND(EN8&gt;0,EN8+CM8&lt;=$FK$3),EN8,AND(EN8&gt;0,EN8+CM8&gt;$FK$3),0),0)
)</f>
        <v>0</v>
      </c>
      <c r="GQ8" s="152" cm="1">
        <f t="array" ref="GQ8">IF($C8="Production",
IFERROR(_xlfn.IFS(AND(EO8&gt;0,EO8+SUM(CM8:CN8)&lt;=$FM$3),EO8,AND(EO8&gt;0,EO8+SUM(CM8:CN8)&gt;$FM$3),$FM$3-SUM(CM8:CN8)),0),
IFERROR(_xlfn.IFS(AND(EO8&gt;0,EO8+CN8&lt;=$FK$3),EO8,AND(EO8&gt;0,EO8+CN8&gt;$FK$3),0),0)
)</f>
        <v>0</v>
      </c>
      <c r="GR8" s="152" cm="1">
        <f t="array" ref="GR8">IF($C8="Production",
IFERROR(_xlfn.IFS(AND(EP8&gt;0,EP8+SUM(CN8:CO8)&lt;=$FM$3),EP8,AND(EP8&gt;0,EP8+SUM(CN8:CO8)&gt;$FM$3),$FM$3-SUM(CN8:CO8)),0),
IFERROR(_xlfn.IFS(AND(EP8&gt;0,EP8+CO8&lt;=$FK$3),EP8,AND(EP8&gt;0,EP8+CO8&gt;$FK$3),0),0)
)</f>
        <v>0</v>
      </c>
      <c r="GS8" s="152" cm="1">
        <f t="array" ref="GS8">IF($C8="Production",
IFERROR(_xlfn.IFS(AND(EQ8&gt;0,EQ8+SUM(CO8:CP8)&lt;=$FM$3),EQ8,AND(EQ8&gt;0,EQ8+SUM(CO8:CP8)&gt;$FM$3),$FM$3-SUM(CO8:CP8)),0),
IFERROR(_xlfn.IFS(AND(EQ8&gt;0,EQ8+CP8&lt;=$FK$3),EQ8,AND(EQ8&gt;0,EQ8+CP8&gt;$FK$3),0),0)
)</f>
        <v>0</v>
      </c>
      <c r="GT8" s="152" cm="1">
        <f t="array" ref="GT8">IF($C8="Production",
IFERROR(_xlfn.IFS(AND(ER8&gt;0,ER8+SUM(CP8:CQ8)&lt;=$FM$3),ER8,AND(ER8&gt;0,ER8+SUM(CP8:CQ8)&gt;$FM$3),$FM$3-SUM(CP8:CQ8)),0),
IFERROR(_xlfn.IFS(AND(ER8&gt;0,ER8+CQ8&lt;=$FK$3),ER8,AND(ER8&gt;0,ER8+CQ8&gt;$FK$3),0),0)
)</f>
        <v>0</v>
      </c>
      <c r="GU8" s="152" cm="1">
        <f t="array" ref="GU8">IF($C8="Production",
IFERROR(_xlfn.IFS(AND(ES8&gt;0,ES8+SUM(CQ8:CR8)&lt;=$FM$3),ES8,AND(ES8&gt;0,ES8+SUM(CQ8:CR8)&gt;$FM$3),$FM$3-SUM(CQ8:CR8)),0),
IFERROR(_xlfn.IFS(AND(ES8&gt;0,ES8+CR8&lt;=$FK$3),ES8,AND(ES8&gt;0,ES8+CR8&gt;$FK$3),0),0)
)</f>
        <v>0</v>
      </c>
      <c r="GV8" s="152" cm="1">
        <f t="array" ref="GV8">IF($C8="Production",
IFERROR(_xlfn.IFS(AND(ET8&gt;0,ET8+SUM(CR8:CS8)&lt;=$FM$3),ET8,AND(ET8&gt;0,ET8+SUM(CR8:CS8)&gt;$FM$3),$FM$3-SUM(CR8:CS8)),0),
IFERROR(_xlfn.IFS(AND(ET8&gt;0,ET8+CS8&lt;=$FK$3),ET8,AND(ET8&gt;0,ET8+CS8&gt;$FK$3),0),0)
)</f>
        <v>0</v>
      </c>
      <c r="GW8" s="152" cm="1">
        <f t="array" ref="GW8">IF($C8="Production",
IFERROR(_xlfn.IFS(AND(EU8&gt;0,EU8+SUM(CS8:CT8)&lt;=$FM$3),EU8,AND(EU8&gt;0,EU8+SUM(CS8:CT8)&gt;$FM$3),$FM$3-SUM(CS8:CT8)),0),
IFERROR(_xlfn.IFS(AND(EU8&gt;0,EU8+CT8&lt;=$FK$3),EU8,AND(EU8&gt;0,EU8+CT8&gt;$FK$3),0),0)
)</f>
        <v>0</v>
      </c>
      <c r="GX8" s="152" cm="1">
        <f t="array" ref="GX8">IF($C8="Production",
IFERROR(_xlfn.IFS(AND(EV8&gt;0,EV8+SUM(CT8:CU8)&lt;=$FM$3),EV8,AND(EV8&gt;0,EV8+SUM(CT8:CU8)&gt;$FM$3),$FM$3-SUM(CT8:CU8)),0),
IFERROR(_xlfn.IFS(AND(EV8&gt;0,EV8+CU8&lt;=$FK$3),EV8,AND(EV8&gt;0,EV8+CU8&gt;$FK$3),0),0)
)</f>
        <v>0</v>
      </c>
      <c r="GY8" s="152" cm="1">
        <f t="array" ref="GY8">IF($C8="Production",
IFERROR(_xlfn.IFS(AND(EW8&gt;0,EW8+SUM(CU8:CV8)&lt;=$FM$3),EW8,AND(EW8&gt;0,EW8+SUM(CU8:CV8)&gt;$FM$3),$FM$3-SUM(CU8:CV8)),0),
IFERROR(_xlfn.IFS(AND(EW8&gt;0,EW8+CV8&lt;=$FK$3),EW8,AND(EW8&gt;0,EW8+CV8&gt;$FK$3),0),0)
)</f>
        <v>0</v>
      </c>
      <c r="GZ8" s="152" cm="1">
        <f t="array" ref="GZ8">IF($C8="Production",
IFERROR(_xlfn.IFS(AND(EX8&gt;0,EX8+SUM(CV8:CW8)&lt;=$FM$3),EX8,AND(EX8&gt;0,EX8+SUM(CV8:CW8)&gt;$FM$3),$FM$3-SUM(CV8:CW8)),0),
IFERROR(_xlfn.IFS(AND(EX8&gt;0,EX8+CW8&lt;=$FK$3),EX8,AND(EX8&gt;0,EX8+CW8&gt;$FK$3),0),0)
)</f>
        <v>0</v>
      </c>
      <c r="HA8" s="152" cm="1">
        <f t="array" ref="HA8">IF($C8="Production",
IFERROR(_xlfn.IFS(AND(EY8&gt;0,EY8+SUM(CW8:CX8)&lt;=$FM$3),EY8,AND(EY8&gt;0,EY8+SUM(CW8:CX8)&gt;$FM$3),$FM$3-SUM(CW8:CX8)),0),
IFERROR(_xlfn.IFS(AND(EY8&gt;0,EY8+CX8&lt;=$FK$3),EY8,AND(EY8&gt;0,EY8+CX8&gt;$FK$3),0),0)
)</f>
        <v>0</v>
      </c>
      <c r="HB8" s="152" cm="1">
        <f t="array" ref="HB8">IF($C8="Production",
IFERROR(_xlfn.IFS(AND(EZ8&gt;0,EZ8+SUM(CX8:CY8)&lt;=$FM$3),EZ8,AND(EZ8&gt;0,EZ8+SUM(CX8:CY8)&gt;$FM$3),$FM$3-SUM(CX8:CY8)),0),
IFERROR(_xlfn.IFS(AND(EZ8&gt;0,EZ8+CY8&lt;=$FK$3),EZ8,AND(EZ8&gt;0,EZ8+CY8&gt;$FK$3),0),0)
)</f>
        <v>0</v>
      </c>
      <c r="HC8" s="152" cm="1">
        <f t="array" ref="HC8">IF($C8="Production",
IFERROR(_xlfn.IFS(AND(FA8&gt;0,FA8+SUM(CY8:CZ8)&lt;=$FM$3),FA8,AND(FA8&gt;0,FA8+SUM(CY8:CZ8)&gt;$FM$3),$FM$3-SUM(CY8:CZ8)),0),
IFERROR(_xlfn.IFS(AND(FA8&gt;0,FA8+CZ8&lt;=$FK$3),FA8,AND(FA8&gt;0,FA8+CZ8&gt;$FK$3),0),0)
)</f>
        <v>0</v>
      </c>
      <c r="HD8" s="152" cm="1">
        <f t="array" ref="HD8">IF($C8="Production",
IFERROR(_xlfn.IFS(AND(FB8&gt;0,FB8+SUM(CZ8:DA8)&lt;=$FM$3),FB8,AND(FB8&gt;0,FB8+SUM(CZ8:DA8)&gt;$FM$3),$FM$3-SUM(CZ8:DA8)),0),
IFERROR(_xlfn.IFS(AND(FB8&gt;0,FB8+DA8&lt;=$FK$3),FB8,AND(FB8&gt;0,FB8+DA8&gt;$FK$3),0),0)
)</f>
        <v>0</v>
      </c>
      <c r="HE8" s="152" cm="1">
        <f t="array" ref="HE8">IF($C8="Production",
IFERROR(_xlfn.IFS(AND(FC8&gt;0,FC8+SUM(DA8:DB8)&lt;=$FM$3),FC8,AND(FC8&gt;0,FC8+SUM(DA8:DB8)&gt;$FM$3),$FM$3-SUM(DA8:DB8)),0),
IFERROR(_xlfn.IFS(AND(FC8&gt;0,FC8+DB8&lt;=$FK$3),FC8,AND(FC8&gt;0,FC8+DB8&gt;$FK$3),0),0)
)</f>
        <v>0</v>
      </c>
      <c r="HF8" s="152" cm="1">
        <f t="array" ref="HF8">IF($C8="Production",
IFERROR(_xlfn.IFS(AND(FD8&gt;0,FD8+SUM(DB8:DC8)&lt;=$FM$3),FD8,AND(FD8&gt;0,FD8+SUM(DB8:DC8)&gt;$FM$3),$FM$3-SUM(DB8:DC8)),0),
IFERROR(_xlfn.IFS(AND(FD8&gt;0,FD8+DC8&lt;=$FK$3),FD8,AND(FD8&gt;0,FD8+DC8&gt;$FK$3),0),0)
)</f>
        <v>0</v>
      </c>
      <c r="HG8" s="152" cm="1">
        <f t="array" ref="HG8">IF($C8="Production",
IFERROR(_xlfn.IFS(AND(FE8&gt;0,FE8+SUM(DC8:DD8)&lt;=$FM$3),FE8,AND(FE8&gt;0,FE8+SUM(DC8:DD8)&gt;$FM$3),$FM$3-SUM(DC8:DD8)),0),
IFERROR(_xlfn.IFS(AND(FE8&gt;0,FE8+DD8&lt;=$FK$3),FE8,AND(FE8&gt;0,FE8+DD8&gt;$FK$3),0),0)
)</f>
        <v>0</v>
      </c>
      <c r="HH8" s="152" cm="1">
        <f t="array" ref="HH8">IF($C8="Production",
IFERROR(_xlfn.IFS(AND(FF8&gt;0,FF8+SUM(DD8:DE8)&lt;=$FM$3),FF8,AND(FF8&gt;0,FF8+SUM(DD8:DE8)&gt;$FM$3),$FM$3-SUM(DD8:DE8)),0),
IFERROR(_xlfn.IFS(AND(FF8&gt;0,FF8+DE8&lt;=$FK$3),FF8,AND(FF8&gt;0,FF8+DE8&gt;$FK$3),0),0)
)</f>
        <v>0</v>
      </c>
      <c r="HI8" s="156" cm="1">
        <f t="array" ref="HI8">IF($C8="Production",
IFERROR(_xlfn.IFS(AND(FG8&gt;0,FG8+SUM(DE8:DF8)&lt;=$FM$3),FG8,AND(FG8&gt;0,FG8+SUM(DE8:DF8)&gt;$FM$3),$FM$3-SUM(DE8:DF8)),0),
IFERROR(_xlfn.IFS(AND(FG8&gt;0,FG8+DF8&lt;=$FK$3),FG8,AND(FG8&gt;0,FG8+DF8&gt;$FK$3),0),0)
)</f>
        <v>0</v>
      </c>
      <c r="HJ8" s="113">
        <f t="shared" si="110"/>
        <v>0</v>
      </c>
      <c r="HK8" s="80"/>
      <c r="HL8" s="112">
        <f t="shared" si="56"/>
        <v>0</v>
      </c>
      <c r="HM8" s="138">
        <f t="shared" si="57"/>
        <v>0</v>
      </c>
      <c r="HN8" s="138">
        <f t="shared" si="58"/>
        <v>0</v>
      </c>
      <c r="HO8" s="138">
        <f t="shared" si="59"/>
        <v>0</v>
      </c>
      <c r="HP8" s="138">
        <f t="shared" si="60"/>
        <v>0</v>
      </c>
      <c r="HQ8" s="138">
        <f t="shared" si="61"/>
        <v>0</v>
      </c>
      <c r="HR8" s="138">
        <f t="shared" si="62"/>
        <v>0</v>
      </c>
      <c r="HS8" s="138">
        <f t="shared" si="63"/>
        <v>0</v>
      </c>
      <c r="HT8" s="138">
        <f t="shared" si="64"/>
        <v>0</v>
      </c>
      <c r="HU8" s="138">
        <f t="shared" si="65"/>
        <v>0</v>
      </c>
      <c r="HV8" s="138">
        <f t="shared" si="66"/>
        <v>0</v>
      </c>
      <c r="HW8" s="138">
        <f t="shared" si="67"/>
        <v>0</v>
      </c>
      <c r="HX8" s="138">
        <f t="shared" si="68"/>
        <v>0</v>
      </c>
      <c r="HY8" s="138">
        <f t="shared" si="69"/>
        <v>0</v>
      </c>
      <c r="HZ8" s="138">
        <f t="shared" si="70"/>
        <v>0</v>
      </c>
      <c r="IA8" s="138">
        <f t="shared" si="71"/>
        <v>0</v>
      </c>
      <c r="IB8" s="138">
        <f t="shared" si="72"/>
        <v>0</v>
      </c>
      <c r="IC8" s="138">
        <f t="shared" si="73"/>
        <v>0</v>
      </c>
      <c r="ID8" s="138">
        <f t="shared" si="74"/>
        <v>0</v>
      </c>
      <c r="IE8" s="138">
        <f t="shared" si="75"/>
        <v>0</v>
      </c>
      <c r="IF8" s="138">
        <f t="shared" si="76"/>
        <v>0</v>
      </c>
      <c r="IG8" s="138">
        <f t="shared" si="77"/>
        <v>0</v>
      </c>
      <c r="IH8" s="138">
        <f t="shared" si="78"/>
        <v>0</v>
      </c>
      <c r="II8" s="138">
        <f t="shared" si="79"/>
        <v>0</v>
      </c>
      <c r="IJ8" s="138">
        <f t="shared" si="80"/>
        <v>0</v>
      </c>
      <c r="IK8" s="138">
        <f t="shared" si="81"/>
        <v>0</v>
      </c>
      <c r="IL8" s="138">
        <f t="shared" si="82"/>
        <v>0</v>
      </c>
      <c r="IM8" s="138">
        <f t="shared" si="83"/>
        <v>0</v>
      </c>
      <c r="IN8" s="138">
        <f t="shared" si="84"/>
        <v>0</v>
      </c>
      <c r="IO8" s="138">
        <f t="shared" si="85"/>
        <v>0</v>
      </c>
      <c r="IP8" s="138">
        <f t="shared" si="86"/>
        <v>0</v>
      </c>
      <c r="IQ8" s="138">
        <f t="shared" si="87"/>
        <v>0</v>
      </c>
      <c r="IR8" s="138">
        <f t="shared" si="88"/>
        <v>0</v>
      </c>
      <c r="IS8" s="138">
        <f t="shared" si="89"/>
        <v>0</v>
      </c>
      <c r="IT8" s="138">
        <f t="shared" si="90"/>
        <v>0</v>
      </c>
      <c r="IU8" s="138">
        <f t="shared" si="91"/>
        <v>0</v>
      </c>
      <c r="IV8" s="138">
        <f t="shared" si="92"/>
        <v>0</v>
      </c>
      <c r="IW8" s="138">
        <f t="shared" si="93"/>
        <v>0</v>
      </c>
      <c r="IX8" s="138">
        <f t="shared" si="94"/>
        <v>0</v>
      </c>
      <c r="IY8" s="138">
        <f t="shared" si="95"/>
        <v>0</v>
      </c>
      <c r="IZ8" s="138">
        <f t="shared" si="96"/>
        <v>0</v>
      </c>
      <c r="JA8" s="138">
        <f t="shared" si="97"/>
        <v>0</v>
      </c>
      <c r="JB8" s="138">
        <f t="shared" si="98"/>
        <v>0</v>
      </c>
      <c r="JC8" s="138">
        <f t="shared" si="99"/>
        <v>0</v>
      </c>
      <c r="JD8" s="138">
        <f t="shared" si="100"/>
        <v>0</v>
      </c>
      <c r="JE8" s="138">
        <f t="shared" si="101"/>
        <v>0</v>
      </c>
      <c r="JF8" s="138">
        <f t="shared" si="102"/>
        <v>0</v>
      </c>
      <c r="JG8" s="138">
        <f t="shared" si="103"/>
        <v>0</v>
      </c>
      <c r="JH8" s="138">
        <f t="shared" si="104"/>
        <v>0</v>
      </c>
      <c r="JI8" s="138">
        <f t="shared" si="105"/>
        <v>0</v>
      </c>
      <c r="JJ8" s="138">
        <f t="shared" si="106"/>
        <v>0</v>
      </c>
      <c r="JK8" s="138">
        <f t="shared" si="107"/>
        <v>0</v>
      </c>
      <c r="JL8" s="118">
        <f t="shared" si="111"/>
        <v>0</v>
      </c>
      <c r="JO8" s="90">
        <f t="shared" si="112"/>
        <v>0</v>
      </c>
      <c r="JP8" s="79">
        <f t="shared" si="108"/>
        <v>0</v>
      </c>
      <c r="JQ8" s="91">
        <f t="shared" si="2"/>
        <v>0</v>
      </c>
      <c r="JS8" s="123">
        <f t="shared" si="109"/>
        <v>0</v>
      </c>
      <c r="JU8" s="123">
        <f t="shared" si="113"/>
        <v>0</v>
      </c>
    </row>
    <row r="9" spans="2:281" x14ac:dyDescent="0.15">
      <c r="B9" s="82" t="str">
        <f>'MODU 2025'!B12</f>
        <v>BONNERUE Sandrine</v>
      </c>
      <c r="C9" s="82" t="str">
        <f>'MODU 2025'!C12</f>
        <v>Production</v>
      </c>
      <c r="D9" s="82">
        <f>'MODU 2025'!D12</f>
        <v>37</v>
      </c>
      <c r="E9" s="82"/>
      <c r="F9" s="133">
        <f>'MODU 2025'!G12</f>
        <v>33</v>
      </c>
      <c r="G9" s="140">
        <f>'MODU 2025'!H12</f>
        <v>41</v>
      </c>
      <c r="H9" s="140">
        <f>'MODU 2025'!I12</f>
        <v>33</v>
      </c>
      <c r="I9" s="140">
        <f>'MODU 2025'!J12</f>
        <v>41</v>
      </c>
      <c r="J9" s="140">
        <f>'MODU 2025'!K12</f>
        <v>33</v>
      </c>
      <c r="K9" s="140">
        <f>'MODU 2025'!L12</f>
        <v>41</v>
      </c>
      <c r="L9" s="140">
        <f>'MODU 2025'!M12</f>
        <v>33</v>
      </c>
      <c r="M9" s="140">
        <f>'MODU 2025'!N12</f>
        <v>40.25</v>
      </c>
      <c r="N9" s="140">
        <f>'MODU 2025'!O12</f>
        <v>40.75</v>
      </c>
      <c r="O9" s="140">
        <f>'MODU 2025'!P12</f>
        <v>41.25</v>
      </c>
      <c r="P9" s="140">
        <f>'MODU 2025'!Q12</f>
        <v>33</v>
      </c>
      <c r="Q9" s="140">
        <f>'MODU 2025'!R12</f>
        <v>41</v>
      </c>
      <c r="R9" s="140">
        <f>'MODU 2025'!S12</f>
        <v>33</v>
      </c>
      <c r="S9" s="140">
        <f>'MODU 2025'!T12</f>
        <v>41</v>
      </c>
      <c r="T9" s="140">
        <f>'MODU 2025'!U12</f>
        <v>33</v>
      </c>
      <c r="U9" s="140">
        <f>'MODU 2025'!V12</f>
        <v>41</v>
      </c>
      <c r="V9" s="140">
        <f>'MODU 2025'!W12</f>
        <v>33</v>
      </c>
      <c r="W9" s="140">
        <f>'MODU 2025'!X12</f>
        <v>41</v>
      </c>
      <c r="X9" s="140">
        <f>'MODU 2025'!Y12</f>
        <v>33</v>
      </c>
      <c r="Y9" s="140">
        <f>'MODU 2025'!Z12</f>
        <v>41</v>
      </c>
      <c r="Z9" s="140">
        <f>'MODU 2025'!AA12</f>
        <v>33</v>
      </c>
      <c r="AA9" s="140">
        <f>'MODU 2025'!AB12</f>
        <v>41</v>
      </c>
      <c r="AB9" s="140">
        <f>'MODU 2025'!AC12</f>
        <v>33</v>
      </c>
      <c r="AC9" s="140">
        <f>'MODU 2025'!AD12</f>
        <v>41</v>
      </c>
      <c r="AD9" s="140">
        <f>'MODU 2025'!AE12</f>
        <v>33</v>
      </c>
      <c r="AE9" s="140">
        <f>'MODU 2025'!AF12</f>
        <v>41</v>
      </c>
      <c r="AF9" s="140">
        <f>'MODU 2025'!AG12</f>
        <v>33</v>
      </c>
      <c r="AG9" s="140">
        <f>'MODU 2025'!AH12</f>
        <v>41</v>
      </c>
      <c r="AH9" s="140">
        <f>'MODU 2025'!AI12</f>
        <v>33</v>
      </c>
      <c r="AI9" s="140">
        <f>'MODU 2025'!AJ12</f>
        <v>41</v>
      </c>
      <c r="AJ9" s="140">
        <f>'MODU 2025'!AK12</f>
        <v>33</v>
      </c>
      <c r="AK9" s="140">
        <f>'MODU 2025'!AL12</f>
        <v>41</v>
      </c>
      <c r="AL9" s="140">
        <f>'MODU 2025'!AM12</f>
        <v>33</v>
      </c>
      <c r="AM9" s="140">
        <f>'MODU 2025'!AN12</f>
        <v>41</v>
      </c>
      <c r="AN9" s="140">
        <f>'MODU 2025'!AO12</f>
        <v>33</v>
      </c>
      <c r="AO9" s="140">
        <f>'MODU 2025'!AP12</f>
        <v>41</v>
      </c>
      <c r="AP9" s="140">
        <f>'MODU 2025'!AQ12</f>
        <v>33</v>
      </c>
      <c r="AQ9" s="140">
        <f>'MODU 2025'!AR12</f>
        <v>41</v>
      </c>
      <c r="AR9" s="140">
        <f>'MODU 2025'!AS12</f>
        <v>33</v>
      </c>
      <c r="AS9" s="140">
        <f>'MODU 2025'!AT12</f>
        <v>41</v>
      </c>
      <c r="AT9" s="140">
        <f>'MODU 2025'!AU12</f>
        <v>33</v>
      </c>
      <c r="AU9" s="140">
        <f>'MODU 2025'!AV12</f>
        <v>41</v>
      </c>
      <c r="AV9" s="140">
        <f>'MODU 2025'!AW12</f>
        <v>33</v>
      </c>
      <c r="AW9" s="140">
        <f>'MODU 2025'!AX12</f>
        <v>41</v>
      </c>
      <c r="AX9" s="140">
        <f>'MODU 2025'!AY12</f>
        <v>33</v>
      </c>
      <c r="AY9" s="140">
        <f>'MODU 2025'!AZ12</f>
        <v>41</v>
      </c>
      <c r="AZ9" s="140">
        <f>'MODU 2025'!BA12</f>
        <v>33</v>
      </c>
      <c r="BA9" s="140">
        <f>'MODU 2025'!BB12</f>
        <v>41</v>
      </c>
      <c r="BB9" s="140">
        <f>'MODU 2025'!BC12</f>
        <v>33</v>
      </c>
      <c r="BC9" s="140">
        <f>'MODU 2025'!BD12</f>
        <v>41</v>
      </c>
      <c r="BD9" s="140">
        <f>'MODU 2025'!BE12</f>
        <v>33</v>
      </c>
      <c r="BE9" s="134">
        <f>'MODU 2025'!BF12</f>
        <v>41</v>
      </c>
      <c r="BF9" s="82"/>
      <c r="BG9" s="107">
        <v>33</v>
      </c>
      <c r="BH9" s="145">
        <v>41</v>
      </c>
      <c r="BI9" s="145">
        <v>33</v>
      </c>
      <c r="BJ9" s="145">
        <v>41</v>
      </c>
      <c r="BK9" s="145">
        <v>33</v>
      </c>
      <c r="BL9" s="145">
        <v>41</v>
      </c>
      <c r="BM9" s="145">
        <v>33</v>
      </c>
      <c r="BN9" s="145">
        <v>41</v>
      </c>
      <c r="BO9" s="145">
        <v>33</v>
      </c>
      <c r="BP9" s="145">
        <v>41</v>
      </c>
      <c r="BQ9" s="145">
        <v>33</v>
      </c>
      <c r="BR9" s="145">
        <v>41</v>
      </c>
      <c r="BS9" s="145">
        <v>33</v>
      </c>
      <c r="BT9" s="145">
        <v>41</v>
      </c>
      <c r="BU9" s="145">
        <v>33</v>
      </c>
      <c r="BV9" s="145">
        <v>41</v>
      </c>
      <c r="BW9" s="145">
        <v>33</v>
      </c>
      <c r="BX9" s="145">
        <v>41</v>
      </c>
      <c r="BY9" s="145">
        <v>33</v>
      </c>
      <c r="BZ9" s="145">
        <v>41</v>
      </c>
      <c r="CA9" s="145">
        <v>33</v>
      </c>
      <c r="CB9" s="145">
        <v>41</v>
      </c>
      <c r="CC9" s="145">
        <v>33</v>
      </c>
      <c r="CD9" s="145">
        <v>41</v>
      </c>
      <c r="CE9" s="145">
        <v>33</v>
      </c>
      <c r="CF9" s="145">
        <v>41</v>
      </c>
      <c r="CG9" s="145">
        <v>33</v>
      </c>
      <c r="CH9" s="145">
        <v>41</v>
      </c>
      <c r="CI9" s="145">
        <v>33</v>
      </c>
      <c r="CJ9" s="145">
        <v>41</v>
      </c>
      <c r="CK9" s="145">
        <v>33</v>
      </c>
      <c r="CL9" s="145">
        <v>41</v>
      </c>
      <c r="CM9" s="145">
        <v>33</v>
      </c>
      <c r="CN9" s="145">
        <v>41</v>
      </c>
      <c r="CO9" s="145">
        <v>33</v>
      </c>
      <c r="CP9" s="145">
        <v>41</v>
      </c>
      <c r="CQ9" s="145">
        <v>33</v>
      </c>
      <c r="CR9" s="145">
        <v>41</v>
      </c>
      <c r="CS9" s="145">
        <v>33</v>
      </c>
      <c r="CT9" s="145">
        <v>41</v>
      </c>
      <c r="CU9" s="145">
        <v>33</v>
      </c>
      <c r="CV9" s="145">
        <v>41</v>
      </c>
      <c r="CW9" s="145">
        <v>33</v>
      </c>
      <c r="CX9" s="145">
        <v>41</v>
      </c>
      <c r="CY9" s="145">
        <v>33</v>
      </c>
      <c r="CZ9" s="145">
        <v>41</v>
      </c>
      <c r="DA9" s="145">
        <v>33</v>
      </c>
      <c r="DB9" s="145">
        <v>41</v>
      </c>
      <c r="DC9" s="145">
        <v>33</v>
      </c>
      <c r="DD9" s="145">
        <v>41</v>
      </c>
      <c r="DE9" s="145">
        <v>33</v>
      </c>
      <c r="DF9" s="108">
        <v>41</v>
      </c>
      <c r="DG9" s="84"/>
      <c r="DH9" s="112">
        <f t="shared" si="3"/>
        <v>0</v>
      </c>
      <c r="DI9" s="138">
        <f t="shared" si="4"/>
        <v>0</v>
      </c>
      <c r="DJ9" s="138">
        <f t="shared" si="5"/>
        <v>0</v>
      </c>
      <c r="DK9" s="138">
        <f t="shared" si="6"/>
        <v>0</v>
      </c>
      <c r="DL9" s="138">
        <f t="shared" si="7"/>
        <v>0</v>
      </c>
      <c r="DM9" s="138">
        <f t="shared" si="8"/>
        <v>0</v>
      </c>
      <c r="DN9" s="138">
        <f t="shared" si="9"/>
        <v>0</v>
      </c>
      <c r="DO9" s="138">
        <f t="shared" si="10"/>
        <v>-0.75</v>
      </c>
      <c r="DP9" s="138">
        <f t="shared" si="11"/>
        <v>0</v>
      </c>
      <c r="DQ9" s="138">
        <f t="shared" si="12"/>
        <v>8</v>
      </c>
      <c r="DR9" s="138">
        <f t="shared" si="13"/>
        <v>0</v>
      </c>
      <c r="DS9" s="138">
        <f t="shared" si="14"/>
        <v>0</v>
      </c>
      <c r="DT9" s="138">
        <f t="shared" si="15"/>
        <v>0</v>
      </c>
      <c r="DU9" s="138">
        <f t="shared" si="16"/>
        <v>0</v>
      </c>
      <c r="DV9" s="138">
        <f t="shared" si="17"/>
        <v>0</v>
      </c>
      <c r="DW9" s="138">
        <f t="shared" si="18"/>
        <v>0</v>
      </c>
      <c r="DX9" s="138">
        <f t="shared" si="19"/>
        <v>0</v>
      </c>
      <c r="DY9" s="138">
        <f t="shared" si="20"/>
        <v>0</v>
      </c>
      <c r="DZ9" s="138">
        <f t="shared" si="21"/>
        <v>0</v>
      </c>
      <c r="EA9" s="138">
        <f>IF(
$C9="Production",
IF(MOD(COLUMN(),2)=$DH$3,SUM(X9:Y9)-SUM(BY9:BZ9),0),
Y9-BZ9)</f>
        <v>0</v>
      </c>
      <c r="EB9" s="138">
        <f t="shared" si="23"/>
        <v>0</v>
      </c>
      <c r="EC9" s="138">
        <f t="shared" si="24"/>
        <v>0</v>
      </c>
      <c r="ED9" s="138">
        <f t="shared" si="25"/>
        <v>0</v>
      </c>
      <c r="EE9" s="138">
        <f t="shared" si="26"/>
        <v>0</v>
      </c>
      <c r="EF9" s="138">
        <f t="shared" si="27"/>
        <v>0</v>
      </c>
      <c r="EG9" s="138">
        <f t="shared" si="28"/>
        <v>0</v>
      </c>
      <c r="EH9" s="138">
        <f t="shared" si="29"/>
        <v>0</v>
      </c>
      <c r="EI9" s="138">
        <f t="shared" si="30"/>
        <v>0</v>
      </c>
      <c r="EJ9" s="138">
        <f t="shared" si="31"/>
        <v>0</v>
      </c>
      <c r="EK9" s="138">
        <f t="shared" si="32"/>
        <v>0</v>
      </c>
      <c r="EL9" s="138">
        <f t="shared" si="33"/>
        <v>0</v>
      </c>
      <c r="EM9" s="138">
        <f t="shared" si="34"/>
        <v>0</v>
      </c>
      <c r="EN9" s="138">
        <f t="shared" si="35"/>
        <v>0</v>
      </c>
      <c r="EO9" s="138">
        <f t="shared" si="36"/>
        <v>0</v>
      </c>
      <c r="EP9" s="138">
        <f t="shared" si="37"/>
        <v>0</v>
      </c>
      <c r="EQ9" s="138">
        <f t="shared" si="38"/>
        <v>0</v>
      </c>
      <c r="ER9" s="138">
        <f t="shared" si="39"/>
        <v>0</v>
      </c>
      <c r="ES9" s="138">
        <f t="shared" si="40"/>
        <v>0</v>
      </c>
      <c r="ET9" s="138">
        <f t="shared" si="41"/>
        <v>0</v>
      </c>
      <c r="EU9" s="138">
        <f t="shared" si="42"/>
        <v>0</v>
      </c>
      <c r="EV9" s="138">
        <f t="shared" si="43"/>
        <v>0</v>
      </c>
      <c r="EW9" s="138">
        <f t="shared" si="44"/>
        <v>0</v>
      </c>
      <c r="EX9" s="138">
        <f t="shared" si="45"/>
        <v>0</v>
      </c>
      <c r="EY9" s="138">
        <f t="shared" si="46"/>
        <v>0</v>
      </c>
      <c r="EZ9" s="138">
        <f t="shared" si="47"/>
        <v>0</v>
      </c>
      <c r="FA9" s="138">
        <f t="shared" si="48"/>
        <v>0</v>
      </c>
      <c r="FB9" s="138">
        <f t="shared" si="49"/>
        <v>0</v>
      </c>
      <c r="FC9" s="138">
        <f t="shared" si="50"/>
        <v>0</v>
      </c>
      <c r="FD9" s="138">
        <f t="shared" si="51"/>
        <v>0</v>
      </c>
      <c r="FE9" s="138">
        <f t="shared" si="52"/>
        <v>0</v>
      </c>
      <c r="FF9" s="138">
        <f t="shared" si="53"/>
        <v>0</v>
      </c>
      <c r="FG9" s="113">
        <f t="shared" si="54"/>
        <v>0</v>
      </c>
      <c r="FH9" s="113">
        <f t="shared" si="55"/>
        <v>7.25</v>
      </c>
      <c r="FI9" s="35"/>
      <c r="FJ9" s="151" cm="1">
        <f t="array" ref="FJ9">IF($C9="Production",
IFERROR(_xlfn.IFS(AND(DH9&gt;0,DH9+SUM(BF9:BG9)&lt;=$FM$3),DH9,AND(DH9&gt;0,DH9+SUM(BF9:BG9)&gt;$FM$3),$FM$3-SUM(BF9:BG9)),0),
IFERROR(_xlfn.IFS(AND(DH9&gt;0,DH9+BG9&lt;=$FK$3),DH9,AND(DH9&gt;0,DH9+BG9&gt;$FK$3),0),0)
)</f>
        <v>0</v>
      </c>
      <c r="FK9" s="152" cm="1">
        <f t="array" ref="FK9">IF($C9="Production",
IFERROR(_xlfn.IFS(AND(DI9&gt;0,DI9+SUM(BG9:BH9)&lt;=$FM$3),DI9,AND(DI9&gt;0,DI9+SUM(BG9:BH9)&gt;$FM$3),$FM$3-SUM(BG9:BH9)),0),
IFERROR(_xlfn.IFS(AND(DI9&gt;0,DI9+BH9&lt;=$FK$3),DI9,AND(DI9&gt;0,DI9+BH9&gt;$FK$3),0),0)
)</f>
        <v>0</v>
      </c>
      <c r="FL9" s="152" cm="1">
        <f t="array" ref="FL9">IF($C9="Production",
IFERROR(_xlfn.IFS(AND(DJ9&gt;0,DJ9+SUM(BH9:BI9)&lt;=$FM$3),DJ9,AND(DJ9&gt;0,DJ9+SUM(BH9:BI9)&gt;$FM$3),$FM$3-SUM(BH9:BI9)),0),
IFERROR(_xlfn.IFS(AND(DJ9&gt;0,DJ9+BI9&lt;=$FK$3),DJ9,AND(DJ9&gt;0,DJ9+BI9&gt;$FK$3),0),0)
)</f>
        <v>0</v>
      </c>
      <c r="FM9" s="152" cm="1">
        <f t="array" ref="FM9">IF($C9="Production",
IFERROR(_xlfn.IFS(AND(DK9&gt;0,DK9+SUM(BI9:BJ9)&lt;=$FM$3),DK9,AND(DK9&gt;0,DK9+SUM(BI9:BJ9)&gt;$FM$3),$FM$3-SUM(BI9:BJ9)),0),
IFERROR(_xlfn.IFS(AND(DK9&gt;0,DK9+BJ9&lt;=$FK$3),DK9,AND(DK9&gt;0,DK9+BJ9&gt;$FK$3),0),0)
)</f>
        <v>0</v>
      </c>
      <c r="FN9" s="152" cm="1">
        <f t="array" ref="FN9">IF($C9="Production",
IFERROR(_xlfn.IFS(AND(DL9&gt;0,DL9+SUM(BJ9:BK9)&lt;=$FM$3),DL9,AND(DL9&gt;0,DL9+SUM(BJ9:BK9)&gt;$FM$3),$FM$3-SUM(BJ9:BK9)),0),
IFERROR(_xlfn.IFS(AND(DL9&gt;0,DL9+BK9&lt;=$FK$3),DL9,AND(DL9&gt;0,DL9+BK9&gt;$FK$3),0),0)
)</f>
        <v>0</v>
      </c>
      <c r="FO9" s="152" cm="1">
        <f t="array" ref="FO9">IF($C9="Production",
IFERROR(_xlfn.IFS(AND(DM9&gt;0,DM9+SUM(BK9:BL9)&lt;=$FM$3),DM9,AND(DM9&gt;0,DM9+SUM(BK9:BL9)&gt;$FM$3),$FM$3-SUM(BK9:BL9)),0),
IFERROR(_xlfn.IFS(AND(DM9&gt;0,DM9+BL9&lt;=$FK$3),DM9,AND(DM9&gt;0,DM9+BL9&gt;$FK$3),0),0)
)</f>
        <v>0</v>
      </c>
      <c r="FP9" s="152" cm="1">
        <f t="array" ref="FP9">IF($C9="Production",
IFERROR(_xlfn.IFS(AND(DN9&gt;0,DN9+SUM(BL9:BM9)&lt;=$FM$3),DN9,AND(DN9&gt;0,DN9+SUM(BL9:BM9)&gt;$FM$3),$FM$3-SUM(BL9:BM9)),0),
IFERROR(_xlfn.IFS(AND(DN9&gt;0,DN9+BM9&lt;=$FK$3),DN9,AND(DN9&gt;0,DN9+BM9&gt;$FK$3),0),0)
)</f>
        <v>0</v>
      </c>
      <c r="FQ9" s="152" cm="1">
        <f t="array" ref="FQ9">IF($C9="Production",
IFERROR(_xlfn.IFS(AND(DO9&gt;0,DO9+SUM(BM9:BN9)&lt;=$FM$3),DO9,AND(DO9&gt;0,DO9+SUM(BM9:BN9)&gt;$FM$3),$FM$3-SUM(BM9:BN9)),0),
IFERROR(_xlfn.IFS(AND(DO9&gt;0,DO9+BN9&lt;=$FK$3),DO9,AND(DO9&gt;0,DO9+BN9&gt;$FK$3),0),0)
)</f>
        <v>0</v>
      </c>
      <c r="FR9" s="152" cm="1">
        <f t="array" ref="FR9">IF($C9="Production",
IFERROR(_xlfn.IFS(AND(DP9&gt;0,DP9+SUM(BN9:BO9)&lt;=$FM$3),DP9,AND(DP9&gt;0,DP9+SUM(BN9:BO9)&gt;$FM$3),$FM$3-SUM(BN9:BO9)),0),
IFERROR(_xlfn.IFS(AND(DP9&gt;0,DP9+BO9&lt;=$FK$3),DP9,AND(DP9&gt;0,DP9+BO9&gt;$FK$3),0),0)
)</f>
        <v>0</v>
      </c>
      <c r="FS9" s="152" cm="1">
        <f t="array" ref="FS9">IF($C9="Production",
IFERROR(_xlfn.IFS(AND(DQ9&gt;0,DQ9+SUM(BO9:BP9)&lt;=$FM$3),DQ9,AND(DQ9&gt;0,DQ9+SUM(BO9:BP9)&gt;$FM$3),$FM$3-SUM(BO9:BP9)),0),
IFERROR(_xlfn.IFS(AND(DQ9&gt;0,DQ9+BP9&lt;=$FK$3),DQ9,AND(DQ9&gt;0,DQ9+BP9&gt;$FK$3),0),0)
)</f>
        <v>8</v>
      </c>
      <c r="FT9" s="152" cm="1">
        <f t="array" ref="FT9">IF($C9="Production",
IFERROR(_xlfn.IFS(AND(DR9&gt;0,DR9+SUM(BP9:BQ9)&lt;=$FM$3),DR9,AND(DR9&gt;0,DR9+SUM(BP9:BQ9)&gt;$FM$3),$FM$3-SUM(BP9:BQ9)),0),
IFERROR(_xlfn.IFS(AND(DR9&gt;0,DR9+BQ9&lt;=$FK$3),DR9,AND(DR9&gt;0,DR9+BQ9&gt;$FK$3),0),0)
)</f>
        <v>0</v>
      </c>
      <c r="FU9" s="152" cm="1">
        <f t="array" ref="FU9">IF($C9="Production",
IFERROR(_xlfn.IFS(AND(DS9&gt;0,DS9+SUM(BQ9:BR9)&lt;=$FM$3),DS9,AND(DS9&gt;0,DS9+SUM(BQ9:BR9)&gt;$FM$3),$FM$3-SUM(BQ9:BR9)),0),
IFERROR(_xlfn.IFS(AND(DS9&gt;0,DS9+BR9&lt;=$FK$3),DS9,AND(DS9&gt;0,DS9+BR9&gt;$FK$3),0),0)
)</f>
        <v>0</v>
      </c>
      <c r="FV9" s="152" cm="1">
        <f t="array" ref="FV9">IF($C9="Production",
IFERROR(_xlfn.IFS(AND(DT9&gt;0,DT9+SUM(BR9:BS9)&lt;=$FM$3),DT9,AND(DT9&gt;0,DT9+SUM(BR9:BS9)&gt;$FM$3),$FM$3-SUM(BR9:BS9)),0),
IFERROR(_xlfn.IFS(AND(DT9&gt;0,DT9+BS9&lt;=$FK$3),DT9,AND(DT9&gt;0,DT9+BS9&gt;$FK$3),0),0)
)</f>
        <v>0</v>
      </c>
      <c r="FW9" s="152" cm="1">
        <f t="array" ref="FW9">IF($C9="Production",
IFERROR(_xlfn.IFS(AND(DU9&gt;0,DU9+SUM(BS9:BT9)&lt;=$FM$3),DU9,AND(DU9&gt;0,DU9+SUM(BS9:BT9)&gt;$FM$3),$FM$3-SUM(BS9:BT9)),0),
IFERROR(_xlfn.IFS(AND(DU9&gt;0,DU9+BT9&lt;=$FK$3),DU9,AND(DU9&gt;0,DU9+BT9&gt;$FK$3),0),0)
)</f>
        <v>0</v>
      </c>
      <c r="FX9" s="152" cm="1">
        <f t="array" ref="FX9">IF($C9="Production",
IFERROR(_xlfn.IFS(AND(DV9&gt;0,DV9+SUM(BT9:BU9)&lt;=$FM$3),DV9,AND(DV9&gt;0,DV9+SUM(BT9:BU9)&gt;$FM$3),$FM$3-SUM(BT9:BU9)),0),
IFERROR(_xlfn.IFS(AND(DV9&gt;0,DV9+BU9&lt;=$FK$3),DV9,AND(DV9&gt;0,DV9+BU9&gt;$FK$3),0),0)
)</f>
        <v>0</v>
      </c>
      <c r="FY9" s="152" cm="1">
        <f t="array" ref="FY9">IF($C9="Production",
IFERROR(_xlfn.IFS(AND(DW9&gt;0,DW9+SUM(BU9:BV9)&lt;=$FM$3),DW9,AND(DW9&gt;0,DW9+SUM(BU9:BV9)&gt;$FM$3),$FM$3-SUM(BU9:BV9)),0),
IFERROR(_xlfn.IFS(AND(DW9&gt;0,DW9+BV9&lt;=$FK$3),DW9,AND(DW9&gt;0,DW9+BV9&gt;$FK$3),0),0)
)</f>
        <v>0</v>
      </c>
      <c r="FZ9" s="152" cm="1">
        <f t="array" ref="FZ9">IF($C9="Production",
IFERROR(_xlfn.IFS(AND(DX9&gt;0,DX9+SUM(BV9:BW9)&lt;=$FM$3),DX9,AND(DX9&gt;0,DX9+SUM(BV9:BW9)&gt;$FM$3),$FM$3-SUM(BV9:BW9)),0),
IFERROR(_xlfn.IFS(AND(DX9&gt;0,DX9+BW9&lt;=$FK$3),DX9,AND(DX9&gt;0,DX9+BW9&gt;$FK$3),0),0)
)</f>
        <v>0</v>
      </c>
      <c r="GA9" s="152" cm="1">
        <f t="array" ref="GA9">IF($C9="Production",
IFERROR(_xlfn.IFS(AND(DY9&gt;0,DY9+SUM(BW9:BX9)&lt;=$FM$3),DY9,AND(DY9&gt;0,DY9+SUM(BW9:BX9)&gt;$FM$3),$FM$3-SUM(BW9:BX9)),0),
IFERROR(_xlfn.IFS(AND(DY9&gt;0,DY9+BX9&lt;=$FK$3),DY9,AND(DY9&gt;0,DY9+BX9&gt;$FK$3),0),0)
)</f>
        <v>0</v>
      </c>
      <c r="GB9" s="152" cm="1">
        <f t="array" ref="GB9">IF($C9="Production",
IFERROR(_xlfn.IFS(AND(DZ9&gt;0,DZ9+SUM(BX9:BY9)&lt;=$FM$3),DZ9,AND(DZ9&gt;0,DZ9+SUM(BX9:BY9)&gt;$FM$3),$FM$3-SUM(BX9:BY9)),0),
IFERROR(_xlfn.IFS(AND(DZ9&gt;0,DZ9+BY9&lt;=$FK$3),DZ9,AND(DZ9&gt;0,DZ9+BY9&gt;$FK$3),0),0)
)</f>
        <v>0</v>
      </c>
      <c r="GC9" s="152" cm="1">
        <f t="array" ref="GC9">IF($C9="Production",
IFERROR(_xlfn.IFS(AND(EA9&gt;0,EA9+SUM(BY9:BZ9)&lt;=$FM$3),EA9,AND(EA9&gt;0,EA9+SUM(BY9:BZ9)&gt;$FM$3),$FM$3-SUM(BY9:BZ9)),0),
IFERROR(_xlfn.IFS(AND(EA9&gt;0,EA9+BZ9&lt;=$FK$3),EA9,AND(EA9&gt;0,EA9+BZ9&gt;$FK$3),0),0)
)</f>
        <v>0</v>
      </c>
      <c r="GD9" s="152" cm="1">
        <f t="array" ref="GD9">IF($C9="Production",
IFERROR(_xlfn.IFS(AND(EB9&gt;0,EB9+SUM(BZ9:CA9)&lt;=$FM$3),EB9,AND(EB9&gt;0,EB9+SUM(BZ9:CA9)&gt;$FM$3),$FM$3-SUM(BZ9:CA9)),0),
IFERROR(_xlfn.IFS(AND(EB9&gt;0,EB9+CA9&lt;=$FK$3),EB9,AND(EB9&gt;0,EB9+CA9&gt;$FK$3),0),0)
)</f>
        <v>0</v>
      </c>
      <c r="GE9" s="152" cm="1">
        <f t="array" ref="GE9">IF($C9="Production",
IFERROR(_xlfn.IFS(AND(EC9&gt;0,EC9+SUM(CA9:CB9)&lt;=$FM$3),EC9,AND(EC9&gt;0,EC9+SUM(CA9:CB9)&gt;$FM$3),$FM$3-SUM(CA9:CB9)),0),
IFERROR(_xlfn.IFS(AND(EC9&gt;0,EC9+CB9&lt;=$FK$3),EC9,AND(EC9&gt;0,EC9+CB9&gt;$FK$3),0),0)
)</f>
        <v>0</v>
      </c>
      <c r="GF9" s="152" cm="1">
        <f t="array" ref="GF9">IF($C9="Production",
IFERROR(_xlfn.IFS(AND(ED9&gt;0,ED9+SUM(CB9:CC9)&lt;=$FM$3),ED9,AND(ED9&gt;0,ED9+SUM(CB9:CC9)&gt;$FM$3),$FM$3-SUM(CB9:CC9)),0),
IFERROR(_xlfn.IFS(AND(ED9&gt;0,ED9+CC9&lt;=$FK$3),ED9,AND(ED9&gt;0,ED9+CC9&gt;$FK$3),0),0)
)</f>
        <v>0</v>
      </c>
      <c r="GG9" s="152" cm="1">
        <f t="array" ref="GG9">IF($C9="Production",
IFERROR(_xlfn.IFS(AND(EE9&gt;0,EE9+SUM(CC9:CD9)&lt;=$FM$3),EE9,AND(EE9&gt;0,EE9+SUM(CC9:CD9)&gt;$FM$3),$FM$3-SUM(CC9:CD9)),0),
IFERROR(_xlfn.IFS(AND(EE9&gt;0,EE9+CD9&lt;=$FK$3),EE9,AND(EE9&gt;0,EE9+CD9&gt;$FK$3),0),0)
)</f>
        <v>0</v>
      </c>
      <c r="GH9" s="152" cm="1">
        <f t="array" ref="GH9">IF($C9="Production",
IFERROR(_xlfn.IFS(AND(EF9&gt;0,EF9+SUM(CD9:CE9)&lt;=$FM$3),EF9,AND(EF9&gt;0,EF9+SUM(CD9:CE9)&gt;$FM$3),$FM$3-SUM(CD9:CE9)),0),
IFERROR(_xlfn.IFS(AND(EF9&gt;0,EF9+CE9&lt;=$FK$3),EF9,AND(EF9&gt;0,EF9+CE9&gt;$FK$3),0),0)
)</f>
        <v>0</v>
      </c>
      <c r="GI9" s="152" cm="1">
        <f t="array" ref="GI9">IF($C9="Production",
IFERROR(_xlfn.IFS(AND(EG9&gt;0,EG9+SUM(CE9:CF9)&lt;=$FM$3),EG9,AND(EG9&gt;0,EG9+SUM(CE9:CF9)&gt;$FM$3),$FM$3-SUM(CE9:CF9)),0),
IFERROR(_xlfn.IFS(AND(EG9&gt;0,EG9+CF9&lt;=$FK$3),EG9,AND(EG9&gt;0,EG9+CF9&gt;$FK$3),0),0)
)</f>
        <v>0</v>
      </c>
      <c r="GJ9" s="152" cm="1">
        <f t="array" ref="GJ9">IF($C9="Production",
IFERROR(_xlfn.IFS(AND(EH9&gt;0,EH9+SUM(CF9:CG9)&lt;=$FM$3),EH9,AND(EH9&gt;0,EH9+SUM(CF9:CG9)&gt;$FM$3),$FM$3-SUM(CF9:CG9)),0),
IFERROR(_xlfn.IFS(AND(EH9&gt;0,EH9+CG9&lt;=$FK$3),EH9,AND(EH9&gt;0,EH9+CG9&gt;$FK$3),0),0)
)</f>
        <v>0</v>
      </c>
      <c r="GK9" s="152" cm="1">
        <f t="array" ref="GK9">IF($C9="Production",
IFERROR(_xlfn.IFS(AND(EI9&gt;0,EI9+SUM(CG9:CH9)&lt;=$FM$3),EI9,AND(EI9&gt;0,EI9+SUM(CG9:CH9)&gt;$FM$3),$FM$3-SUM(CG9:CH9)),0),
IFERROR(_xlfn.IFS(AND(EI9&gt;0,EI9+CH9&lt;=$FK$3),EI9,AND(EI9&gt;0,EI9+CH9&gt;$FK$3),0),0)
)</f>
        <v>0</v>
      </c>
      <c r="GL9" s="152" cm="1">
        <f t="array" ref="GL9">IF($C9="Production",
IFERROR(_xlfn.IFS(AND(EJ9&gt;0,EJ9+SUM(CH9:CI9)&lt;=$FM$3),EJ9,AND(EJ9&gt;0,EJ9+SUM(CH9:CI9)&gt;$FM$3),$FM$3-SUM(CH9:CI9)),0),
IFERROR(_xlfn.IFS(AND(EJ9&gt;0,EJ9+CI9&lt;=$FK$3),EJ9,AND(EJ9&gt;0,EJ9+CI9&gt;$FK$3),0),0)
)</f>
        <v>0</v>
      </c>
      <c r="GM9" s="152" cm="1">
        <f t="array" ref="GM9">IF($C9="Production",
IFERROR(_xlfn.IFS(AND(EK9&gt;0,EK9+SUM(CI9:CJ9)&lt;=$FM$3),EK9,AND(EK9&gt;0,EK9+SUM(CI9:CJ9)&gt;$FM$3),$FM$3-SUM(CI9:CJ9)),0),
IFERROR(_xlfn.IFS(AND(EK9&gt;0,EK9+CJ9&lt;=$FK$3),EK9,AND(EK9&gt;0,EK9+CJ9&gt;$FK$3),0),0)
)</f>
        <v>0</v>
      </c>
      <c r="GN9" s="152" cm="1">
        <f t="array" ref="GN9">IF($C9="Production",
IFERROR(_xlfn.IFS(AND(EL9&gt;0,EL9+SUM(CJ9:CK9)&lt;=$FM$3),EL9,AND(EL9&gt;0,EL9+SUM(CJ9:CK9)&gt;$FM$3),$FM$3-SUM(CJ9:CK9)),0),
IFERROR(_xlfn.IFS(AND(EL9&gt;0,EL9+CK9&lt;=$FK$3),EL9,AND(EL9&gt;0,EL9+CK9&gt;$FK$3),0),0)
)</f>
        <v>0</v>
      </c>
      <c r="GO9" s="152" cm="1">
        <f t="array" ref="GO9">IF($C9="Production",
IFERROR(_xlfn.IFS(AND(EM9&gt;0,EM9+SUM(CK9:CL9)&lt;=$FM$3),EM9,AND(EM9&gt;0,EM9+SUM(CK9:CL9)&gt;$FM$3),$FM$3-SUM(CK9:CL9)),0),
IFERROR(_xlfn.IFS(AND(EM9&gt;0,EM9+CL9&lt;=$FK$3),EM9,AND(EM9&gt;0,EM9+CL9&gt;$FK$3),0),0)
)</f>
        <v>0</v>
      </c>
      <c r="GP9" s="152" cm="1">
        <f t="array" ref="GP9">IF($C9="Production",
IFERROR(_xlfn.IFS(AND(EN9&gt;0,EN9+SUM(CL9:CM9)&lt;=$FM$3),EN9,AND(EN9&gt;0,EN9+SUM(CL9:CM9)&gt;$FM$3),$FM$3-SUM(CL9:CM9)),0),
IFERROR(_xlfn.IFS(AND(EN9&gt;0,EN9+CM9&lt;=$FK$3),EN9,AND(EN9&gt;0,EN9+CM9&gt;$FK$3),0),0)
)</f>
        <v>0</v>
      </c>
      <c r="GQ9" s="152" cm="1">
        <f t="array" ref="GQ9">IF($C9="Production",
IFERROR(_xlfn.IFS(AND(EO9&gt;0,EO9+SUM(CM9:CN9)&lt;=$FM$3),EO9,AND(EO9&gt;0,EO9+SUM(CM9:CN9)&gt;$FM$3),$FM$3-SUM(CM9:CN9)),0),
IFERROR(_xlfn.IFS(AND(EO9&gt;0,EO9+CN9&lt;=$FK$3),EO9,AND(EO9&gt;0,EO9+CN9&gt;$FK$3),0),0)
)</f>
        <v>0</v>
      </c>
      <c r="GR9" s="152" cm="1">
        <f t="array" ref="GR9">IF($C9="Production",
IFERROR(_xlfn.IFS(AND(EP9&gt;0,EP9+SUM(CN9:CO9)&lt;=$FM$3),EP9,AND(EP9&gt;0,EP9+SUM(CN9:CO9)&gt;$FM$3),$FM$3-SUM(CN9:CO9)),0),
IFERROR(_xlfn.IFS(AND(EP9&gt;0,EP9+CO9&lt;=$FK$3),EP9,AND(EP9&gt;0,EP9+CO9&gt;$FK$3),0),0)
)</f>
        <v>0</v>
      </c>
      <c r="GS9" s="152" cm="1">
        <f t="array" ref="GS9">IF($C9="Production",
IFERROR(_xlfn.IFS(AND(EQ9&gt;0,EQ9+SUM(CO9:CP9)&lt;=$FM$3),EQ9,AND(EQ9&gt;0,EQ9+SUM(CO9:CP9)&gt;$FM$3),$FM$3-SUM(CO9:CP9)),0),
IFERROR(_xlfn.IFS(AND(EQ9&gt;0,EQ9+CP9&lt;=$FK$3),EQ9,AND(EQ9&gt;0,EQ9+CP9&gt;$FK$3),0),0)
)</f>
        <v>0</v>
      </c>
      <c r="GT9" s="152" cm="1">
        <f t="array" ref="GT9">IF($C9="Production",
IFERROR(_xlfn.IFS(AND(ER9&gt;0,ER9+SUM(CP9:CQ9)&lt;=$FM$3),ER9,AND(ER9&gt;0,ER9+SUM(CP9:CQ9)&gt;$FM$3),$FM$3-SUM(CP9:CQ9)),0),
IFERROR(_xlfn.IFS(AND(ER9&gt;0,ER9+CQ9&lt;=$FK$3),ER9,AND(ER9&gt;0,ER9+CQ9&gt;$FK$3),0),0)
)</f>
        <v>0</v>
      </c>
      <c r="GU9" s="152" cm="1">
        <f t="array" ref="GU9">IF($C9="Production",
IFERROR(_xlfn.IFS(AND(ES9&gt;0,ES9+SUM(CQ9:CR9)&lt;=$FM$3),ES9,AND(ES9&gt;0,ES9+SUM(CQ9:CR9)&gt;$FM$3),$FM$3-SUM(CQ9:CR9)),0),
IFERROR(_xlfn.IFS(AND(ES9&gt;0,ES9+CR9&lt;=$FK$3),ES9,AND(ES9&gt;0,ES9+CR9&gt;$FK$3),0),0)
)</f>
        <v>0</v>
      </c>
      <c r="GV9" s="152" cm="1">
        <f t="array" ref="GV9">IF($C9="Production",
IFERROR(_xlfn.IFS(AND(ET9&gt;0,ET9+SUM(CR9:CS9)&lt;=$FM$3),ET9,AND(ET9&gt;0,ET9+SUM(CR9:CS9)&gt;$FM$3),$FM$3-SUM(CR9:CS9)),0),
IFERROR(_xlfn.IFS(AND(ET9&gt;0,ET9+CS9&lt;=$FK$3),ET9,AND(ET9&gt;0,ET9+CS9&gt;$FK$3),0),0)
)</f>
        <v>0</v>
      </c>
      <c r="GW9" s="152" cm="1">
        <f t="array" ref="GW9">IF($C9="Production",
IFERROR(_xlfn.IFS(AND(EU9&gt;0,EU9+SUM(CS9:CT9)&lt;=$FM$3),EU9,AND(EU9&gt;0,EU9+SUM(CS9:CT9)&gt;$FM$3),$FM$3-SUM(CS9:CT9)),0),
IFERROR(_xlfn.IFS(AND(EU9&gt;0,EU9+CT9&lt;=$FK$3),EU9,AND(EU9&gt;0,EU9+CT9&gt;$FK$3),0),0)
)</f>
        <v>0</v>
      </c>
      <c r="GX9" s="152" cm="1">
        <f t="array" ref="GX9">IF($C9="Production",
IFERROR(_xlfn.IFS(AND(EV9&gt;0,EV9+SUM(CT9:CU9)&lt;=$FM$3),EV9,AND(EV9&gt;0,EV9+SUM(CT9:CU9)&gt;$FM$3),$FM$3-SUM(CT9:CU9)),0),
IFERROR(_xlfn.IFS(AND(EV9&gt;0,EV9+CU9&lt;=$FK$3),EV9,AND(EV9&gt;0,EV9+CU9&gt;$FK$3),0),0)
)</f>
        <v>0</v>
      </c>
      <c r="GY9" s="152" cm="1">
        <f t="array" ref="GY9">IF($C9="Production",
IFERROR(_xlfn.IFS(AND(EW9&gt;0,EW9+SUM(CU9:CV9)&lt;=$FM$3),EW9,AND(EW9&gt;0,EW9+SUM(CU9:CV9)&gt;$FM$3),$FM$3-SUM(CU9:CV9)),0),
IFERROR(_xlfn.IFS(AND(EW9&gt;0,EW9+CV9&lt;=$FK$3),EW9,AND(EW9&gt;0,EW9+CV9&gt;$FK$3),0),0)
)</f>
        <v>0</v>
      </c>
      <c r="GZ9" s="152" cm="1">
        <f t="array" ref="GZ9">IF($C9="Production",
IFERROR(_xlfn.IFS(AND(EX9&gt;0,EX9+SUM(CV9:CW9)&lt;=$FM$3),EX9,AND(EX9&gt;0,EX9+SUM(CV9:CW9)&gt;$FM$3),$FM$3-SUM(CV9:CW9)),0),
IFERROR(_xlfn.IFS(AND(EX9&gt;0,EX9+CW9&lt;=$FK$3),EX9,AND(EX9&gt;0,EX9+CW9&gt;$FK$3),0),0)
)</f>
        <v>0</v>
      </c>
      <c r="HA9" s="152" cm="1">
        <f t="array" ref="HA9">IF($C9="Production",
IFERROR(_xlfn.IFS(AND(EY9&gt;0,EY9+SUM(CW9:CX9)&lt;=$FM$3),EY9,AND(EY9&gt;0,EY9+SUM(CW9:CX9)&gt;$FM$3),$FM$3-SUM(CW9:CX9)),0),
IFERROR(_xlfn.IFS(AND(EY9&gt;0,EY9+CX9&lt;=$FK$3),EY9,AND(EY9&gt;0,EY9+CX9&gt;$FK$3),0),0)
)</f>
        <v>0</v>
      </c>
      <c r="HB9" s="152" cm="1">
        <f t="array" ref="HB9">IF($C9="Production",
IFERROR(_xlfn.IFS(AND(EZ9&gt;0,EZ9+SUM(CX9:CY9)&lt;=$FM$3),EZ9,AND(EZ9&gt;0,EZ9+SUM(CX9:CY9)&gt;$FM$3),$FM$3-SUM(CX9:CY9)),0),
IFERROR(_xlfn.IFS(AND(EZ9&gt;0,EZ9+CY9&lt;=$FK$3),EZ9,AND(EZ9&gt;0,EZ9+CY9&gt;$FK$3),0),0)
)</f>
        <v>0</v>
      </c>
      <c r="HC9" s="152" cm="1">
        <f t="array" ref="HC9">IF($C9="Production",
IFERROR(_xlfn.IFS(AND(FA9&gt;0,FA9+SUM(CY9:CZ9)&lt;=$FM$3),FA9,AND(FA9&gt;0,FA9+SUM(CY9:CZ9)&gt;$FM$3),$FM$3-SUM(CY9:CZ9)),0),
IFERROR(_xlfn.IFS(AND(FA9&gt;0,FA9+CZ9&lt;=$FK$3),FA9,AND(FA9&gt;0,FA9+CZ9&gt;$FK$3),0),0)
)</f>
        <v>0</v>
      </c>
      <c r="HD9" s="152" cm="1">
        <f t="array" ref="HD9">IF($C9="Production",
IFERROR(_xlfn.IFS(AND(FB9&gt;0,FB9+SUM(CZ9:DA9)&lt;=$FM$3),FB9,AND(FB9&gt;0,FB9+SUM(CZ9:DA9)&gt;$FM$3),$FM$3-SUM(CZ9:DA9)),0),
IFERROR(_xlfn.IFS(AND(FB9&gt;0,FB9+DA9&lt;=$FK$3),FB9,AND(FB9&gt;0,FB9+DA9&gt;$FK$3),0),0)
)</f>
        <v>0</v>
      </c>
      <c r="HE9" s="152" cm="1">
        <f t="array" ref="HE9">IF($C9="Production",
IFERROR(_xlfn.IFS(AND(FC9&gt;0,FC9+SUM(DA9:DB9)&lt;=$FM$3),FC9,AND(FC9&gt;0,FC9+SUM(DA9:DB9)&gt;$FM$3),$FM$3-SUM(DA9:DB9)),0),
IFERROR(_xlfn.IFS(AND(FC9&gt;0,FC9+DB9&lt;=$FK$3),FC9,AND(FC9&gt;0,FC9+DB9&gt;$FK$3),0),0)
)</f>
        <v>0</v>
      </c>
      <c r="HF9" s="152" cm="1">
        <f t="array" ref="HF9">IF($C9="Production",
IFERROR(_xlfn.IFS(AND(FD9&gt;0,FD9+SUM(DB9:DC9)&lt;=$FM$3),FD9,AND(FD9&gt;0,FD9+SUM(DB9:DC9)&gt;$FM$3),$FM$3-SUM(DB9:DC9)),0),
IFERROR(_xlfn.IFS(AND(FD9&gt;0,FD9+DC9&lt;=$FK$3),FD9,AND(FD9&gt;0,FD9+DC9&gt;$FK$3),0),0)
)</f>
        <v>0</v>
      </c>
      <c r="HG9" s="152" cm="1">
        <f t="array" ref="HG9">IF($C9="Production",
IFERROR(_xlfn.IFS(AND(FE9&gt;0,FE9+SUM(DC9:DD9)&lt;=$FM$3),FE9,AND(FE9&gt;0,FE9+SUM(DC9:DD9)&gt;$FM$3),$FM$3-SUM(DC9:DD9)),0),
IFERROR(_xlfn.IFS(AND(FE9&gt;0,FE9+DD9&lt;=$FK$3),FE9,AND(FE9&gt;0,FE9+DD9&gt;$FK$3),0),0)
)</f>
        <v>0</v>
      </c>
      <c r="HH9" s="152" cm="1">
        <f t="array" ref="HH9">IF($C9="Production",
IFERROR(_xlfn.IFS(AND(FF9&gt;0,FF9+SUM(DD9:DE9)&lt;=$FM$3),FF9,AND(FF9&gt;0,FF9+SUM(DD9:DE9)&gt;$FM$3),$FM$3-SUM(DD9:DE9)),0),
IFERROR(_xlfn.IFS(AND(FF9&gt;0,FF9+DE9&lt;=$FK$3),FF9,AND(FF9&gt;0,FF9+DE9&gt;$FK$3),0),0)
)</f>
        <v>0</v>
      </c>
      <c r="HI9" s="156" cm="1">
        <f t="array" ref="HI9">IF($C9="Production",
IFERROR(_xlfn.IFS(AND(FG9&gt;0,FG9+SUM(DE9:DF9)&lt;=$FM$3),FG9,AND(FG9&gt;0,FG9+SUM(DE9:DF9)&gt;$FM$3),$FM$3-SUM(DE9:DF9)),0),
IFERROR(_xlfn.IFS(AND(FG9&gt;0,FG9+DF9&lt;=$FK$3),FG9,AND(FG9&gt;0,FG9+DF9&gt;$FK$3),0),0)
)</f>
        <v>0</v>
      </c>
      <c r="HJ9" s="113">
        <f t="shared" si="110"/>
        <v>8</v>
      </c>
      <c r="HK9" s="80"/>
      <c r="HL9" s="112">
        <f t="shared" si="56"/>
        <v>0</v>
      </c>
      <c r="HM9" s="138">
        <f t="shared" si="57"/>
        <v>0</v>
      </c>
      <c r="HN9" s="138">
        <f t="shared" si="58"/>
        <v>0</v>
      </c>
      <c r="HO9" s="138">
        <f t="shared" si="59"/>
        <v>0</v>
      </c>
      <c r="HP9" s="138">
        <f t="shared" si="60"/>
        <v>0</v>
      </c>
      <c r="HQ9" s="138">
        <f t="shared" si="61"/>
        <v>0</v>
      </c>
      <c r="HR9" s="138">
        <f t="shared" si="62"/>
        <v>0</v>
      </c>
      <c r="HS9" s="138">
        <f t="shared" si="63"/>
        <v>0</v>
      </c>
      <c r="HT9" s="138">
        <f t="shared" si="64"/>
        <v>0</v>
      </c>
      <c r="HU9" s="138">
        <f t="shared" si="65"/>
        <v>0</v>
      </c>
      <c r="HV9" s="138">
        <f t="shared" si="66"/>
        <v>0</v>
      </c>
      <c r="HW9" s="138">
        <f t="shared" si="67"/>
        <v>0</v>
      </c>
      <c r="HX9" s="138">
        <f t="shared" si="68"/>
        <v>0</v>
      </c>
      <c r="HY9" s="138">
        <f t="shared" si="69"/>
        <v>0</v>
      </c>
      <c r="HZ9" s="138">
        <f t="shared" si="70"/>
        <v>0</v>
      </c>
      <c r="IA9" s="138">
        <f t="shared" si="71"/>
        <v>0</v>
      </c>
      <c r="IB9" s="138">
        <f t="shared" si="72"/>
        <v>0</v>
      </c>
      <c r="IC9" s="138">
        <f t="shared" si="73"/>
        <v>0</v>
      </c>
      <c r="ID9" s="138">
        <f t="shared" si="74"/>
        <v>0</v>
      </c>
      <c r="IE9" s="138">
        <f t="shared" si="75"/>
        <v>0</v>
      </c>
      <c r="IF9" s="138">
        <f t="shared" si="76"/>
        <v>0</v>
      </c>
      <c r="IG9" s="138">
        <f t="shared" si="77"/>
        <v>0</v>
      </c>
      <c r="IH9" s="138">
        <f t="shared" si="78"/>
        <v>0</v>
      </c>
      <c r="II9" s="138">
        <f t="shared" si="79"/>
        <v>0</v>
      </c>
      <c r="IJ9" s="138">
        <f t="shared" si="80"/>
        <v>0</v>
      </c>
      <c r="IK9" s="138">
        <f t="shared" si="81"/>
        <v>0</v>
      </c>
      <c r="IL9" s="138">
        <f t="shared" si="82"/>
        <v>0</v>
      </c>
      <c r="IM9" s="138">
        <f t="shared" si="83"/>
        <v>0</v>
      </c>
      <c r="IN9" s="138">
        <f t="shared" si="84"/>
        <v>0</v>
      </c>
      <c r="IO9" s="138">
        <f t="shared" si="85"/>
        <v>0</v>
      </c>
      <c r="IP9" s="138">
        <f t="shared" si="86"/>
        <v>0</v>
      </c>
      <c r="IQ9" s="138">
        <f t="shared" si="87"/>
        <v>0</v>
      </c>
      <c r="IR9" s="138">
        <f t="shared" si="88"/>
        <v>0</v>
      </c>
      <c r="IS9" s="138">
        <f t="shared" si="89"/>
        <v>0</v>
      </c>
      <c r="IT9" s="138">
        <f t="shared" si="90"/>
        <v>0</v>
      </c>
      <c r="IU9" s="138">
        <f t="shared" si="91"/>
        <v>0</v>
      </c>
      <c r="IV9" s="138">
        <f t="shared" si="92"/>
        <v>0</v>
      </c>
      <c r="IW9" s="138">
        <f t="shared" si="93"/>
        <v>0</v>
      </c>
      <c r="IX9" s="138">
        <f t="shared" si="94"/>
        <v>0</v>
      </c>
      <c r="IY9" s="138">
        <f t="shared" si="95"/>
        <v>0</v>
      </c>
      <c r="IZ9" s="138">
        <f t="shared" si="96"/>
        <v>0</v>
      </c>
      <c r="JA9" s="138">
        <f t="shared" si="97"/>
        <v>0</v>
      </c>
      <c r="JB9" s="138">
        <f t="shared" si="98"/>
        <v>0</v>
      </c>
      <c r="JC9" s="138">
        <f t="shared" si="99"/>
        <v>0</v>
      </c>
      <c r="JD9" s="138">
        <f t="shared" si="100"/>
        <v>0</v>
      </c>
      <c r="JE9" s="138">
        <f t="shared" si="101"/>
        <v>0</v>
      </c>
      <c r="JF9" s="138">
        <f t="shared" si="102"/>
        <v>0</v>
      </c>
      <c r="JG9" s="138">
        <f t="shared" si="103"/>
        <v>0</v>
      </c>
      <c r="JH9" s="138">
        <f t="shared" si="104"/>
        <v>0</v>
      </c>
      <c r="JI9" s="138">
        <f t="shared" si="105"/>
        <v>0</v>
      </c>
      <c r="JJ9" s="138">
        <f t="shared" si="106"/>
        <v>0</v>
      </c>
      <c r="JK9" s="138">
        <f t="shared" si="107"/>
        <v>0</v>
      </c>
      <c r="JL9" s="118">
        <f t="shared" si="111"/>
        <v>0</v>
      </c>
      <c r="JO9" s="90">
        <f t="shared" si="112"/>
        <v>8</v>
      </c>
      <c r="JP9" s="79">
        <f t="shared" si="108"/>
        <v>0</v>
      </c>
      <c r="JQ9" s="91">
        <f t="shared" si="2"/>
        <v>10</v>
      </c>
      <c r="JS9" s="123">
        <f t="shared" si="109"/>
        <v>-0.75</v>
      </c>
      <c r="JU9" s="123">
        <f t="shared" si="113"/>
        <v>9.25</v>
      </c>
    </row>
    <row r="10" spans="2:281" x14ac:dyDescent="0.15">
      <c r="B10" s="82" t="str">
        <f>'MODU 2025'!B13</f>
        <v>BOUDIER Laure</v>
      </c>
      <c r="C10" s="82" t="str">
        <f>'MODU 2025'!C13</f>
        <v>Production</v>
      </c>
      <c r="D10" s="82">
        <f>'MODU 2025'!D13</f>
        <v>37</v>
      </c>
      <c r="E10" s="82"/>
      <c r="F10" s="133">
        <f>'MODU 2025'!G13</f>
        <v>41</v>
      </c>
      <c r="G10" s="140">
        <f>'MODU 2025'!H13</f>
        <v>33</v>
      </c>
      <c r="H10" s="140">
        <f>'MODU 2025'!I13</f>
        <v>41</v>
      </c>
      <c r="I10" s="140">
        <f>'MODU 2025'!J13</f>
        <v>33</v>
      </c>
      <c r="J10" s="140">
        <f>'MODU 2025'!K13</f>
        <v>41</v>
      </c>
      <c r="K10" s="140">
        <f>'MODU 2025'!L13</f>
        <v>40.75</v>
      </c>
      <c r="L10" s="140">
        <f>'MODU 2025'!M13</f>
        <v>41.25</v>
      </c>
      <c r="M10" s="140">
        <f>'MODU 2025'!N13</f>
        <v>33</v>
      </c>
      <c r="N10" s="140">
        <f>'MODU 2025'!O13</f>
        <v>41</v>
      </c>
      <c r="O10" s="140">
        <f>'MODU 2025'!P13</f>
        <v>33</v>
      </c>
      <c r="P10" s="140">
        <f>'MODU 2025'!Q13</f>
        <v>41</v>
      </c>
      <c r="Q10" s="140">
        <f>'MODU 2025'!R13</f>
        <v>33</v>
      </c>
      <c r="R10" s="140">
        <f>'MODU 2025'!S13</f>
        <v>41</v>
      </c>
      <c r="S10" s="140">
        <f>'MODU 2025'!T13</f>
        <v>33</v>
      </c>
      <c r="T10" s="140">
        <f>'MODU 2025'!U13</f>
        <v>41</v>
      </c>
      <c r="U10" s="140">
        <f>'MODU 2025'!V13</f>
        <v>33</v>
      </c>
      <c r="V10" s="140">
        <f>'MODU 2025'!W13</f>
        <v>41</v>
      </c>
      <c r="W10" s="140">
        <f>'MODU 2025'!X13</f>
        <v>33</v>
      </c>
      <c r="X10" s="140">
        <f>'MODU 2025'!Y13</f>
        <v>41</v>
      </c>
      <c r="Y10" s="140">
        <f>'MODU 2025'!Z13</f>
        <v>33</v>
      </c>
      <c r="Z10" s="140">
        <f>'MODU 2025'!AA13</f>
        <v>41</v>
      </c>
      <c r="AA10" s="140">
        <f>'MODU 2025'!AB13</f>
        <v>33</v>
      </c>
      <c r="AB10" s="140">
        <f>'MODU 2025'!AC13</f>
        <v>41</v>
      </c>
      <c r="AC10" s="140">
        <f>'MODU 2025'!AD13</f>
        <v>33</v>
      </c>
      <c r="AD10" s="140">
        <f>'MODU 2025'!AE13</f>
        <v>41</v>
      </c>
      <c r="AE10" s="140">
        <f>'MODU 2025'!AF13</f>
        <v>33</v>
      </c>
      <c r="AF10" s="140">
        <f>'MODU 2025'!AG13</f>
        <v>41</v>
      </c>
      <c r="AG10" s="140">
        <f>'MODU 2025'!AH13</f>
        <v>33</v>
      </c>
      <c r="AH10" s="140">
        <f>'MODU 2025'!AI13</f>
        <v>41</v>
      </c>
      <c r="AI10" s="140">
        <f>'MODU 2025'!AJ13</f>
        <v>33</v>
      </c>
      <c r="AJ10" s="140">
        <f>'MODU 2025'!AK13</f>
        <v>41</v>
      </c>
      <c r="AK10" s="140">
        <f>'MODU 2025'!AL13</f>
        <v>33</v>
      </c>
      <c r="AL10" s="140">
        <f>'MODU 2025'!AM13</f>
        <v>41</v>
      </c>
      <c r="AM10" s="140">
        <f>'MODU 2025'!AN13</f>
        <v>33</v>
      </c>
      <c r="AN10" s="140">
        <f>'MODU 2025'!AO13</f>
        <v>41</v>
      </c>
      <c r="AO10" s="140">
        <f>'MODU 2025'!AP13</f>
        <v>33</v>
      </c>
      <c r="AP10" s="140">
        <f>'MODU 2025'!AQ13</f>
        <v>41</v>
      </c>
      <c r="AQ10" s="140">
        <f>'MODU 2025'!AR13</f>
        <v>33</v>
      </c>
      <c r="AR10" s="140">
        <f>'MODU 2025'!AS13</f>
        <v>41</v>
      </c>
      <c r="AS10" s="140">
        <f>'MODU 2025'!AT13</f>
        <v>33</v>
      </c>
      <c r="AT10" s="140">
        <f>'MODU 2025'!AU13</f>
        <v>41</v>
      </c>
      <c r="AU10" s="140">
        <f>'MODU 2025'!AV13</f>
        <v>33</v>
      </c>
      <c r="AV10" s="140">
        <f>'MODU 2025'!AW13</f>
        <v>41</v>
      </c>
      <c r="AW10" s="140">
        <f>'MODU 2025'!AX13</f>
        <v>33</v>
      </c>
      <c r="AX10" s="140">
        <f>'MODU 2025'!AY13</f>
        <v>41</v>
      </c>
      <c r="AY10" s="140">
        <f>'MODU 2025'!AZ13</f>
        <v>33</v>
      </c>
      <c r="AZ10" s="140">
        <f>'MODU 2025'!BA13</f>
        <v>41</v>
      </c>
      <c r="BA10" s="140">
        <f>'MODU 2025'!BB13</f>
        <v>33</v>
      </c>
      <c r="BB10" s="140">
        <f>'MODU 2025'!BC13</f>
        <v>41</v>
      </c>
      <c r="BC10" s="140">
        <f>'MODU 2025'!BD13</f>
        <v>33</v>
      </c>
      <c r="BD10" s="140">
        <f>'MODU 2025'!BE13</f>
        <v>41</v>
      </c>
      <c r="BE10" s="134">
        <f>'MODU 2025'!BF13</f>
        <v>33</v>
      </c>
      <c r="BF10" s="82"/>
      <c r="BG10" s="107">
        <v>41</v>
      </c>
      <c r="BH10" s="145">
        <v>33</v>
      </c>
      <c r="BI10" s="145">
        <v>41</v>
      </c>
      <c r="BJ10" s="145">
        <v>33</v>
      </c>
      <c r="BK10" s="145">
        <v>41</v>
      </c>
      <c r="BL10" s="145">
        <v>33</v>
      </c>
      <c r="BM10" s="145">
        <v>41</v>
      </c>
      <c r="BN10" s="145">
        <v>33</v>
      </c>
      <c r="BO10" s="145">
        <v>41</v>
      </c>
      <c r="BP10" s="145">
        <v>33</v>
      </c>
      <c r="BQ10" s="145">
        <v>41</v>
      </c>
      <c r="BR10" s="145">
        <v>33</v>
      </c>
      <c r="BS10" s="145">
        <v>41</v>
      </c>
      <c r="BT10" s="145">
        <v>33</v>
      </c>
      <c r="BU10" s="145">
        <v>41</v>
      </c>
      <c r="BV10" s="145">
        <v>33</v>
      </c>
      <c r="BW10" s="145">
        <v>41</v>
      </c>
      <c r="BX10" s="145">
        <v>33</v>
      </c>
      <c r="BY10" s="145">
        <v>41</v>
      </c>
      <c r="BZ10" s="145">
        <v>33</v>
      </c>
      <c r="CA10" s="145">
        <v>41</v>
      </c>
      <c r="CB10" s="145">
        <v>33</v>
      </c>
      <c r="CC10" s="145">
        <v>41</v>
      </c>
      <c r="CD10" s="145">
        <v>33</v>
      </c>
      <c r="CE10" s="145">
        <v>41</v>
      </c>
      <c r="CF10" s="145">
        <v>33</v>
      </c>
      <c r="CG10" s="145">
        <v>41</v>
      </c>
      <c r="CH10" s="145">
        <v>33</v>
      </c>
      <c r="CI10" s="145">
        <v>41</v>
      </c>
      <c r="CJ10" s="145">
        <v>33</v>
      </c>
      <c r="CK10" s="145">
        <v>41</v>
      </c>
      <c r="CL10" s="145">
        <v>33</v>
      </c>
      <c r="CM10" s="145">
        <v>41</v>
      </c>
      <c r="CN10" s="145">
        <v>33</v>
      </c>
      <c r="CO10" s="145">
        <v>41</v>
      </c>
      <c r="CP10" s="145">
        <v>33</v>
      </c>
      <c r="CQ10" s="145">
        <v>41</v>
      </c>
      <c r="CR10" s="145">
        <v>33</v>
      </c>
      <c r="CS10" s="145">
        <v>41</v>
      </c>
      <c r="CT10" s="145">
        <v>33</v>
      </c>
      <c r="CU10" s="145">
        <v>41</v>
      </c>
      <c r="CV10" s="145">
        <v>33</v>
      </c>
      <c r="CW10" s="145">
        <v>41</v>
      </c>
      <c r="CX10" s="145">
        <v>33</v>
      </c>
      <c r="CY10" s="145">
        <v>41</v>
      </c>
      <c r="CZ10" s="145">
        <v>33</v>
      </c>
      <c r="DA10" s="145">
        <v>41</v>
      </c>
      <c r="DB10" s="145">
        <v>33</v>
      </c>
      <c r="DC10" s="145">
        <v>41</v>
      </c>
      <c r="DD10" s="145">
        <v>33</v>
      </c>
      <c r="DE10" s="145">
        <v>41</v>
      </c>
      <c r="DF10" s="108">
        <v>33</v>
      </c>
      <c r="DG10" s="84"/>
      <c r="DH10" s="112">
        <f t="shared" si="3"/>
        <v>0</v>
      </c>
      <c r="DI10" s="138">
        <f t="shared" si="4"/>
        <v>0</v>
      </c>
      <c r="DJ10" s="138">
        <f t="shared" si="5"/>
        <v>0</v>
      </c>
      <c r="DK10" s="138">
        <f t="shared" si="6"/>
        <v>0</v>
      </c>
      <c r="DL10" s="138">
        <f t="shared" si="7"/>
        <v>0</v>
      </c>
      <c r="DM10" s="138">
        <f t="shared" si="8"/>
        <v>7.75</v>
      </c>
      <c r="DN10" s="138">
        <f t="shared" si="9"/>
        <v>0</v>
      </c>
      <c r="DO10" s="138">
        <f t="shared" si="10"/>
        <v>0.25</v>
      </c>
      <c r="DP10" s="138">
        <f t="shared" si="11"/>
        <v>0</v>
      </c>
      <c r="DQ10" s="138">
        <f t="shared" si="12"/>
        <v>0</v>
      </c>
      <c r="DR10" s="138">
        <f t="shared" si="13"/>
        <v>0</v>
      </c>
      <c r="DS10" s="138">
        <f t="shared" si="14"/>
        <v>0</v>
      </c>
      <c r="DT10" s="138">
        <f t="shared" si="15"/>
        <v>0</v>
      </c>
      <c r="DU10" s="138">
        <f t="shared" si="16"/>
        <v>0</v>
      </c>
      <c r="DV10" s="138">
        <f t="shared" si="17"/>
        <v>0</v>
      </c>
      <c r="DW10" s="138">
        <f t="shared" si="18"/>
        <v>0</v>
      </c>
      <c r="DX10" s="138">
        <f t="shared" si="19"/>
        <v>0</v>
      </c>
      <c r="DY10" s="138">
        <f t="shared" si="20"/>
        <v>0</v>
      </c>
      <c r="DZ10" s="138">
        <f t="shared" si="21"/>
        <v>0</v>
      </c>
      <c r="EA10" s="138">
        <f t="shared" si="22"/>
        <v>0</v>
      </c>
      <c r="EB10" s="138">
        <f t="shared" si="23"/>
        <v>0</v>
      </c>
      <c r="EC10" s="138">
        <f t="shared" si="24"/>
        <v>0</v>
      </c>
      <c r="ED10" s="138">
        <f t="shared" si="25"/>
        <v>0</v>
      </c>
      <c r="EE10" s="138">
        <f t="shared" si="26"/>
        <v>0</v>
      </c>
      <c r="EF10" s="138">
        <f t="shared" si="27"/>
        <v>0</v>
      </c>
      <c r="EG10" s="138">
        <f t="shared" si="28"/>
        <v>0</v>
      </c>
      <c r="EH10" s="138">
        <f t="shared" si="29"/>
        <v>0</v>
      </c>
      <c r="EI10" s="138">
        <f t="shared" si="30"/>
        <v>0</v>
      </c>
      <c r="EJ10" s="138">
        <f t="shared" si="31"/>
        <v>0</v>
      </c>
      <c r="EK10" s="138">
        <f t="shared" si="32"/>
        <v>0</v>
      </c>
      <c r="EL10" s="138">
        <f t="shared" si="33"/>
        <v>0</v>
      </c>
      <c r="EM10" s="138">
        <f t="shared" si="34"/>
        <v>0</v>
      </c>
      <c r="EN10" s="138">
        <f t="shared" si="35"/>
        <v>0</v>
      </c>
      <c r="EO10" s="138">
        <f t="shared" si="36"/>
        <v>0</v>
      </c>
      <c r="EP10" s="138">
        <f t="shared" si="37"/>
        <v>0</v>
      </c>
      <c r="EQ10" s="138">
        <f t="shared" si="38"/>
        <v>0</v>
      </c>
      <c r="ER10" s="138">
        <f t="shared" si="39"/>
        <v>0</v>
      </c>
      <c r="ES10" s="138">
        <f t="shared" si="40"/>
        <v>0</v>
      </c>
      <c r="ET10" s="138">
        <f t="shared" si="41"/>
        <v>0</v>
      </c>
      <c r="EU10" s="138">
        <f t="shared" si="42"/>
        <v>0</v>
      </c>
      <c r="EV10" s="138">
        <f t="shared" si="43"/>
        <v>0</v>
      </c>
      <c r="EW10" s="138">
        <f t="shared" si="44"/>
        <v>0</v>
      </c>
      <c r="EX10" s="138">
        <f t="shared" si="45"/>
        <v>0</v>
      </c>
      <c r="EY10" s="138">
        <f t="shared" si="46"/>
        <v>0</v>
      </c>
      <c r="EZ10" s="138">
        <f t="shared" si="47"/>
        <v>0</v>
      </c>
      <c r="FA10" s="138">
        <f t="shared" si="48"/>
        <v>0</v>
      </c>
      <c r="FB10" s="138">
        <f t="shared" si="49"/>
        <v>0</v>
      </c>
      <c r="FC10" s="138">
        <f t="shared" si="50"/>
        <v>0</v>
      </c>
      <c r="FD10" s="138">
        <f t="shared" si="51"/>
        <v>0</v>
      </c>
      <c r="FE10" s="138">
        <f t="shared" si="52"/>
        <v>0</v>
      </c>
      <c r="FF10" s="138">
        <f t="shared" si="53"/>
        <v>0</v>
      </c>
      <c r="FG10" s="113">
        <f t="shared" si="54"/>
        <v>0</v>
      </c>
      <c r="FH10" s="113">
        <f t="shared" si="55"/>
        <v>8</v>
      </c>
      <c r="FI10" s="35"/>
      <c r="FJ10" s="151" cm="1">
        <f t="array" ref="FJ10">IF($C10="Production",
IFERROR(_xlfn.IFS(AND(DH10&gt;0,DH10+SUM(BF10:BG10)&lt;=$FM$3),DH10,AND(DH10&gt;0,DH10+SUM(BF10:BG10)&gt;$FM$3),$FM$3-SUM(BF10:BG10)),0),
IFERROR(_xlfn.IFS(AND(DH10&gt;0,DH10+BG10&lt;=$FK$3),DH10,AND(DH10&gt;0,DH10+BG10&gt;$FK$3),0),0)
)</f>
        <v>0</v>
      </c>
      <c r="FK10" s="152" cm="1">
        <f t="array" ref="FK10">IF($C10="Production",
IFERROR(_xlfn.IFS(AND(DI10&gt;0,DI10+SUM(BG10:BH10)&lt;=$FM$3),DI10,AND(DI10&gt;0,DI10+SUM(BG10:BH10)&gt;$FM$3),$FM$3-SUM(BG10:BH10)),0),
IFERROR(_xlfn.IFS(AND(DI10&gt;0,DI10+BH10&lt;=$FK$3),DI10,AND(DI10&gt;0,DI10+BH10&gt;$FK$3),0),0)
)</f>
        <v>0</v>
      </c>
      <c r="FL10" s="152" cm="1">
        <f t="array" ref="FL10">IF($C10="Production",
IFERROR(_xlfn.IFS(AND(DJ10&gt;0,DJ10+SUM(BH10:BI10)&lt;=$FM$3),DJ10,AND(DJ10&gt;0,DJ10+SUM(BH10:BI10)&gt;$FM$3),$FM$3-SUM(BH10:BI10)),0),
IFERROR(_xlfn.IFS(AND(DJ10&gt;0,DJ10+BI10&lt;=$FK$3),DJ10,AND(DJ10&gt;0,DJ10+BI10&gt;$FK$3),0),0)
)</f>
        <v>0</v>
      </c>
      <c r="FM10" s="152" cm="1">
        <f t="array" ref="FM10">IF($C10="Production",
IFERROR(_xlfn.IFS(AND(DK10&gt;0,DK10+SUM(BI10:BJ10)&lt;=$FM$3),DK10,AND(DK10&gt;0,DK10+SUM(BI10:BJ10)&gt;$FM$3),$FM$3-SUM(BI10:BJ10)),0),
IFERROR(_xlfn.IFS(AND(DK10&gt;0,DK10+BJ10&lt;=$FK$3),DK10,AND(DK10&gt;0,DK10+BJ10&gt;$FK$3),0),0)
)</f>
        <v>0</v>
      </c>
      <c r="FN10" s="152" cm="1">
        <f t="array" ref="FN10">IF($C10="Production",
IFERROR(_xlfn.IFS(AND(DL10&gt;0,DL10+SUM(BJ10:BK10)&lt;=$FM$3),DL10,AND(DL10&gt;0,DL10+SUM(BJ10:BK10)&gt;$FM$3),$FM$3-SUM(BJ10:BK10)),0),
IFERROR(_xlfn.IFS(AND(DL10&gt;0,DL10+BK10&lt;=$FK$3),DL10,AND(DL10&gt;0,DL10+BK10&gt;$FK$3),0),0)
)</f>
        <v>0</v>
      </c>
      <c r="FO10" s="152" cm="1">
        <f t="array" ref="FO10">IF($C10="Production",
IFERROR(_xlfn.IFS(AND(DM10&gt;0,DM10+SUM(BK10:BL10)&lt;=$FM$3),DM10,AND(DM10&gt;0,DM10+SUM(BK10:BL10)&gt;$FM$3),$FM$3-SUM(BK10:BL10)),0),
IFERROR(_xlfn.IFS(AND(DM10&gt;0,DM10+BL10&lt;=$FK$3),DM10,AND(DM10&gt;0,DM10+BL10&gt;$FK$3),0),0)
)</f>
        <v>7.75</v>
      </c>
      <c r="FP10" s="152" cm="1">
        <f t="array" ref="FP10">IF($C10="Production",
IFERROR(_xlfn.IFS(AND(DN10&gt;0,DN10+SUM(BL10:BM10)&lt;=$FM$3),DN10,AND(DN10&gt;0,DN10+SUM(BL10:BM10)&gt;$FM$3),$FM$3-SUM(BL10:BM10)),0),
IFERROR(_xlfn.IFS(AND(DN10&gt;0,DN10+BM10&lt;=$FK$3),DN10,AND(DN10&gt;0,DN10+BM10&gt;$FK$3),0),0)
)</f>
        <v>0</v>
      </c>
      <c r="FQ10" s="152" cm="1">
        <f t="array" ref="FQ10">IF($C10="Production",
IFERROR(_xlfn.IFS(AND(DO10&gt;0,DO10+SUM(BM10:BN10)&lt;=$FM$3),DO10,AND(DO10&gt;0,DO10+SUM(BM10:BN10)&gt;$FM$3),$FM$3-SUM(BM10:BN10)),0),
IFERROR(_xlfn.IFS(AND(DO10&gt;0,DO10+BN10&lt;=$FK$3),DO10,AND(DO10&gt;0,DO10+BN10&gt;$FK$3),0),0)
)</f>
        <v>0.25</v>
      </c>
      <c r="FR10" s="152" cm="1">
        <f t="array" ref="FR10">IF($C10="Production",
IFERROR(_xlfn.IFS(AND(DP10&gt;0,DP10+SUM(BN10:BO10)&lt;=$FM$3),DP10,AND(DP10&gt;0,DP10+SUM(BN10:BO10)&gt;$FM$3),$FM$3-SUM(BN10:BO10)),0),
IFERROR(_xlfn.IFS(AND(DP10&gt;0,DP10+BO10&lt;=$FK$3),DP10,AND(DP10&gt;0,DP10+BO10&gt;$FK$3),0),0)
)</f>
        <v>0</v>
      </c>
      <c r="FS10" s="152" cm="1">
        <f t="array" ref="FS10">IF($C10="Production",
IFERROR(_xlfn.IFS(AND(DQ10&gt;0,DQ10+SUM(BO10:BP10)&lt;=$FM$3),DQ10,AND(DQ10&gt;0,DQ10+SUM(BO10:BP10)&gt;$FM$3),$FM$3-SUM(BO10:BP10)),0),
IFERROR(_xlfn.IFS(AND(DQ10&gt;0,DQ10+BP10&lt;=$FK$3),DQ10,AND(DQ10&gt;0,DQ10+BP10&gt;$FK$3),0),0)
)</f>
        <v>0</v>
      </c>
      <c r="FT10" s="152" cm="1">
        <f t="array" ref="FT10">IF($C10="Production",
IFERROR(_xlfn.IFS(AND(DR10&gt;0,DR10+SUM(BP10:BQ10)&lt;=$FM$3),DR10,AND(DR10&gt;0,DR10+SUM(BP10:BQ10)&gt;$FM$3),$FM$3-SUM(BP10:BQ10)),0),
IFERROR(_xlfn.IFS(AND(DR10&gt;0,DR10+BQ10&lt;=$FK$3),DR10,AND(DR10&gt;0,DR10+BQ10&gt;$FK$3),0),0)
)</f>
        <v>0</v>
      </c>
      <c r="FU10" s="152" cm="1">
        <f t="array" ref="FU10">IF($C10="Production",
IFERROR(_xlfn.IFS(AND(DS10&gt;0,DS10+SUM(BQ10:BR10)&lt;=$FM$3),DS10,AND(DS10&gt;0,DS10+SUM(BQ10:BR10)&gt;$FM$3),$FM$3-SUM(BQ10:BR10)),0),
IFERROR(_xlfn.IFS(AND(DS10&gt;0,DS10+BR10&lt;=$FK$3),DS10,AND(DS10&gt;0,DS10+BR10&gt;$FK$3),0),0)
)</f>
        <v>0</v>
      </c>
      <c r="FV10" s="152" cm="1">
        <f t="array" ref="FV10">IF($C10="Production",
IFERROR(_xlfn.IFS(AND(DT10&gt;0,DT10+SUM(BR10:BS10)&lt;=$FM$3),DT10,AND(DT10&gt;0,DT10+SUM(BR10:BS10)&gt;$FM$3),$FM$3-SUM(BR10:BS10)),0),
IFERROR(_xlfn.IFS(AND(DT10&gt;0,DT10+BS10&lt;=$FK$3),DT10,AND(DT10&gt;0,DT10+BS10&gt;$FK$3),0),0)
)</f>
        <v>0</v>
      </c>
      <c r="FW10" s="152" cm="1">
        <f t="array" ref="FW10">IF($C10="Production",
IFERROR(_xlfn.IFS(AND(DU10&gt;0,DU10+SUM(BS10:BT10)&lt;=$FM$3),DU10,AND(DU10&gt;0,DU10+SUM(BS10:BT10)&gt;$FM$3),$FM$3-SUM(BS10:BT10)),0),
IFERROR(_xlfn.IFS(AND(DU10&gt;0,DU10+BT10&lt;=$FK$3),DU10,AND(DU10&gt;0,DU10+BT10&gt;$FK$3),0),0)
)</f>
        <v>0</v>
      </c>
      <c r="FX10" s="152" cm="1">
        <f t="array" ref="FX10">IF($C10="Production",
IFERROR(_xlfn.IFS(AND(DV10&gt;0,DV10+SUM(BT10:BU10)&lt;=$FM$3),DV10,AND(DV10&gt;0,DV10+SUM(BT10:BU10)&gt;$FM$3),$FM$3-SUM(BT10:BU10)),0),
IFERROR(_xlfn.IFS(AND(DV10&gt;0,DV10+BU10&lt;=$FK$3),DV10,AND(DV10&gt;0,DV10+BU10&gt;$FK$3),0),0)
)</f>
        <v>0</v>
      </c>
      <c r="FY10" s="152" cm="1">
        <f t="array" ref="FY10">IF($C10="Production",
IFERROR(_xlfn.IFS(AND(DW10&gt;0,DW10+SUM(BU10:BV10)&lt;=$FM$3),DW10,AND(DW10&gt;0,DW10+SUM(BU10:BV10)&gt;$FM$3),$FM$3-SUM(BU10:BV10)),0),
IFERROR(_xlfn.IFS(AND(DW10&gt;0,DW10+BV10&lt;=$FK$3),DW10,AND(DW10&gt;0,DW10+BV10&gt;$FK$3),0),0)
)</f>
        <v>0</v>
      </c>
      <c r="FZ10" s="152" cm="1">
        <f t="array" ref="FZ10">IF($C10="Production",
IFERROR(_xlfn.IFS(AND(DX10&gt;0,DX10+SUM(BV10:BW10)&lt;=$FM$3),DX10,AND(DX10&gt;0,DX10+SUM(BV10:BW10)&gt;$FM$3),$FM$3-SUM(BV10:BW10)),0),
IFERROR(_xlfn.IFS(AND(DX10&gt;0,DX10+BW10&lt;=$FK$3),DX10,AND(DX10&gt;0,DX10+BW10&gt;$FK$3),0),0)
)</f>
        <v>0</v>
      </c>
      <c r="GA10" s="152" cm="1">
        <f t="array" ref="GA10">IF($C10="Production",
IFERROR(_xlfn.IFS(AND(DY10&gt;0,DY10+SUM(BW10:BX10)&lt;=$FM$3),DY10,AND(DY10&gt;0,DY10+SUM(BW10:BX10)&gt;$FM$3),$FM$3-SUM(BW10:BX10)),0),
IFERROR(_xlfn.IFS(AND(DY10&gt;0,DY10+BX10&lt;=$FK$3),DY10,AND(DY10&gt;0,DY10+BX10&gt;$FK$3),0),0)
)</f>
        <v>0</v>
      </c>
      <c r="GB10" s="152" cm="1">
        <f t="array" ref="GB10">IF($C10="Production",
IFERROR(_xlfn.IFS(AND(DZ10&gt;0,DZ10+SUM(BX10:BY10)&lt;=$FM$3),DZ10,AND(DZ10&gt;0,DZ10+SUM(BX10:BY10)&gt;$FM$3),$FM$3-SUM(BX10:BY10)),0),
IFERROR(_xlfn.IFS(AND(DZ10&gt;0,DZ10+BY10&lt;=$FK$3),DZ10,AND(DZ10&gt;0,DZ10+BY10&gt;$FK$3),0),0)
)</f>
        <v>0</v>
      </c>
      <c r="GC10" s="152" cm="1">
        <f t="array" ref="GC10">IF($C10="Production",
IFERROR(_xlfn.IFS(AND(EA10&gt;0,EA10+SUM(BY10:BZ10)&lt;=$FM$3),EA10,AND(EA10&gt;0,EA10+SUM(BY10:BZ10)&gt;$FM$3),$FM$3-SUM(BY10:BZ10)),0),
IFERROR(_xlfn.IFS(AND(EA10&gt;0,EA10+BZ10&lt;=$FK$3),EA10,AND(EA10&gt;0,EA10+BZ10&gt;$FK$3),0),0)
)</f>
        <v>0</v>
      </c>
      <c r="GD10" s="152" cm="1">
        <f t="array" ref="GD10">IF($C10="Production",
IFERROR(_xlfn.IFS(AND(EB10&gt;0,EB10+SUM(BZ10:CA10)&lt;=$FM$3),EB10,AND(EB10&gt;0,EB10+SUM(BZ10:CA10)&gt;$FM$3),$FM$3-SUM(BZ10:CA10)),0),
IFERROR(_xlfn.IFS(AND(EB10&gt;0,EB10+CA10&lt;=$FK$3),EB10,AND(EB10&gt;0,EB10+CA10&gt;$FK$3),0),0)
)</f>
        <v>0</v>
      </c>
      <c r="GE10" s="152" cm="1">
        <f t="array" ref="GE10">IF($C10="Production",
IFERROR(_xlfn.IFS(AND(EC10&gt;0,EC10+SUM(CA10:CB10)&lt;=$FM$3),EC10,AND(EC10&gt;0,EC10+SUM(CA10:CB10)&gt;$FM$3),$FM$3-SUM(CA10:CB10)),0),
IFERROR(_xlfn.IFS(AND(EC10&gt;0,EC10+CB10&lt;=$FK$3),EC10,AND(EC10&gt;0,EC10+CB10&gt;$FK$3),0),0)
)</f>
        <v>0</v>
      </c>
      <c r="GF10" s="152" cm="1">
        <f t="array" ref="GF10">IF($C10="Production",
IFERROR(_xlfn.IFS(AND(ED10&gt;0,ED10+SUM(CB10:CC10)&lt;=$FM$3),ED10,AND(ED10&gt;0,ED10+SUM(CB10:CC10)&gt;$FM$3),$FM$3-SUM(CB10:CC10)),0),
IFERROR(_xlfn.IFS(AND(ED10&gt;0,ED10+CC10&lt;=$FK$3),ED10,AND(ED10&gt;0,ED10+CC10&gt;$FK$3),0),0)
)</f>
        <v>0</v>
      </c>
      <c r="GG10" s="152" cm="1">
        <f t="array" ref="GG10">IF($C10="Production",
IFERROR(_xlfn.IFS(AND(EE10&gt;0,EE10+SUM(CC10:CD10)&lt;=$FM$3),EE10,AND(EE10&gt;0,EE10+SUM(CC10:CD10)&gt;$FM$3),$FM$3-SUM(CC10:CD10)),0),
IFERROR(_xlfn.IFS(AND(EE10&gt;0,EE10+CD10&lt;=$FK$3),EE10,AND(EE10&gt;0,EE10+CD10&gt;$FK$3),0),0)
)</f>
        <v>0</v>
      </c>
      <c r="GH10" s="152" cm="1">
        <f t="array" ref="GH10">IF($C10="Production",
IFERROR(_xlfn.IFS(AND(EF10&gt;0,EF10+SUM(CD10:CE10)&lt;=$FM$3),EF10,AND(EF10&gt;0,EF10+SUM(CD10:CE10)&gt;$FM$3),$FM$3-SUM(CD10:CE10)),0),
IFERROR(_xlfn.IFS(AND(EF10&gt;0,EF10+CE10&lt;=$FK$3),EF10,AND(EF10&gt;0,EF10+CE10&gt;$FK$3),0),0)
)</f>
        <v>0</v>
      </c>
      <c r="GI10" s="152" cm="1">
        <f t="array" ref="GI10">IF($C10="Production",
IFERROR(_xlfn.IFS(AND(EG10&gt;0,EG10+SUM(CE10:CF10)&lt;=$FM$3),EG10,AND(EG10&gt;0,EG10+SUM(CE10:CF10)&gt;$FM$3),$FM$3-SUM(CE10:CF10)),0),
IFERROR(_xlfn.IFS(AND(EG10&gt;0,EG10+CF10&lt;=$FK$3),EG10,AND(EG10&gt;0,EG10+CF10&gt;$FK$3),0),0)
)</f>
        <v>0</v>
      </c>
      <c r="GJ10" s="152" cm="1">
        <f t="array" ref="GJ10">IF($C10="Production",
IFERROR(_xlfn.IFS(AND(EH10&gt;0,EH10+SUM(CF10:CG10)&lt;=$FM$3),EH10,AND(EH10&gt;0,EH10+SUM(CF10:CG10)&gt;$FM$3),$FM$3-SUM(CF10:CG10)),0),
IFERROR(_xlfn.IFS(AND(EH10&gt;0,EH10+CG10&lt;=$FK$3),EH10,AND(EH10&gt;0,EH10+CG10&gt;$FK$3),0),0)
)</f>
        <v>0</v>
      </c>
      <c r="GK10" s="152" cm="1">
        <f t="array" ref="GK10">IF($C10="Production",
IFERROR(_xlfn.IFS(AND(EI10&gt;0,EI10+SUM(CG10:CH10)&lt;=$FM$3),EI10,AND(EI10&gt;0,EI10+SUM(CG10:CH10)&gt;$FM$3),$FM$3-SUM(CG10:CH10)),0),
IFERROR(_xlfn.IFS(AND(EI10&gt;0,EI10+CH10&lt;=$FK$3),EI10,AND(EI10&gt;0,EI10+CH10&gt;$FK$3),0),0)
)</f>
        <v>0</v>
      </c>
      <c r="GL10" s="152" cm="1">
        <f t="array" ref="GL10">IF($C10="Production",
IFERROR(_xlfn.IFS(AND(EJ10&gt;0,EJ10+SUM(CH10:CI10)&lt;=$FM$3),EJ10,AND(EJ10&gt;0,EJ10+SUM(CH10:CI10)&gt;$FM$3),$FM$3-SUM(CH10:CI10)),0),
IFERROR(_xlfn.IFS(AND(EJ10&gt;0,EJ10+CI10&lt;=$FK$3),EJ10,AND(EJ10&gt;0,EJ10+CI10&gt;$FK$3),0),0)
)</f>
        <v>0</v>
      </c>
      <c r="GM10" s="152" cm="1">
        <f t="array" ref="GM10">IF($C10="Production",
IFERROR(_xlfn.IFS(AND(EK10&gt;0,EK10+SUM(CI10:CJ10)&lt;=$FM$3),EK10,AND(EK10&gt;0,EK10+SUM(CI10:CJ10)&gt;$FM$3),$FM$3-SUM(CI10:CJ10)),0),
IFERROR(_xlfn.IFS(AND(EK10&gt;0,EK10+CJ10&lt;=$FK$3),EK10,AND(EK10&gt;0,EK10+CJ10&gt;$FK$3),0),0)
)</f>
        <v>0</v>
      </c>
      <c r="GN10" s="152" cm="1">
        <f t="array" ref="GN10">IF($C10="Production",
IFERROR(_xlfn.IFS(AND(EL10&gt;0,EL10+SUM(CJ10:CK10)&lt;=$FM$3),EL10,AND(EL10&gt;0,EL10+SUM(CJ10:CK10)&gt;$FM$3),$FM$3-SUM(CJ10:CK10)),0),
IFERROR(_xlfn.IFS(AND(EL10&gt;0,EL10+CK10&lt;=$FK$3),EL10,AND(EL10&gt;0,EL10+CK10&gt;$FK$3),0),0)
)</f>
        <v>0</v>
      </c>
      <c r="GO10" s="152" cm="1">
        <f t="array" ref="GO10">IF($C10="Production",
IFERROR(_xlfn.IFS(AND(EM10&gt;0,EM10+SUM(CK10:CL10)&lt;=$FM$3),EM10,AND(EM10&gt;0,EM10+SUM(CK10:CL10)&gt;$FM$3),$FM$3-SUM(CK10:CL10)),0),
IFERROR(_xlfn.IFS(AND(EM10&gt;0,EM10+CL10&lt;=$FK$3),EM10,AND(EM10&gt;0,EM10+CL10&gt;$FK$3),0),0)
)</f>
        <v>0</v>
      </c>
      <c r="GP10" s="152" cm="1">
        <f t="array" ref="GP10">IF($C10="Production",
IFERROR(_xlfn.IFS(AND(EN10&gt;0,EN10+SUM(CL10:CM10)&lt;=$FM$3),EN10,AND(EN10&gt;0,EN10+SUM(CL10:CM10)&gt;$FM$3),$FM$3-SUM(CL10:CM10)),0),
IFERROR(_xlfn.IFS(AND(EN10&gt;0,EN10+CM10&lt;=$FK$3),EN10,AND(EN10&gt;0,EN10+CM10&gt;$FK$3),0),0)
)</f>
        <v>0</v>
      </c>
      <c r="GQ10" s="152" cm="1">
        <f t="array" ref="GQ10">IF($C10="Production",
IFERROR(_xlfn.IFS(AND(EO10&gt;0,EO10+SUM(CM10:CN10)&lt;=$FM$3),EO10,AND(EO10&gt;0,EO10+SUM(CM10:CN10)&gt;$FM$3),$FM$3-SUM(CM10:CN10)),0),
IFERROR(_xlfn.IFS(AND(EO10&gt;0,EO10+CN10&lt;=$FK$3),EO10,AND(EO10&gt;0,EO10+CN10&gt;$FK$3),0),0)
)</f>
        <v>0</v>
      </c>
      <c r="GR10" s="152" cm="1">
        <f t="array" ref="GR10">IF($C10="Production",
IFERROR(_xlfn.IFS(AND(EP10&gt;0,EP10+SUM(CN10:CO10)&lt;=$FM$3),EP10,AND(EP10&gt;0,EP10+SUM(CN10:CO10)&gt;$FM$3),$FM$3-SUM(CN10:CO10)),0),
IFERROR(_xlfn.IFS(AND(EP10&gt;0,EP10+CO10&lt;=$FK$3),EP10,AND(EP10&gt;0,EP10+CO10&gt;$FK$3),0),0)
)</f>
        <v>0</v>
      </c>
      <c r="GS10" s="152" cm="1">
        <f t="array" ref="GS10">IF($C10="Production",
IFERROR(_xlfn.IFS(AND(EQ10&gt;0,EQ10+SUM(CO10:CP10)&lt;=$FM$3),EQ10,AND(EQ10&gt;0,EQ10+SUM(CO10:CP10)&gt;$FM$3),$FM$3-SUM(CO10:CP10)),0),
IFERROR(_xlfn.IFS(AND(EQ10&gt;0,EQ10+CP10&lt;=$FK$3),EQ10,AND(EQ10&gt;0,EQ10+CP10&gt;$FK$3),0),0)
)</f>
        <v>0</v>
      </c>
      <c r="GT10" s="152" cm="1">
        <f t="array" ref="GT10">IF($C10="Production",
IFERROR(_xlfn.IFS(AND(ER10&gt;0,ER10+SUM(CP10:CQ10)&lt;=$FM$3),ER10,AND(ER10&gt;0,ER10+SUM(CP10:CQ10)&gt;$FM$3),$FM$3-SUM(CP10:CQ10)),0),
IFERROR(_xlfn.IFS(AND(ER10&gt;0,ER10+CQ10&lt;=$FK$3),ER10,AND(ER10&gt;0,ER10+CQ10&gt;$FK$3),0),0)
)</f>
        <v>0</v>
      </c>
      <c r="GU10" s="152" cm="1">
        <f t="array" ref="GU10">IF($C10="Production",
IFERROR(_xlfn.IFS(AND(ES10&gt;0,ES10+SUM(CQ10:CR10)&lt;=$FM$3),ES10,AND(ES10&gt;0,ES10+SUM(CQ10:CR10)&gt;$FM$3),$FM$3-SUM(CQ10:CR10)),0),
IFERROR(_xlfn.IFS(AND(ES10&gt;0,ES10+CR10&lt;=$FK$3),ES10,AND(ES10&gt;0,ES10+CR10&gt;$FK$3),0),0)
)</f>
        <v>0</v>
      </c>
      <c r="GV10" s="152" cm="1">
        <f t="array" ref="GV10">IF($C10="Production",
IFERROR(_xlfn.IFS(AND(ET10&gt;0,ET10+SUM(CR10:CS10)&lt;=$FM$3),ET10,AND(ET10&gt;0,ET10+SUM(CR10:CS10)&gt;$FM$3),$FM$3-SUM(CR10:CS10)),0),
IFERROR(_xlfn.IFS(AND(ET10&gt;0,ET10+CS10&lt;=$FK$3),ET10,AND(ET10&gt;0,ET10+CS10&gt;$FK$3),0),0)
)</f>
        <v>0</v>
      </c>
      <c r="GW10" s="152" cm="1">
        <f t="array" ref="GW10">IF($C10="Production",
IFERROR(_xlfn.IFS(AND(EU10&gt;0,EU10+SUM(CS10:CT10)&lt;=$FM$3),EU10,AND(EU10&gt;0,EU10+SUM(CS10:CT10)&gt;$FM$3),$FM$3-SUM(CS10:CT10)),0),
IFERROR(_xlfn.IFS(AND(EU10&gt;0,EU10+CT10&lt;=$FK$3),EU10,AND(EU10&gt;0,EU10+CT10&gt;$FK$3),0),0)
)</f>
        <v>0</v>
      </c>
      <c r="GX10" s="152" cm="1">
        <f t="array" ref="GX10">IF($C10="Production",
IFERROR(_xlfn.IFS(AND(EV10&gt;0,EV10+SUM(CT10:CU10)&lt;=$FM$3),EV10,AND(EV10&gt;0,EV10+SUM(CT10:CU10)&gt;$FM$3),$FM$3-SUM(CT10:CU10)),0),
IFERROR(_xlfn.IFS(AND(EV10&gt;0,EV10+CU10&lt;=$FK$3),EV10,AND(EV10&gt;0,EV10+CU10&gt;$FK$3),0),0)
)</f>
        <v>0</v>
      </c>
      <c r="GY10" s="152" cm="1">
        <f t="array" ref="GY10">IF($C10="Production",
IFERROR(_xlfn.IFS(AND(EW10&gt;0,EW10+SUM(CU10:CV10)&lt;=$FM$3),EW10,AND(EW10&gt;0,EW10+SUM(CU10:CV10)&gt;$FM$3),$FM$3-SUM(CU10:CV10)),0),
IFERROR(_xlfn.IFS(AND(EW10&gt;0,EW10+CV10&lt;=$FK$3),EW10,AND(EW10&gt;0,EW10+CV10&gt;$FK$3),0),0)
)</f>
        <v>0</v>
      </c>
      <c r="GZ10" s="152" cm="1">
        <f t="array" ref="GZ10">IF($C10="Production",
IFERROR(_xlfn.IFS(AND(EX10&gt;0,EX10+SUM(CV10:CW10)&lt;=$FM$3),EX10,AND(EX10&gt;0,EX10+SUM(CV10:CW10)&gt;$FM$3),$FM$3-SUM(CV10:CW10)),0),
IFERROR(_xlfn.IFS(AND(EX10&gt;0,EX10+CW10&lt;=$FK$3),EX10,AND(EX10&gt;0,EX10+CW10&gt;$FK$3),0),0)
)</f>
        <v>0</v>
      </c>
      <c r="HA10" s="152" cm="1">
        <f t="array" ref="HA10">IF($C10="Production",
IFERROR(_xlfn.IFS(AND(EY10&gt;0,EY10+SUM(CW10:CX10)&lt;=$FM$3),EY10,AND(EY10&gt;0,EY10+SUM(CW10:CX10)&gt;$FM$3),$FM$3-SUM(CW10:CX10)),0),
IFERROR(_xlfn.IFS(AND(EY10&gt;0,EY10+CX10&lt;=$FK$3),EY10,AND(EY10&gt;0,EY10+CX10&gt;$FK$3),0),0)
)</f>
        <v>0</v>
      </c>
      <c r="HB10" s="152" cm="1">
        <f t="array" ref="HB10">IF($C10="Production",
IFERROR(_xlfn.IFS(AND(EZ10&gt;0,EZ10+SUM(CX10:CY10)&lt;=$FM$3),EZ10,AND(EZ10&gt;0,EZ10+SUM(CX10:CY10)&gt;$FM$3),$FM$3-SUM(CX10:CY10)),0),
IFERROR(_xlfn.IFS(AND(EZ10&gt;0,EZ10+CY10&lt;=$FK$3),EZ10,AND(EZ10&gt;0,EZ10+CY10&gt;$FK$3),0),0)
)</f>
        <v>0</v>
      </c>
      <c r="HC10" s="152" cm="1">
        <f t="array" ref="HC10">IF($C10="Production",
IFERROR(_xlfn.IFS(AND(FA10&gt;0,FA10+SUM(CY10:CZ10)&lt;=$FM$3),FA10,AND(FA10&gt;0,FA10+SUM(CY10:CZ10)&gt;$FM$3),$FM$3-SUM(CY10:CZ10)),0),
IFERROR(_xlfn.IFS(AND(FA10&gt;0,FA10+CZ10&lt;=$FK$3),FA10,AND(FA10&gt;0,FA10+CZ10&gt;$FK$3),0),0)
)</f>
        <v>0</v>
      </c>
      <c r="HD10" s="152" cm="1">
        <f t="array" ref="HD10">IF($C10="Production",
IFERROR(_xlfn.IFS(AND(FB10&gt;0,FB10+SUM(CZ10:DA10)&lt;=$FM$3),FB10,AND(FB10&gt;0,FB10+SUM(CZ10:DA10)&gt;$FM$3),$FM$3-SUM(CZ10:DA10)),0),
IFERROR(_xlfn.IFS(AND(FB10&gt;0,FB10+DA10&lt;=$FK$3),FB10,AND(FB10&gt;0,FB10+DA10&gt;$FK$3),0),0)
)</f>
        <v>0</v>
      </c>
      <c r="HE10" s="152" cm="1">
        <f t="array" ref="HE10">IF($C10="Production",
IFERROR(_xlfn.IFS(AND(FC10&gt;0,FC10+SUM(DA10:DB10)&lt;=$FM$3),FC10,AND(FC10&gt;0,FC10+SUM(DA10:DB10)&gt;$FM$3),$FM$3-SUM(DA10:DB10)),0),
IFERROR(_xlfn.IFS(AND(FC10&gt;0,FC10+DB10&lt;=$FK$3),FC10,AND(FC10&gt;0,FC10+DB10&gt;$FK$3),0),0)
)</f>
        <v>0</v>
      </c>
      <c r="HF10" s="152" cm="1">
        <f t="array" ref="HF10">IF($C10="Production",
IFERROR(_xlfn.IFS(AND(FD10&gt;0,FD10+SUM(DB10:DC10)&lt;=$FM$3),FD10,AND(FD10&gt;0,FD10+SUM(DB10:DC10)&gt;$FM$3),$FM$3-SUM(DB10:DC10)),0),
IFERROR(_xlfn.IFS(AND(FD10&gt;0,FD10+DC10&lt;=$FK$3),FD10,AND(FD10&gt;0,FD10+DC10&gt;$FK$3),0),0)
)</f>
        <v>0</v>
      </c>
      <c r="HG10" s="152" cm="1">
        <f t="array" ref="HG10">IF($C10="Production",
IFERROR(_xlfn.IFS(AND(FE10&gt;0,FE10+SUM(DC10:DD10)&lt;=$FM$3),FE10,AND(FE10&gt;0,FE10+SUM(DC10:DD10)&gt;$FM$3),$FM$3-SUM(DC10:DD10)),0),
IFERROR(_xlfn.IFS(AND(FE10&gt;0,FE10+DD10&lt;=$FK$3),FE10,AND(FE10&gt;0,FE10+DD10&gt;$FK$3),0),0)
)</f>
        <v>0</v>
      </c>
      <c r="HH10" s="152" cm="1">
        <f t="array" ref="HH10">IF($C10="Production",
IFERROR(_xlfn.IFS(AND(FF10&gt;0,FF10+SUM(DD10:DE10)&lt;=$FM$3),FF10,AND(FF10&gt;0,FF10+SUM(DD10:DE10)&gt;$FM$3),$FM$3-SUM(DD10:DE10)),0),
IFERROR(_xlfn.IFS(AND(FF10&gt;0,FF10+DE10&lt;=$FK$3),FF10,AND(FF10&gt;0,FF10+DE10&gt;$FK$3),0),0)
)</f>
        <v>0</v>
      </c>
      <c r="HI10" s="156" cm="1">
        <f t="array" ref="HI10">IF($C10="Production",
IFERROR(_xlfn.IFS(AND(FG10&gt;0,FG10+SUM(DE10:DF10)&lt;=$FM$3),FG10,AND(FG10&gt;0,FG10+SUM(DE10:DF10)&gt;$FM$3),$FM$3-SUM(DE10:DF10)),0),
IFERROR(_xlfn.IFS(AND(FG10&gt;0,FG10+DF10&lt;=$FK$3),FG10,AND(FG10&gt;0,FG10+DF10&gt;$FK$3),0),0)
)</f>
        <v>0</v>
      </c>
      <c r="HJ10" s="113">
        <f t="shared" si="110"/>
        <v>8</v>
      </c>
      <c r="HK10" s="80"/>
      <c r="HL10" s="112">
        <f t="shared" si="56"/>
        <v>0</v>
      </c>
      <c r="HM10" s="138">
        <f t="shared" si="57"/>
        <v>0</v>
      </c>
      <c r="HN10" s="138">
        <f t="shared" si="58"/>
        <v>0</v>
      </c>
      <c r="HO10" s="138">
        <f t="shared" si="59"/>
        <v>0</v>
      </c>
      <c r="HP10" s="138">
        <f t="shared" si="60"/>
        <v>0</v>
      </c>
      <c r="HQ10" s="138">
        <f t="shared" si="61"/>
        <v>0</v>
      </c>
      <c r="HR10" s="138">
        <f t="shared" si="62"/>
        <v>0</v>
      </c>
      <c r="HS10" s="138">
        <f t="shared" si="63"/>
        <v>0</v>
      </c>
      <c r="HT10" s="138">
        <f t="shared" si="64"/>
        <v>0</v>
      </c>
      <c r="HU10" s="138">
        <f t="shared" si="65"/>
        <v>0</v>
      </c>
      <c r="HV10" s="138">
        <f t="shared" si="66"/>
        <v>0</v>
      </c>
      <c r="HW10" s="138">
        <f t="shared" si="67"/>
        <v>0</v>
      </c>
      <c r="HX10" s="138">
        <f t="shared" si="68"/>
        <v>0</v>
      </c>
      <c r="HY10" s="138">
        <f t="shared" si="69"/>
        <v>0</v>
      </c>
      <c r="HZ10" s="138">
        <f t="shared" si="70"/>
        <v>0</v>
      </c>
      <c r="IA10" s="138">
        <f t="shared" si="71"/>
        <v>0</v>
      </c>
      <c r="IB10" s="138">
        <f t="shared" si="72"/>
        <v>0</v>
      </c>
      <c r="IC10" s="138">
        <f t="shared" si="73"/>
        <v>0</v>
      </c>
      <c r="ID10" s="138">
        <f t="shared" si="74"/>
        <v>0</v>
      </c>
      <c r="IE10" s="138">
        <f t="shared" si="75"/>
        <v>0</v>
      </c>
      <c r="IF10" s="138">
        <f t="shared" si="76"/>
        <v>0</v>
      </c>
      <c r="IG10" s="138">
        <f t="shared" si="77"/>
        <v>0</v>
      </c>
      <c r="IH10" s="138">
        <f t="shared" si="78"/>
        <v>0</v>
      </c>
      <c r="II10" s="138">
        <f t="shared" si="79"/>
        <v>0</v>
      </c>
      <c r="IJ10" s="138">
        <f t="shared" si="80"/>
        <v>0</v>
      </c>
      <c r="IK10" s="138">
        <f t="shared" si="81"/>
        <v>0</v>
      </c>
      <c r="IL10" s="138">
        <f t="shared" si="82"/>
        <v>0</v>
      </c>
      <c r="IM10" s="138">
        <f t="shared" si="83"/>
        <v>0</v>
      </c>
      <c r="IN10" s="138">
        <f t="shared" si="84"/>
        <v>0</v>
      </c>
      <c r="IO10" s="138">
        <f t="shared" si="85"/>
        <v>0</v>
      </c>
      <c r="IP10" s="138">
        <f t="shared" si="86"/>
        <v>0</v>
      </c>
      <c r="IQ10" s="138">
        <f t="shared" si="87"/>
        <v>0</v>
      </c>
      <c r="IR10" s="138">
        <f t="shared" si="88"/>
        <v>0</v>
      </c>
      <c r="IS10" s="138">
        <f t="shared" si="89"/>
        <v>0</v>
      </c>
      <c r="IT10" s="138">
        <f t="shared" si="90"/>
        <v>0</v>
      </c>
      <c r="IU10" s="138">
        <f t="shared" si="91"/>
        <v>0</v>
      </c>
      <c r="IV10" s="138">
        <f t="shared" si="92"/>
        <v>0</v>
      </c>
      <c r="IW10" s="138">
        <f t="shared" si="93"/>
        <v>0</v>
      </c>
      <c r="IX10" s="138">
        <f t="shared" si="94"/>
        <v>0</v>
      </c>
      <c r="IY10" s="138">
        <f t="shared" si="95"/>
        <v>0</v>
      </c>
      <c r="IZ10" s="138">
        <f t="shared" si="96"/>
        <v>0</v>
      </c>
      <c r="JA10" s="138">
        <f t="shared" si="97"/>
        <v>0</v>
      </c>
      <c r="JB10" s="138">
        <f t="shared" si="98"/>
        <v>0</v>
      </c>
      <c r="JC10" s="138">
        <f t="shared" si="99"/>
        <v>0</v>
      </c>
      <c r="JD10" s="138">
        <f t="shared" si="100"/>
        <v>0</v>
      </c>
      <c r="JE10" s="138">
        <f t="shared" si="101"/>
        <v>0</v>
      </c>
      <c r="JF10" s="138">
        <f t="shared" si="102"/>
        <v>0</v>
      </c>
      <c r="JG10" s="138">
        <f t="shared" si="103"/>
        <v>0</v>
      </c>
      <c r="JH10" s="138">
        <f t="shared" si="104"/>
        <v>0</v>
      </c>
      <c r="JI10" s="138">
        <f t="shared" si="105"/>
        <v>0</v>
      </c>
      <c r="JJ10" s="138">
        <f t="shared" si="106"/>
        <v>0</v>
      </c>
      <c r="JK10" s="138">
        <f t="shared" si="107"/>
        <v>0</v>
      </c>
      <c r="JL10" s="118">
        <f t="shared" si="111"/>
        <v>0</v>
      </c>
      <c r="JO10" s="90">
        <f t="shared" si="112"/>
        <v>8</v>
      </c>
      <c r="JP10" s="79">
        <f t="shared" si="108"/>
        <v>0</v>
      </c>
      <c r="JQ10" s="91">
        <f t="shared" si="2"/>
        <v>10</v>
      </c>
      <c r="JS10" s="123">
        <f t="shared" si="109"/>
        <v>0</v>
      </c>
      <c r="JU10" s="123">
        <f t="shared" si="113"/>
        <v>10</v>
      </c>
    </row>
    <row r="11" spans="2:281" x14ac:dyDescent="0.15">
      <c r="B11" s="82" t="str">
        <f>'MODU 2025'!B14</f>
        <v>BOUILLET Dominique</v>
      </c>
      <c r="C11" s="82" t="str">
        <f>'MODU 2025'!C14</f>
        <v>Production</v>
      </c>
      <c r="D11" s="82">
        <f>'MODU 2025'!D14</f>
        <v>37</v>
      </c>
      <c r="E11" s="82"/>
      <c r="F11" s="133">
        <f>'MODU 2025'!G14</f>
        <v>33</v>
      </c>
      <c r="G11" s="140">
        <f>'MODU 2025'!H14</f>
        <v>36.75</v>
      </c>
      <c r="H11" s="140">
        <f>'MODU 2025'!I14</f>
        <v>33</v>
      </c>
      <c r="I11" s="140">
        <f>'MODU 2025'!J14</f>
        <v>41.25</v>
      </c>
      <c r="J11" s="140">
        <f>'MODU 2025'!K14</f>
        <v>40.75</v>
      </c>
      <c r="K11" s="140">
        <f>'MODU 2025'!L14</f>
        <v>41.5</v>
      </c>
      <c r="L11" s="140">
        <f>'MODU 2025'!M14</f>
        <v>40.75</v>
      </c>
      <c r="M11" s="140">
        <f>'MODU 2025'!N14</f>
        <v>41.75</v>
      </c>
      <c r="N11" s="140">
        <f>'MODU 2025'!O14</f>
        <v>40</v>
      </c>
      <c r="O11" s="140">
        <f>'MODU 2025'!P14</f>
        <v>41.75</v>
      </c>
      <c r="P11" s="140">
        <f>'MODU 2025'!Q14</f>
        <v>33</v>
      </c>
      <c r="Q11" s="140">
        <f>'MODU 2025'!R14</f>
        <v>41</v>
      </c>
      <c r="R11" s="140">
        <f>'MODU 2025'!S14</f>
        <v>33</v>
      </c>
      <c r="S11" s="140">
        <f>'MODU 2025'!T14</f>
        <v>41</v>
      </c>
      <c r="T11" s="140">
        <f>'MODU 2025'!U14</f>
        <v>33</v>
      </c>
      <c r="U11" s="140">
        <f>'MODU 2025'!V14</f>
        <v>41</v>
      </c>
      <c r="V11" s="140">
        <f>'MODU 2025'!W14</f>
        <v>33</v>
      </c>
      <c r="W11" s="140">
        <f>'MODU 2025'!X14</f>
        <v>41</v>
      </c>
      <c r="X11" s="140">
        <f>'MODU 2025'!Y14</f>
        <v>33</v>
      </c>
      <c r="Y11" s="140">
        <f>'MODU 2025'!Z14</f>
        <v>41</v>
      </c>
      <c r="Z11" s="140">
        <f>'MODU 2025'!AA14</f>
        <v>33</v>
      </c>
      <c r="AA11" s="140">
        <f>'MODU 2025'!AB14</f>
        <v>41</v>
      </c>
      <c r="AB11" s="140">
        <f>'MODU 2025'!AC14</f>
        <v>33</v>
      </c>
      <c r="AC11" s="140">
        <f>'MODU 2025'!AD14</f>
        <v>41</v>
      </c>
      <c r="AD11" s="140">
        <f>'MODU 2025'!AE14</f>
        <v>33</v>
      </c>
      <c r="AE11" s="140">
        <f>'MODU 2025'!AF14</f>
        <v>41</v>
      </c>
      <c r="AF11" s="140">
        <f>'MODU 2025'!AG14</f>
        <v>33</v>
      </c>
      <c r="AG11" s="140">
        <f>'MODU 2025'!AH14</f>
        <v>41</v>
      </c>
      <c r="AH11" s="140">
        <f>'MODU 2025'!AI14</f>
        <v>33</v>
      </c>
      <c r="AI11" s="140">
        <f>'MODU 2025'!AJ14</f>
        <v>41</v>
      </c>
      <c r="AJ11" s="140">
        <f>'MODU 2025'!AK14</f>
        <v>33</v>
      </c>
      <c r="AK11" s="140">
        <f>'MODU 2025'!AL14</f>
        <v>41</v>
      </c>
      <c r="AL11" s="140">
        <f>'MODU 2025'!AM14</f>
        <v>33</v>
      </c>
      <c r="AM11" s="140">
        <f>'MODU 2025'!AN14</f>
        <v>41</v>
      </c>
      <c r="AN11" s="140">
        <f>'MODU 2025'!AO14</f>
        <v>33</v>
      </c>
      <c r="AO11" s="140">
        <f>'MODU 2025'!AP14</f>
        <v>41</v>
      </c>
      <c r="AP11" s="140">
        <f>'MODU 2025'!AQ14</f>
        <v>33</v>
      </c>
      <c r="AQ11" s="140">
        <f>'MODU 2025'!AR14</f>
        <v>41</v>
      </c>
      <c r="AR11" s="140">
        <f>'MODU 2025'!AS14</f>
        <v>33</v>
      </c>
      <c r="AS11" s="140">
        <f>'MODU 2025'!AT14</f>
        <v>41</v>
      </c>
      <c r="AT11" s="140">
        <f>'MODU 2025'!AU14</f>
        <v>33</v>
      </c>
      <c r="AU11" s="140">
        <f>'MODU 2025'!AV14</f>
        <v>41</v>
      </c>
      <c r="AV11" s="140">
        <f>'MODU 2025'!AW14</f>
        <v>33</v>
      </c>
      <c r="AW11" s="140">
        <f>'MODU 2025'!AX14</f>
        <v>41</v>
      </c>
      <c r="AX11" s="140">
        <f>'MODU 2025'!AY14</f>
        <v>33</v>
      </c>
      <c r="AY11" s="140">
        <f>'MODU 2025'!AZ14</f>
        <v>41</v>
      </c>
      <c r="AZ11" s="140">
        <f>'MODU 2025'!BA14</f>
        <v>33</v>
      </c>
      <c r="BA11" s="140">
        <f>'MODU 2025'!BB14</f>
        <v>41</v>
      </c>
      <c r="BB11" s="140">
        <f>'MODU 2025'!BC14</f>
        <v>33</v>
      </c>
      <c r="BC11" s="140">
        <f>'MODU 2025'!BD14</f>
        <v>41</v>
      </c>
      <c r="BD11" s="140">
        <f>'MODU 2025'!BE14</f>
        <v>33</v>
      </c>
      <c r="BE11" s="134">
        <f>'MODU 2025'!BF14</f>
        <v>41</v>
      </c>
      <c r="BF11" s="82"/>
      <c r="BG11" s="107">
        <v>33</v>
      </c>
      <c r="BH11" s="145">
        <v>41</v>
      </c>
      <c r="BI11" s="145">
        <v>33</v>
      </c>
      <c r="BJ11" s="145">
        <v>41</v>
      </c>
      <c r="BK11" s="145">
        <v>33</v>
      </c>
      <c r="BL11" s="145">
        <v>41</v>
      </c>
      <c r="BM11" s="145">
        <v>33</v>
      </c>
      <c r="BN11" s="145">
        <v>41</v>
      </c>
      <c r="BO11" s="145">
        <v>33</v>
      </c>
      <c r="BP11" s="145">
        <v>41</v>
      </c>
      <c r="BQ11" s="145">
        <v>33</v>
      </c>
      <c r="BR11" s="145">
        <v>41</v>
      </c>
      <c r="BS11" s="145">
        <v>33</v>
      </c>
      <c r="BT11" s="145">
        <v>41</v>
      </c>
      <c r="BU11" s="145">
        <v>33</v>
      </c>
      <c r="BV11" s="145">
        <v>41</v>
      </c>
      <c r="BW11" s="145">
        <v>33</v>
      </c>
      <c r="BX11" s="145">
        <v>41</v>
      </c>
      <c r="BY11" s="145">
        <v>33</v>
      </c>
      <c r="BZ11" s="145">
        <v>41</v>
      </c>
      <c r="CA11" s="145">
        <v>33</v>
      </c>
      <c r="CB11" s="145">
        <v>41</v>
      </c>
      <c r="CC11" s="145">
        <v>33</v>
      </c>
      <c r="CD11" s="145">
        <v>41</v>
      </c>
      <c r="CE11" s="145">
        <v>33</v>
      </c>
      <c r="CF11" s="145">
        <v>41</v>
      </c>
      <c r="CG11" s="145">
        <v>33</v>
      </c>
      <c r="CH11" s="145">
        <v>41</v>
      </c>
      <c r="CI11" s="145">
        <v>33</v>
      </c>
      <c r="CJ11" s="145">
        <v>41</v>
      </c>
      <c r="CK11" s="145">
        <v>33</v>
      </c>
      <c r="CL11" s="145">
        <v>41</v>
      </c>
      <c r="CM11" s="145">
        <v>33</v>
      </c>
      <c r="CN11" s="145">
        <v>41</v>
      </c>
      <c r="CO11" s="145">
        <v>33</v>
      </c>
      <c r="CP11" s="145">
        <v>41</v>
      </c>
      <c r="CQ11" s="145">
        <v>33</v>
      </c>
      <c r="CR11" s="145">
        <v>41</v>
      </c>
      <c r="CS11" s="145">
        <v>33</v>
      </c>
      <c r="CT11" s="145">
        <v>41</v>
      </c>
      <c r="CU11" s="145">
        <v>33</v>
      </c>
      <c r="CV11" s="145">
        <v>41</v>
      </c>
      <c r="CW11" s="145">
        <v>33</v>
      </c>
      <c r="CX11" s="145">
        <v>41</v>
      </c>
      <c r="CY11" s="145">
        <v>33</v>
      </c>
      <c r="CZ11" s="145">
        <v>41</v>
      </c>
      <c r="DA11" s="145">
        <v>33</v>
      </c>
      <c r="DB11" s="145">
        <v>41</v>
      </c>
      <c r="DC11" s="145">
        <v>33</v>
      </c>
      <c r="DD11" s="145">
        <v>41</v>
      </c>
      <c r="DE11" s="145">
        <v>33</v>
      </c>
      <c r="DF11" s="108">
        <v>41</v>
      </c>
      <c r="DG11" s="84"/>
      <c r="DH11" s="112">
        <f t="shared" si="3"/>
        <v>0</v>
      </c>
      <c r="DI11" s="138">
        <f t="shared" si="4"/>
        <v>-4.25</v>
      </c>
      <c r="DJ11" s="138">
        <f t="shared" si="5"/>
        <v>0</v>
      </c>
      <c r="DK11" s="138">
        <f t="shared" si="6"/>
        <v>0.25</v>
      </c>
      <c r="DL11" s="138">
        <f t="shared" si="7"/>
        <v>0</v>
      </c>
      <c r="DM11" s="138">
        <f t="shared" si="8"/>
        <v>8.25</v>
      </c>
      <c r="DN11" s="138">
        <f t="shared" si="9"/>
        <v>0</v>
      </c>
      <c r="DO11" s="138">
        <f t="shared" si="10"/>
        <v>8.5</v>
      </c>
      <c r="DP11" s="138">
        <f t="shared" si="11"/>
        <v>0</v>
      </c>
      <c r="DQ11" s="138">
        <f t="shared" si="12"/>
        <v>7.75</v>
      </c>
      <c r="DR11" s="138">
        <f t="shared" si="13"/>
        <v>0</v>
      </c>
      <c r="DS11" s="138">
        <f t="shared" si="14"/>
        <v>0</v>
      </c>
      <c r="DT11" s="138">
        <f t="shared" si="15"/>
        <v>0</v>
      </c>
      <c r="DU11" s="138">
        <f t="shared" si="16"/>
        <v>0</v>
      </c>
      <c r="DV11" s="138">
        <f t="shared" si="17"/>
        <v>0</v>
      </c>
      <c r="DW11" s="138">
        <f t="shared" si="18"/>
        <v>0</v>
      </c>
      <c r="DX11" s="138">
        <f t="shared" si="19"/>
        <v>0</v>
      </c>
      <c r="DY11" s="138">
        <f t="shared" si="20"/>
        <v>0</v>
      </c>
      <c r="DZ11" s="138">
        <f t="shared" si="21"/>
        <v>0</v>
      </c>
      <c r="EA11" s="138">
        <f t="shared" si="22"/>
        <v>0</v>
      </c>
      <c r="EB11" s="138">
        <f t="shared" si="23"/>
        <v>0</v>
      </c>
      <c r="EC11" s="138">
        <f t="shared" si="24"/>
        <v>0</v>
      </c>
      <c r="ED11" s="138">
        <f t="shared" si="25"/>
        <v>0</v>
      </c>
      <c r="EE11" s="138">
        <f t="shared" si="26"/>
        <v>0</v>
      </c>
      <c r="EF11" s="138">
        <f t="shared" si="27"/>
        <v>0</v>
      </c>
      <c r="EG11" s="138">
        <f t="shared" si="28"/>
        <v>0</v>
      </c>
      <c r="EH11" s="138">
        <f t="shared" si="29"/>
        <v>0</v>
      </c>
      <c r="EI11" s="138">
        <f t="shared" si="30"/>
        <v>0</v>
      </c>
      <c r="EJ11" s="138">
        <f t="shared" si="31"/>
        <v>0</v>
      </c>
      <c r="EK11" s="138">
        <f t="shared" si="32"/>
        <v>0</v>
      </c>
      <c r="EL11" s="138">
        <f t="shared" si="33"/>
        <v>0</v>
      </c>
      <c r="EM11" s="138">
        <f t="shared" si="34"/>
        <v>0</v>
      </c>
      <c r="EN11" s="138">
        <f t="shared" si="35"/>
        <v>0</v>
      </c>
      <c r="EO11" s="138">
        <f t="shared" si="36"/>
        <v>0</v>
      </c>
      <c r="EP11" s="138">
        <f t="shared" si="37"/>
        <v>0</v>
      </c>
      <c r="EQ11" s="138">
        <f t="shared" si="38"/>
        <v>0</v>
      </c>
      <c r="ER11" s="138">
        <f t="shared" si="39"/>
        <v>0</v>
      </c>
      <c r="ES11" s="138">
        <f t="shared" si="40"/>
        <v>0</v>
      </c>
      <c r="ET11" s="138">
        <f t="shared" si="41"/>
        <v>0</v>
      </c>
      <c r="EU11" s="138">
        <f t="shared" si="42"/>
        <v>0</v>
      </c>
      <c r="EV11" s="138">
        <f t="shared" si="43"/>
        <v>0</v>
      </c>
      <c r="EW11" s="138">
        <f t="shared" si="44"/>
        <v>0</v>
      </c>
      <c r="EX11" s="138">
        <f t="shared" si="45"/>
        <v>0</v>
      </c>
      <c r="EY11" s="138">
        <f t="shared" si="46"/>
        <v>0</v>
      </c>
      <c r="EZ11" s="138">
        <f t="shared" si="47"/>
        <v>0</v>
      </c>
      <c r="FA11" s="138">
        <f t="shared" si="48"/>
        <v>0</v>
      </c>
      <c r="FB11" s="138">
        <f t="shared" si="49"/>
        <v>0</v>
      </c>
      <c r="FC11" s="138">
        <f t="shared" si="50"/>
        <v>0</v>
      </c>
      <c r="FD11" s="138">
        <f t="shared" si="51"/>
        <v>0</v>
      </c>
      <c r="FE11" s="138">
        <f t="shared" si="52"/>
        <v>0</v>
      </c>
      <c r="FF11" s="138">
        <f t="shared" si="53"/>
        <v>0</v>
      </c>
      <c r="FG11" s="113">
        <f t="shared" si="54"/>
        <v>0</v>
      </c>
      <c r="FH11" s="113">
        <f t="shared" si="55"/>
        <v>20.5</v>
      </c>
      <c r="FI11" s="35"/>
      <c r="FJ11" s="151" cm="1">
        <f t="array" ref="FJ11">IF($C11="Production",
IFERROR(_xlfn.IFS(AND(DH11&gt;0,DH11+SUM(BF11:BG11)&lt;=$FM$3),DH11,AND(DH11&gt;0,DH11+SUM(BF11:BG11)&gt;$FM$3),$FM$3-SUM(BF11:BG11)),0),
IFERROR(_xlfn.IFS(AND(DH11&gt;0,DH11+BG11&lt;=$FK$3),DH11,AND(DH11&gt;0,DH11+BG11&gt;$FK$3),0),0)
)</f>
        <v>0</v>
      </c>
      <c r="FK11" s="152" cm="1">
        <f t="array" ref="FK11">IF($C11="Production",
IFERROR(_xlfn.IFS(AND(DI11&gt;0,DI11+SUM(BG11:BH11)&lt;=$FM$3),DI11,AND(DI11&gt;0,DI11+SUM(BG11:BH11)&gt;$FM$3),$FM$3-SUM(BG11:BH11)),0),
IFERROR(_xlfn.IFS(AND(DI11&gt;0,DI11+BH11&lt;=$FK$3),DI11,AND(DI11&gt;0,DI11+BH11&gt;$FK$3),0),0)
)</f>
        <v>0</v>
      </c>
      <c r="FL11" s="152" cm="1">
        <f t="array" ref="FL11">IF($C11="Production",
IFERROR(_xlfn.IFS(AND(DJ11&gt;0,DJ11+SUM(BH11:BI11)&lt;=$FM$3),DJ11,AND(DJ11&gt;0,DJ11+SUM(BH11:BI11)&gt;$FM$3),$FM$3-SUM(BH11:BI11)),0),
IFERROR(_xlfn.IFS(AND(DJ11&gt;0,DJ11+BI11&lt;=$FK$3),DJ11,AND(DJ11&gt;0,DJ11+BI11&gt;$FK$3),0),0)
)</f>
        <v>0</v>
      </c>
      <c r="FM11" s="152" cm="1">
        <f t="array" ref="FM11">IF($C11="Production",
IFERROR(_xlfn.IFS(AND(DK11&gt;0,DK11+SUM(BI11:BJ11)&lt;=$FM$3),DK11,AND(DK11&gt;0,DK11+SUM(BI11:BJ11)&gt;$FM$3),$FM$3-SUM(BI11:BJ11)),0),
IFERROR(_xlfn.IFS(AND(DK11&gt;0,DK11+BJ11&lt;=$FK$3),DK11,AND(DK11&gt;0,DK11+BJ11&gt;$FK$3),0),0)
)</f>
        <v>0.25</v>
      </c>
      <c r="FN11" s="152" cm="1">
        <f t="array" ref="FN11">IF($C11="Production",
IFERROR(_xlfn.IFS(AND(DL11&gt;0,DL11+SUM(BJ11:BK11)&lt;=$FM$3),DL11,AND(DL11&gt;0,DL11+SUM(BJ11:BK11)&gt;$FM$3),$FM$3-SUM(BJ11:BK11)),0),
IFERROR(_xlfn.IFS(AND(DL11&gt;0,DL11+BK11&lt;=$FK$3),DL11,AND(DL11&gt;0,DL11+BK11&gt;$FK$3),0),0)
)</f>
        <v>0</v>
      </c>
      <c r="FO11" s="152" cm="1">
        <f t="array" ref="FO11">IF($C11="Production",
IFERROR(_xlfn.IFS(AND(DM11&gt;0,DM11+SUM(BK11:BL11)&lt;=$FM$3),DM11,AND(DM11&gt;0,DM11+SUM(BK11:BL11)&gt;$FM$3),$FM$3-SUM(BK11:BL11)),0),
IFERROR(_xlfn.IFS(AND(DM11&gt;0,DM11+BL11&lt;=$FK$3),DM11,AND(DM11&gt;0,DM11+BL11&gt;$FK$3),0),0)
)</f>
        <v>8.25</v>
      </c>
      <c r="FP11" s="152" cm="1">
        <f t="array" ref="FP11">IF($C11="Production",
IFERROR(_xlfn.IFS(AND(DN11&gt;0,DN11+SUM(BL11:BM11)&lt;=$FM$3),DN11,AND(DN11&gt;0,DN11+SUM(BL11:BM11)&gt;$FM$3),$FM$3-SUM(BL11:BM11)),0),
IFERROR(_xlfn.IFS(AND(DN11&gt;0,DN11+BM11&lt;=$FK$3),DN11,AND(DN11&gt;0,DN11+BM11&gt;$FK$3),0),0)
)</f>
        <v>0</v>
      </c>
      <c r="FQ11" s="152" cm="1">
        <f t="array" ref="FQ11">IF($C11="Production",
IFERROR(_xlfn.IFS(AND(DO11&gt;0,DO11+SUM(BM11:BN11)&lt;=$FM$3),DO11,AND(DO11&gt;0,DO11+SUM(BM11:BN11)&gt;$FM$3),$FM$3-SUM(BM11:BN11)),0),
IFERROR(_xlfn.IFS(AND(DO11&gt;0,DO11+BN11&lt;=$FK$3),DO11,AND(DO11&gt;0,DO11+BN11&gt;$FK$3),0),0)
)</f>
        <v>8.5</v>
      </c>
      <c r="FR11" s="152" cm="1">
        <f t="array" ref="FR11">IF($C11="Production",
IFERROR(_xlfn.IFS(AND(DP11&gt;0,DP11+SUM(BN11:BO11)&lt;=$FM$3),DP11,AND(DP11&gt;0,DP11+SUM(BN11:BO11)&gt;$FM$3),$FM$3-SUM(BN11:BO11)),0),
IFERROR(_xlfn.IFS(AND(DP11&gt;0,DP11+BO11&lt;=$FK$3),DP11,AND(DP11&gt;0,DP11+BO11&gt;$FK$3),0),0)
)</f>
        <v>0</v>
      </c>
      <c r="FS11" s="152" cm="1">
        <f t="array" ref="FS11">IF($C11="Production",
IFERROR(_xlfn.IFS(AND(DQ11&gt;0,DQ11+SUM(BO11:BP11)&lt;=$FM$3),DQ11,AND(DQ11&gt;0,DQ11+SUM(BO11:BP11)&gt;$FM$3),$FM$3-SUM(BO11:BP11)),0),
IFERROR(_xlfn.IFS(AND(DQ11&gt;0,DQ11+BP11&lt;=$FK$3),DQ11,AND(DQ11&gt;0,DQ11+BP11&gt;$FK$3),0),0)
)</f>
        <v>7.75</v>
      </c>
      <c r="FT11" s="152" cm="1">
        <f t="array" ref="FT11">IF($C11="Production",
IFERROR(_xlfn.IFS(AND(DR11&gt;0,DR11+SUM(BP11:BQ11)&lt;=$FM$3),DR11,AND(DR11&gt;0,DR11+SUM(BP11:BQ11)&gt;$FM$3),$FM$3-SUM(BP11:BQ11)),0),
IFERROR(_xlfn.IFS(AND(DR11&gt;0,DR11+BQ11&lt;=$FK$3),DR11,AND(DR11&gt;0,DR11+BQ11&gt;$FK$3),0),0)
)</f>
        <v>0</v>
      </c>
      <c r="FU11" s="152" cm="1">
        <f t="array" ref="FU11">IF($C11="Production",
IFERROR(_xlfn.IFS(AND(DS11&gt;0,DS11+SUM(BQ11:BR11)&lt;=$FM$3),DS11,AND(DS11&gt;0,DS11+SUM(BQ11:BR11)&gt;$FM$3),$FM$3-SUM(BQ11:BR11)),0),
IFERROR(_xlfn.IFS(AND(DS11&gt;0,DS11+BR11&lt;=$FK$3),DS11,AND(DS11&gt;0,DS11+BR11&gt;$FK$3),0),0)
)</f>
        <v>0</v>
      </c>
      <c r="FV11" s="152" cm="1">
        <f t="array" ref="FV11">IF($C11="Production",
IFERROR(_xlfn.IFS(AND(DT11&gt;0,DT11+SUM(BR11:BS11)&lt;=$FM$3),DT11,AND(DT11&gt;0,DT11+SUM(BR11:BS11)&gt;$FM$3),$FM$3-SUM(BR11:BS11)),0),
IFERROR(_xlfn.IFS(AND(DT11&gt;0,DT11+BS11&lt;=$FK$3),DT11,AND(DT11&gt;0,DT11+BS11&gt;$FK$3),0),0)
)</f>
        <v>0</v>
      </c>
      <c r="FW11" s="152" cm="1">
        <f t="array" ref="FW11">IF($C11="Production",
IFERROR(_xlfn.IFS(AND(DU11&gt;0,DU11+SUM(BS11:BT11)&lt;=$FM$3),DU11,AND(DU11&gt;0,DU11+SUM(BS11:BT11)&gt;$FM$3),$FM$3-SUM(BS11:BT11)),0),
IFERROR(_xlfn.IFS(AND(DU11&gt;0,DU11+BT11&lt;=$FK$3),DU11,AND(DU11&gt;0,DU11+BT11&gt;$FK$3),0),0)
)</f>
        <v>0</v>
      </c>
      <c r="FX11" s="152" cm="1">
        <f t="array" ref="FX11">IF($C11="Production",
IFERROR(_xlfn.IFS(AND(DV11&gt;0,DV11+SUM(BT11:BU11)&lt;=$FM$3),DV11,AND(DV11&gt;0,DV11+SUM(BT11:BU11)&gt;$FM$3),$FM$3-SUM(BT11:BU11)),0),
IFERROR(_xlfn.IFS(AND(DV11&gt;0,DV11+BU11&lt;=$FK$3),DV11,AND(DV11&gt;0,DV11+BU11&gt;$FK$3),0),0)
)</f>
        <v>0</v>
      </c>
      <c r="FY11" s="152" cm="1">
        <f t="array" ref="FY11">IF($C11="Production",
IFERROR(_xlfn.IFS(AND(DW11&gt;0,DW11+SUM(BU11:BV11)&lt;=$FM$3),DW11,AND(DW11&gt;0,DW11+SUM(BU11:BV11)&gt;$FM$3),$FM$3-SUM(BU11:BV11)),0),
IFERROR(_xlfn.IFS(AND(DW11&gt;0,DW11+BV11&lt;=$FK$3),DW11,AND(DW11&gt;0,DW11+BV11&gt;$FK$3),0),0)
)</f>
        <v>0</v>
      </c>
      <c r="FZ11" s="152" cm="1">
        <f t="array" ref="FZ11">IF($C11="Production",
IFERROR(_xlfn.IFS(AND(DX11&gt;0,DX11+SUM(BV11:BW11)&lt;=$FM$3),DX11,AND(DX11&gt;0,DX11+SUM(BV11:BW11)&gt;$FM$3),$FM$3-SUM(BV11:BW11)),0),
IFERROR(_xlfn.IFS(AND(DX11&gt;0,DX11+BW11&lt;=$FK$3),DX11,AND(DX11&gt;0,DX11+BW11&gt;$FK$3),0),0)
)</f>
        <v>0</v>
      </c>
      <c r="GA11" s="152" cm="1">
        <f t="array" ref="GA11">IF($C11="Production",
IFERROR(_xlfn.IFS(AND(DY11&gt;0,DY11+SUM(BW11:BX11)&lt;=$FM$3),DY11,AND(DY11&gt;0,DY11+SUM(BW11:BX11)&gt;$FM$3),$FM$3-SUM(BW11:BX11)),0),
IFERROR(_xlfn.IFS(AND(DY11&gt;0,DY11+BX11&lt;=$FK$3),DY11,AND(DY11&gt;0,DY11+BX11&gt;$FK$3),0),0)
)</f>
        <v>0</v>
      </c>
      <c r="GB11" s="152" cm="1">
        <f t="array" ref="GB11">IF($C11="Production",
IFERROR(_xlfn.IFS(AND(DZ11&gt;0,DZ11+SUM(BX11:BY11)&lt;=$FM$3),DZ11,AND(DZ11&gt;0,DZ11+SUM(BX11:BY11)&gt;$FM$3),$FM$3-SUM(BX11:BY11)),0),
IFERROR(_xlfn.IFS(AND(DZ11&gt;0,DZ11+BY11&lt;=$FK$3),DZ11,AND(DZ11&gt;0,DZ11+BY11&gt;$FK$3),0),0)
)</f>
        <v>0</v>
      </c>
      <c r="GC11" s="152" cm="1">
        <f t="array" ref="GC11">IF($C11="Production",
IFERROR(_xlfn.IFS(AND(EA11&gt;0,EA11+SUM(BY11:BZ11)&lt;=$FM$3),EA11,AND(EA11&gt;0,EA11+SUM(BY11:BZ11)&gt;$FM$3),$FM$3-SUM(BY11:BZ11)),0),
IFERROR(_xlfn.IFS(AND(EA11&gt;0,EA11+BZ11&lt;=$FK$3),EA11,AND(EA11&gt;0,EA11+BZ11&gt;$FK$3),0),0)
)</f>
        <v>0</v>
      </c>
      <c r="GD11" s="152" cm="1">
        <f t="array" ref="GD11">IF($C11="Production",
IFERROR(_xlfn.IFS(AND(EB11&gt;0,EB11+SUM(BZ11:CA11)&lt;=$FM$3),EB11,AND(EB11&gt;0,EB11+SUM(BZ11:CA11)&gt;$FM$3),$FM$3-SUM(BZ11:CA11)),0),
IFERROR(_xlfn.IFS(AND(EB11&gt;0,EB11+CA11&lt;=$FK$3),EB11,AND(EB11&gt;0,EB11+CA11&gt;$FK$3),0),0)
)</f>
        <v>0</v>
      </c>
      <c r="GE11" s="152" cm="1">
        <f t="array" ref="GE11">IF($C11="Production",
IFERROR(_xlfn.IFS(AND(EC11&gt;0,EC11+SUM(CA11:CB11)&lt;=$FM$3),EC11,AND(EC11&gt;0,EC11+SUM(CA11:CB11)&gt;$FM$3),$FM$3-SUM(CA11:CB11)),0),
IFERROR(_xlfn.IFS(AND(EC11&gt;0,EC11+CB11&lt;=$FK$3),EC11,AND(EC11&gt;0,EC11+CB11&gt;$FK$3),0),0)
)</f>
        <v>0</v>
      </c>
      <c r="GF11" s="152" cm="1">
        <f t="array" ref="GF11">IF($C11="Production",
IFERROR(_xlfn.IFS(AND(ED11&gt;0,ED11+SUM(CB11:CC11)&lt;=$FM$3),ED11,AND(ED11&gt;0,ED11+SUM(CB11:CC11)&gt;$FM$3),$FM$3-SUM(CB11:CC11)),0),
IFERROR(_xlfn.IFS(AND(ED11&gt;0,ED11+CC11&lt;=$FK$3),ED11,AND(ED11&gt;0,ED11+CC11&gt;$FK$3),0),0)
)</f>
        <v>0</v>
      </c>
      <c r="GG11" s="152" cm="1">
        <f t="array" ref="GG11">IF($C11="Production",
IFERROR(_xlfn.IFS(AND(EE11&gt;0,EE11+SUM(CC11:CD11)&lt;=$FM$3),EE11,AND(EE11&gt;0,EE11+SUM(CC11:CD11)&gt;$FM$3),$FM$3-SUM(CC11:CD11)),0),
IFERROR(_xlfn.IFS(AND(EE11&gt;0,EE11+CD11&lt;=$FK$3),EE11,AND(EE11&gt;0,EE11+CD11&gt;$FK$3),0),0)
)</f>
        <v>0</v>
      </c>
      <c r="GH11" s="152" cm="1">
        <f t="array" ref="GH11">IF($C11="Production",
IFERROR(_xlfn.IFS(AND(EF11&gt;0,EF11+SUM(CD11:CE11)&lt;=$FM$3),EF11,AND(EF11&gt;0,EF11+SUM(CD11:CE11)&gt;$FM$3),$FM$3-SUM(CD11:CE11)),0),
IFERROR(_xlfn.IFS(AND(EF11&gt;0,EF11+CE11&lt;=$FK$3),EF11,AND(EF11&gt;0,EF11+CE11&gt;$FK$3),0),0)
)</f>
        <v>0</v>
      </c>
      <c r="GI11" s="152" cm="1">
        <f t="array" ref="GI11">IF($C11="Production",
IFERROR(_xlfn.IFS(AND(EG11&gt;0,EG11+SUM(CE11:CF11)&lt;=$FM$3),EG11,AND(EG11&gt;0,EG11+SUM(CE11:CF11)&gt;$FM$3),$FM$3-SUM(CE11:CF11)),0),
IFERROR(_xlfn.IFS(AND(EG11&gt;0,EG11+CF11&lt;=$FK$3),EG11,AND(EG11&gt;0,EG11+CF11&gt;$FK$3),0),0)
)</f>
        <v>0</v>
      </c>
      <c r="GJ11" s="152" cm="1">
        <f t="array" ref="GJ11">IF($C11="Production",
IFERROR(_xlfn.IFS(AND(EH11&gt;0,EH11+SUM(CF11:CG11)&lt;=$FM$3),EH11,AND(EH11&gt;0,EH11+SUM(CF11:CG11)&gt;$FM$3),$FM$3-SUM(CF11:CG11)),0),
IFERROR(_xlfn.IFS(AND(EH11&gt;0,EH11+CG11&lt;=$FK$3),EH11,AND(EH11&gt;0,EH11+CG11&gt;$FK$3),0),0)
)</f>
        <v>0</v>
      </c>
      <c r="GK11" s="152" cm="1">
        <f t="array" ref="GK11">IF($C11="Production",
IFERROR(_xlfn.IFS(AND(EI11&gt;0,EI11+SUM(CG11:CH11)&lt;=$FM$3),EI11,AND(EI11&gt;0,EI11+SUM(CG11:CH11)&gt;$FM$3),$FM$3-SUM(CG11:CH11)),0),
IFERROR(_xlfn.IFS(AND(EI11&gt;0,EI11+CH11&lt;=$FK$3),EI11,AND(EI11&gt;0,EI11+CH11&gt;$FK$3),0),0)
)</f>
        <v>0</v>
      </c>
      <c r="GL11" s="152" cm="1">
        <f t="array" ref="GL11">IF($C11="Production",
IFERROR(_xlfn.IFS(AND(EJ11&gt;0,EJ11+SUM(CH11:CI11)&lt;=$FM$3),EJ11,AND(EJ11&gt;0,EJ11+SUM(CH11:CI11)&gt;$FM$3),$FM$3-SUM(CH11:CI11)),0),
IFERROR(_xlfn.IFS(AND(EJ11&gt;0,EJ11+CI11&lt;=$FK$3),EJ11,AND(EJ11&gt;0,EJ11+CI11&gt;$FK$3),0),0)
)</f>
        <v>0</v>
      </c>
      <c r="GM11" s="152" cm="1">
        <f t="array" ref="GM11">IF($C11="Production",
IFERROR(_xlfn.IFS(AND(EK11&gt;0,EK11+SUM(CI11:CJ11)&lt;=$FM$3),EK11,AND(EK11&gt;0,EK11+SUM(CI11:CJ11)&gt;$FM$3),$FM$3-SUM(CI11:CJ11)),0),
IFERROR(_xlfn.IFS(AND(EK11&gt;0,EK11+CJ11&lt;=$FK$3),EK11,AND(EK11&gt;0,EK11+CJ11&gt;$FK$3),0),0)
)</f>
        <v>0</v>
      </c>
      <c r="GN11" s="152" cm="1">
        <f t="array" ref="GN11">IF($C11="Production",
IFERROR(_xlfn.IFS(AND(EL11&gt;0,EL11+SUM(CJ11:CK11)&lt;=$FM$3),EL11,AND(EL11&gt;0,EL11+SUM(CJ11:CK11)&gt;$FM$3),$FM$3-SUM(CJ11:CK11)),0),
IFERROR(_xlfn.IFS(AND(EL11&gt;0,EL11+CK11&lt;=$FK$3),EL11,AND(EL11&gt;0,EL11+CK11&gt;$FK$3),0),0)
)</f>
        <v>0</v>
      </c>
      <c r="GO11" s="152" cm="1">
        <f t="array" ref="GO11">IF($C11="Production",
IFERROR(_xlfn.IFS(AND(EM11&gt;0,EM11+SUM(CK11:CL11)&lt;=$FM$3),EM11,AND(EM11&gt;0,EM11+SUM(CK11:CL11)&gt;$FM$3),$FM$3-SUM(CK11:CL11)),0),
IFERROR(_xlfn.IFS(AND(EM11&gt;0,EM11+CL11&lt;=$FK$3),EM11,AND(EM11&gt;0,EM11+CL11&gt;$FK$3),0),0)
)</f>
        <v>0</v>
      </c>
      <c r="GP11" s="152" cm="1">
        <f t="array" ref="GP11">IF($C11="Production",
IFERROR(_xlfn.IFS(AND(EN11&gt;0,EN11+SUM(CL11:CM11)&lt;=$FM$3),EN11,AND(EN11&gt;0,EN11+SUM(CL11:CM11)&gt;$FM$3),$FM$3-SUM(CL11:CM11)),0),
IFERROR(_xlfn.IFS(AND(EN11&gt;0,EN11+CM11&lt;=$FK$3),EN11,AND(EN11&gt;0,EN11+CM11&gt;$FK$3),0),0)
)</f>
        <v>0</v>
      </c>
      <c r="GQ11" s="152" cm="1">
        <f t="array" ref="GQ11">IF($C11="Production",
IFERROR(_xlfn.IFS(AND(EO11&gt;0,EO11+SUM(CM11:CN11)&lt;=$FM$3),EO11,AND(EO11&gt;0,EO11+SUM(CM11:CN11)&gt;$FM$3),$FM$3-SUM(CM11:CN11)),0),
IFERROR(_xlfn.IFS(AND(EO11&gt;0,EO11+CN11&lt;=$FK$3),EO11,AND(EO11&gt;0,EO11+CN11&gt;$FK$3),0),0)
)</f>
        <v>0</v>
      </c>
      <c r="GR11" s="152" cm="1">
        <f t="array" ref="GR11">IF($C11="Production",
IFERROR(_xlfn.IFS(AND(EP11&gt;0,EP11+SUM(CN11:CO11)&lt;=$FM$3),EP11,AND(EP11&gt;0,EP11+SUM(CN11:CO11)&gt;$FM$3),$FM$3-SUM(CN11:CO11)),0),
IFERROR(_xlfn.IFS(AND(EP11&gt;0,EP11+CO11&lt;=$FK$3),EP11,AND(EP11&gt;0,EP11+CO11&gt;$FK$3),0),0)
)</f>
        <v>0</v>
      </c>
      <c r="GS11" s="152" cm="1">
        <f t="array" ref="GS11">IF($C11="Production",
IFERROR(_xlfn.IFS(AND(EQ11&gt;0,EQ11+SUM(CO11:CP11)&lt;=$FM$3),EQ11,AND(EQ11&gt;0,EQ11+SUM(CO11:CP11)&gt;$FM$3),$FM$3-SUM(CO11:CP11)),0),
IFERROR(_xlfn.IFS(AND(EQ11&gt;0,EQ11+CP11&lt;=$FK$3),EQ11,AND(EQ11&gt;0,EQ11+CP11&gt;$FK$3),0),0)
)</f>
        <v>0</v>
      </c>
      <c r="GT11" s="152" cm="1">
        <f t="array" ref="GT11">IF($C11="Production",
IFERROR(_xlfn.IFS(AND(ER11&gt;0,ER11+SUM(CP11:CQ11)&lt;=$FM$3),ER11,AND(ER11&gt;0,ER11+SUM(CP11:CQ11)&gt;$FM$3),$FM$3-SUM(CP11:CQ11)),0),
IFERROR(_xlfn.IFS(AND(ER11&gt;0,ER11+CQ11&lt;=$FK$3),ER11,AND(ER11&gt;0,ER11+CQ11&gt;$FK$3),0),0)
)</f>
        <v>0</v>
      </c>
      <c r="GU11" s="152" cm="1">
        <f t="array" ref="GU11">IF($C11="Production",
IFERROR(_xlfn.IFS(AND(ES11&gt;0,ES11+SUM(CQ11:CR11)&lt;=$FM$3),ES11,AND(ES11&gt;0,ES11+SUM(CQ11:CR11)&gt;$FM$3),$FM$3-SUM(CQ11:CR11)),0),
IFERROR(_xlfn.IFS(AND(ES11&gt;0,ES11+CR11&lt;=$FK$3),ES11,AND(ES11&gt;0,ES11+CR11&gt;$FK$3),0),0)
)</f>
        <v>0</v>
      </c>
      <c r="GV11" s="152" cm="1">
        <f t="array" ref="GV11">IF($C11="Production",
IFERROR(_xlfn.IFS(AND(ET11&gt;0,ET11+SUM(CR11:CS11)&lt;=$FM$3),ET11,AND(ET11&gt;0,ET11+SUM(CR11:CS11)&gt;$FM$3),$FM$3-SUM(CR11:CS11)),0),
IFERROR(_xlfn.IFS(AND(ET11&gt;0,ET11+CS11&lt;=$FK$3),ET11,AND(ET11&gt;0,ET11+CS11&gt;$FK$3),0),0)
)</f>
        <v>0</v>
      </c>
      <c r="GW11" s="152" cm="1">
        <f t="array" ref="GW11">IF($C11="Production",
IFERROR(_xlfn.IFS(AND(EU11&gt;0,EU11+SUM(CS11:CT11)&lt;=$FM$3),EU11,AND(EU11&gt;0,EU11+SUM(CS11:CT11)&gt;$FM$3),$FM$3-SUM(CS11:CT11)),0),
IFERROR(_xlfn.IFS(AND(EU11&gt;0,EU11+CT11&lt;=$FK$3),EU11,AND(EU11&gt;0,EU11+CT11&gt;$FK$3),0),0)
)</f>
        <v>0</v>
      </c>
      <c r="GX11" s="152" cm="1">
        <f t="array" ref="GX11">IF($C11="Production",
IFERROR(_xlfn.IFS(AND(EV11&gt;0,EV11+SUM(CT11:CU11)&lt;=$FM$3),EV11,AND(EV11&gt;0,EV11+SUM(CT11:CU11)&gt;$FM$3),$FM$3-SUM(CT11:CU11)),0),
IFERROR(_xlfn.IFS(AND(EV11&gt;0,EV11+CU11&lt;=$FK$3),EV11,AND(EV11&gt;0,EV11+CU11&gt;$FK$3),0),0)
)</f>
        <v>0</v>
      </c>
      <c r="GY11" s="152" cm="1">
        <f t="array" ref="GY11">IF($C11="Production",
IFERROR(_xlfn.IFS(AND(EW11&gt;0,EW11+SUM(CU11:CV11)&lt;=$FM$3),EW11,AND(EW11&gt;0,EW11+SUM(CU11:CV11)&gt;$FM$3),$FM$3-SUM(CU11:CV11)),0),
IFERROR(_xlfn.IFS(AND(EW11&gt;0,EW11+CV11&lt;=$FK$3),EW11,AND(EW11&gt;0,EW11+CV11&gt;$FK$3),0),0)
)</f>
        <v>0</v>
      </c>
      <c r="GZ11" s="152" cm="1">
        <f t="array" ref="GZ11">IF($C11="Production",
IFERROR(_xlfn.IFS(AND(EX11&gt;0,EX11+SUM(CV11:CW11)&lt;=$FM$3),EX11,AND(EX11&gt;0,EX11+SUM(CV11:CW11)&gt;$FM$3),$FM$3-SUM(CV11:CW11)),0),
IFERROR(_xlfn.IFS(AND(EX11&gt;0,EX11+CW11&lt;=$FK$3),EX11,AND(EX11&gt;0,EX11+CW11&gt;$FK$3),0),0)
)</f>
        <v>0</v>
      </c>
      <c r="HA11" s="152" cm="1">
        <f t="array" ref="HA11">IF($C11="Production",
IFERROR(_xlfn.IFS(AND(EY11&gt;0,EY11+SUM(CW11:CX11)&lt;=$FM$3),EY11,AND(EY11&gt;0,EY11+SUM(CW11:CX11)&gt;$FM$3),$FM$3-SUM(CW11:CX11)),0),
IFERROR(_xlfn.IFS(AND(EY11&gt;0,EY11+CX11&lt;=$FK$3),EY11,AND(EY11&gt;0,EY11+CX11&gt;$FK$3),0),0)
)</f>
        <v>0</v>
      </c>
      <c r="HB11" s="152" cm="1">
        <f t="array" ref="HB11">IF($C11="Production",
IFERROR(_xlfn.IFS(AND(EZ11&gt;0,EZ11+SUM(CX11:CY11)&lt;=$FM$3),EZ11,AND(EZ11&gt;0,EZ11+SUM(CX11:CY11)&gt;$FM$3),$FM$3-SUM(CX11:CY11)),0),
IFERROR(_xlfn.IFS(AND(EZ11&gt;0,EZ11+CY11&lt;=$FK$3),EZ11,AND(EZ11&gt;0,EZ11+CY11&gt;$FK$3),0),0)
)</f>
        <v>0</v>
      </c>
      <c r="HC11" s="152" cm="1">
        <f t="array" ref="HC11">IF($C11="Production",
IFERROR(_xlfn.IFS(AND(FA11&gt;0,FA11+SUM(CY11:CZ11)&lt;=$FM$3),FA11,AND(FA11&gt;0,FA11+SUM(CY11:CZ11)&gt;$FM$3),$FM$3-SUM(CY11:CZ11)),0),
IFERROR(_xlfn.IFS(AND(FA11&gt;0,FA11+CZ11&lt;=$FK$3),FA11,AND(FA11&gt;0,FA11+CZ11&gt;$FK$3),0),0)
)</f>
        <v>0</v>
      </c>
      <c r="HD11" s="152" cm="1">
        <f t="array" ref="HD11">IF($C11="Production",
IFERROR(_xlfn.IFS(AND(FB11&gt;0,FB11+SUM(CZ11:DA11)&lt;=$FM$3),FB11,AND(FB11&gt;0,FB11+SUM(CZ11:DA11)&gt;$FM$3),$FM$3-SUM(CZ11:DA11)),0),
IFERROR(_xlfn.IFS(AND(FB11&gt;0,FB11+DA11&lt;=$FK$3),FB11,AND(FB11&gt;0,FB11+DA11&gt;$FK$3),0),0)
)</f>
        <v>0</v>
      </c>
      <c r="HE11" s="152" cm="1">
        <f t="array" ref="HE11">IF($C11="Production",
IFERROR(_xlfn.IFS(AND(FC11&gt;0,FC11+SUM(DA11:DB11)&lt;=$FM$3),FC11,AND(FC11&gt;0,FC11+SUM(DA11:DB11)&gt;$FM$3),$FM$3-SUM(DA11:DB11)),0),
IFERROR(_xlfn.IFS(AND(FC11&gt;0,FC11+DB11&lt;=$FK$3),FC11,AND(FC11&gt;0,FC11+DB11&gt;$FK$3),0),0)
)</f>
        <v>0</v>
      </c>
      <c r="HF11" s="152" cm="1">
        <f t="array" ref="HF11">IF($C11="Production",
IFERROR(_xlfn.IFS(AND(FD11&gt;0,FD11+SUM(DB11:DC11)&lt;=$FM$3),FD11,AND(FD11&gt;0,FD11+SUM(DB11:DC11)&gt;$FM$3),$FM$3-SUM(DB11:DC11)),0),
IFERROR(_xlfn.IFS(AND(FD11&gt;0,FD11+DC11&lt;=$FK$3),FD11,AND(FD11&gt;0,FD11+DC11&gt;$FK$3),0),0)
)</f>
        <v>0</v>
      </c>
      <c r="HG11" s="152" cm="1">
        <f t="array" ref="HG11">IF($C11="Production",
IFERROR(_xlfn.IFS(AND(FE11&gt;0,FE11+SUM(DC11:DD11)&lt;=$FM$3),FE11,AND(FE11&gt;0,FE11+SUM(DC11:DD11)&gt;$FM$3),$FM$3-SUM(DC11:DD11)),0),
IFERROR(_xlfn.IFS(AND(FE11&gt;0,FE11+DD11&lt;=$FK$3),FE11,AND(FE11&gt;0,FE11+DD11&gt;$FK$3),0),0)
)</f>
        <v>0</v>
      </c>
      <c r="HH11" s="152" cm="1">
        <f t="array" ref="HH11">IF($C11="Production",
IFERROR(_xlfn.IFS(AND(FF11&gt;0,FF11+SUM(DD11:DE11)&lt;=$FM$3),FF11,AND(FF11&gt;0,FF11+SUM(DD11:DE11)&gt;$FM$3),$FM$3-SUM(DD11:DE11)),0),
IFERROR(_xlfn.IFS(AND(FF11&gt;0,FF11+DE11&lt;=$FK$3),FF11,AND(FF11&gt;0,FF11+DE11&gt;$FK$3),0),0)
)</f>
        <v>0</v>
      </c>
      <c r="HI11" s="156" cm="1">
        <f t="array" ref="HI11">IF($C11="Production",
IFERROR(_xlfn.IFS(AND(FG11&gt;0,FG11+SUM(DE11:DF11)&lt;=$FM$3),FG11,AND(FG11&gt;0,FG11+SUM(DE11:DF11)&gt;$FM$3),$FM$3-SUM(DE11:DF11)),0),
IFERROR(_xlfn.IFS(AND(FG11&gt;0,FG11+DF11&lt;=$FK$3),FG11,AND(FG11&gt;0,FG11+DF11&gt;$FK$3),0),0)
)</f>
        <v>0</v>
      </c>
      <c r="HJ11" s="113">
        <f t="shared" si="110"/>
        <v>24.75</v>
      </c>
      <c r="HK11" s="80"/>
      <c r="HL11" s="112">
        <f t="shared" si="56"/>
        <v>0</v>
      </c>
      <c r="HM11" s="138">
        <f t="shared" si="57"/>
        <v>0</v>
      </c>
      <c r="HN11" s="138">
        <f t="shared" si="58"/>
        <v>0</v>
      </c>
      <c r="HO11" s="138">
        <f t="shared" si="59"/>
        <v>0</v>
      </c>
      <c r="HP11" s="138">
        <f t="shared" si="60"/>
        <v>0</v>
      </c>
      <c r="HQ11" s="138">
        <f t="shared" si="61"/>
        <v>0</v>
      </c>
      <c r="HR11" s="138">
        <f t="shared" si="62"/>
        <v>0</v>
      </c>
      <c r="HS11" s="138">
        <f t="shared" si="63"/>
        <v>0</v>
      </c>
      <c r="HT11" s="138">
        <f t="shared" si="64"/>
        <v>0</v>
      </c>
      <c r="HU11" s="138">
        <f t="shared" si="65"/>
        <v>0</v>
      </c>
      <c r="HV11" s="138">
        <f t="shared" si="66"/>
        <v>0</v>
      </c>
      <c r="HW11" s="138">
        <f t="shared" si="67"/>
        <v>0</v>
      </c>
      <c r="HX11" s="138">
        <f t="shared" si="68"/>
        <v>0</v>
      </c>
      <c r="HY11" s="138">
        <f t="shared" si="69"/>
        <v>0</v>
      </c>
      <c r="HZ11" s="138">
        <f t="shared" si="70"/>
        <v>0</v>
      </c>
      <c r="IA11" s="138">
        <f t="shared" si="71"/>
        <v>0</v>
      </c>
      <c r="IB11" s="138">
        <f t="shared" si="72"/>
        <v>0</v>
      </c>
      <c r="IC11" s="138">
        <f t="shared" si="73"/>
        <v>0</v>
      </c>
      <c r="ID11" s="138">
        <f t="shared" si="74"/>
        <v>0</v>
      </c>
      <c r="IE11" s="138">
        <f t="shared" si="75"/>
        <v>0</v>
      </c>
      <c r="IF11" s="138">
        <f t="shared" si="76"/>
        <v>0</v>
      </c>
      <c r="IG11" s="138">
        <f t="shared" si="77"/>
        <v>0</v>
      </c>
      <c r="IH11" s="138">
        <f t="shared" si="78"/>
        <v>0</v>
      </c>
      <c r="II11" s="138">
        <f t="shared" si="79"/>
        <v>0</v>
      </c>
      <c r="IJ11" s="138">
        <f t="shared" si="80"/>
        <v>0</v>
      </c>
      <c r="IK11" s="138">
        <f t="shared" si="81"/>
        <v>0</v>
      </c>
      <c r="IL11" s="138">
        <f t="shared" si="82"/>
        <v>0</v>
      </c>
      <c r="IM11" s="138">
        <f t="shared" si="83"/>
        <v>0</v>
      </c>
      <c r="IN11" s="138">
        <f t="shared" si="84"/>
        <v>0</v>
      </c>
      <c r="IO11" s="138">
        <f t="shared" si="85"/>
        <v>0</v>
      </c>
      <c r="IP11" s="138">
        <f t="shared" si="86"/>
        <v>0</v>
      </c>
      <c r="IQ11" s="138">
        <f t="shared" si="87"/>
        <v>0</v>
      </c>
      <c r="IR11" s="138">
        <f t="shared" si="88"/>
        <v>0</v>
      </c>
      <c r="IS11" s="138">
        <f t="shared" si="89"/>
        <v>0</v>
      </c>
      <c r="IT11" s="138">
        <f t="shared" si="90"/>
        <v>0</v>
      </c>
      <c r="IU11" s="138">
        <f t="shared" si="91"/>
        <v>0</v>
      </c>
      <c r="IV11" s="138">
        <f t="shared" si="92"/>
        <v>0</v>
      </c>
      <c r="IW11" s="138">
        <f t="shared" si="93"/>
        <v>0</v>
      </c>
      <c r="IX11" s="138">
        <f t="shared" si="94"/>
        <v>0</v>
      </c>
      <c r="IY11" s="138">
        <f t="shared" si="95"/>
        <v>0</v>
      </c>
      <c r="IZ11" s="138">
        <f t="shared" si="96"/>
        <v>0</v>
      </c>
      <c r="JA11" s="138">
        <f t="shared" si="97"/>
        <v>0</v>
      </c>
      <c r="JB11" s="138">
        <f t="shared" si="98"/>
        <v>0</v>
      </c>
      <c r="JC11" s="138">
        <f t="shared" si="99"/>
        <v>0</v>
      </c>
      <c r="JD11" s="138">
        <f t="shared" si="100"/>
        <v>0</v>
      </c>
      <c r="JE11" s="138">
        <f t="shared" si="101"/>
        <v>0</v>
      </c>
      <c r="JF11" s="138">
        <f t="shared" si="102"/>
        <v>0</v>
      </c>
      <c r="JG11" s="138">
        <f t="shared" si="103"/>
        <v>0</v>
      </c>
      <c r="JH11" s="138">
        <f t="shared" si="104"/>
        <v>0</v>
      </c>
      <c r="JI11" s="138">
        <f t="shared" si="105"/>
        <v>0</v>
      </c>
      <c r="JJ11" s="138">
        <f t="shared" si="106"/>
        <v>0</v>
      </c>
      <c r="JK11" s="138">
        <f t="shared" si="107"/>
        <v>0</v>
      </c>
      <c r="JL11" s="118">
        <f t="shared" si="111"/>
        <v>0</v>
      </c>
      <c r="JO11" s="90">
        <f t="shared" si="112"/>
        <v>24.75</v>
      </c>
      <c r="JP11" s="79">
        <f t="shared" si="108"/>
        <v>0</v>
      </c>
      <c r="JQ11" s="91">
        <f t="shared" si="2"/>
        <v>30.9375</v>
      </c>
      <c r="JS11" s="123">
        <f t="shared" si="109"/>
        <v>-4.25</v>
      </c>
      <c r="JU11" s="123">
        <f t="shared" si="113"/>
        <v>26.6875</v>
      </c>
    </row>
    <row r="12" spans="2:281" x14ac:dyDescent="0.15">
      <c r="B12" s="82" t="str">
        <f>'MODU 2025'!B15</f>
        <v>BUFFY Stéphanie</v>
      </c>
      <c r="C12" s="82" t="str">
        <f>'MODU 2025'!C15</f>
        <v>Production</v>
      </c>
      <c r="D12" s="82">
        <f>'MODU 2025'!D15</f>
        <v>37</v>
      </c>
      <c r="E12" s="82"/>
      <c r="F12" s="133">
        <f>'MODU 2025'!G15</f>
        <v>33</v>
      </c>
      <c r="G12" s="140">
        <f>'MODU 2025'!H15</f>
        <v>41</v>
      </c>
      <c r="H12" s="140">
        <f>'MODU 2025'!I15</f>
        <v>33</v>
      </c>
      <c r="I12" s="140">
        <f>'MODU 2025'!J15</f>
        <v>39.5</v>
      </c>
      <c r="J12" s="140">
        <f>'MODU 2025'!K15</f>
        <v>33</v>
      </c>
      <c r="K12" s="140">
        <f>'MODU 2025'!L15</f>
        <v>42</v>
      </c>
      <c r="L12" s="140">
        <f>'MODU 2025'!M15</f>
        <v>33</v>
      </c>
      <c r="M12" s="140">
        <f>'MODU 2025'!N15</f>
        <v>40</v>
      </c>
      <c r="N12" s="140">
        <f>'MODU 2025'!O15</f>
        <v>40.75</v>
      </c>
      <c r="O12" s="140">
        <f>'MODU 2025'!P15</f>
        <v>41</v>
      </c>
      <c r="P12" s="140">
        <f>'MODU 2025'!Q15</f>
        <v>33</v>
      </c>
      <c r="Q12" s="140">
        <f>'MODU 2025'!R15</f>
        <v>41</v>
      </c>
      <c r="R12" s="140">
        <f>'MODU 2025'!S15</f>
        <v>33</v>
      </c>
      <c r="S12" s="140">
        <f>'MODU 2025'!T15</f>
        <v>41</v>
      </c>
      <c r="T12" s="140">
        <f>'MODU 2025'!U15</f>
        <v>33</v>
      </c>
      <c r="U12" s="140">
        <f>'MODU 2025'!V15</f>
        <v>41</v>
      </c>
      <c r="V12" s="140">
        <f>'MODU 2025'!W15</f>
        <v>33</v>
      </c>
      <c r="W12" s="140">
        <f>'MODU 2025'!X15</f>
        <v>41</v>
      </c>
      <c r="X12" s="140">
        <f>'MODU 2025'!Y15</f>
        <v>33</v>
      </c>
      <c r="Y12" s="140">
        <f>'MODU 2025'!Z15</f>
        <v>41</v>
      </c>
      <c r="Z12" s="140">
        <f>'MODU 2025'!AA15</f>
        <v>33</v>
      </c>
      <c r="AA12" s="140">
        <f>'MODU 2025'!AB15</f>
        <v>41</v>
      </c>
      <c r="AB12" s="140">
        <f>'MODU 2025'!AC15</f>
        <v>33</v>
      </c>
      <c r="AC12" s="140">
        <f>'MODU 2025'!AD15</f>
        <v>41</v>
      </c>
      <c r="AD12" s="140">
        <f>'MODU 2025'!AE15</f>
        <v>33</v>
      </c>
      <c r="AE12" s="140">
        <f>'MODU 2025'!AF15</f>
        <v>41</v>
      </c>
      <c r="AF12" s="140">
        <f>'MODU 2025'!AG15</f>
        <v>33</v>
      </c>
      <c r="AG12" s="140">
        <f>'MODU 2025'!AH15</f>
        <v>41</v>
      </c>
      <c r="AH12" s="140">
        <f>'MODU 2025'!AI15</f>
        <v>33</v>
      </c>
      <c r="AI12" s="140">
        <f>'MODU 2025'!AJ15</f>
        <v>41</v>
      </c>
      <c r="AJ12" s="140">
        <f>'MODU 2025'!AK15</f>
        <v>33</v>
      </c>
      <c r="AK12" s="140">
        <f>'MODU 2025'!AL15</f>
        <v>41</v>
      </c>
      <c r="AL12" s="140">
        <f>'MODU 2025'!AM15</f>
        <v>33</v>
      </c>
      <c r="AM12" s="140">
        <f>'MODU 2025'!AN15</f>
        <v>41</v>
      </c>
      <c r="AN12" s="140">
        <f>'MODU 2025'!AO15</f>
        <v>33</v>
      </c>
      <c r="AO12" s="140">
        <f>'MODU 2025'!AP15</f>
        <v>41</v>
      </c>
      <c r="AP12" s="140">
        <f>'MODU 2025'!AQ15</f>
        <v>33</v>
      </c>
      <c r="AQ12" s="140">
        <f>'MODU 2025'!AR15</f>
        <v>41</v>
      </c>
      <c r="AR12" s="140">
        <f>'MODU 2025'!AS15</f>
        <v>33</v>
      </c>
      <c r="AS12" s="140">
        <f>'MODU 2025'!AT15</f>
        <v>41</v>
      </c>
      <c r="AT12" s="140">
        <f>'MODU 2025'!AU15</f>
        <v>33</v>
      </c>
      <c r="AU12" s="140">
        <f>'MODU 2025'!AV15</f>
        <v>41</v>
      </c>
      <c r="AV12" s="140">
        <f>'MODU 2025'!AW15</f>
        <v>33</v>
      </c>
      <c r="AW12" s="140">
        <f>'MODU 2025'!AX15</f>
        <v>41</v>
      </c>
      <c r="AX12" s="140">
        <f>'MODU 2025'!AY15</f>
        <v>33</v>
      </c>
      <c r="AY12" s="140">
        <f>'MODU 2025'!AZ15</f>
        <v>41</v>
      </c>
      <c r="AZ12" s="140">
        <f>'MODU 2025'!BA15</f>
        <v>33</v>
      </c>
      <c r="BA12" s="140">
        <f>'MODU 2025'!BB15</f>
        <v>41</v>
      </c>
      <c r="BB12" s="140">
        <f>'MODU 2025'!BC15</f>
        <v>33</v>
      </c>
      <c r="BC12" s="140">
        <f>'MODU 2025'!BD15</f>
        <v>41</v>
      </c>
      <c r="BD12" s="140">
        <f>'MODU 2025'!BE15</f>
        <v>33</v>
      </c>
      <c r="BE12" s="134">
        <f>'MODU 2025'!BF15</f>
        <v>41</v>
      </c>
      <c r="BF12" s="82"/>
      <c r="BG12" s="107">
        <v>33</v>
      </c>
      <c r="BH12" s="145">
        <v>41</v>
      </c>
      <c r="BI12" s="145">
        <v>33</v>
      </c>
      <c r="BJ12" s="145">
        <v>41</v>
      </c>
      <c r="BK12" s="145">
        <v>33</v>
      </c>
      <c r="BL12" s="145">
        <v>41</v>
      </c>
      <c r="BM12" s="145">
        <v>33</v>
      </c>
      <c r="BN12" s="145">
        <v>41</v>
      </c>
      <c r="BO12" s="145">
        <v>33</v>
      </c>
      <c r="BP12" s="145">
        <v>41</v>
      </c>
      <c r="BQ12" s="145">
        <v>33</v>
      </c>
      <c r="BR12" s="145">
        <v>41</v>
      </c>
      <c r="BS12" s="145">
        <v>33</v>
      </c>
      <c r="BT12" s="145">
        <v>41</v>
      </c>
      <c r="BU12" s="145">
        <v>33</v>
      </c>
      <c r="BV12" s="145">
        <v>41</v>
      </c>
      <c r="BW12" s="145">
        <v>33</v>
      </c>
      <c r="BX12" s="145">
        <v>41</v>
      </c>
      <c r="BY12" s="145">
        <v>33</v>
      </c>
      <c r="BZ12" s="145">
        <v>41</v>
      </c>
      <c r="CA12" s="145">
        <v>33</v>
      </c>
      <c r="CB12" s="145">
        <v>41</v>
      </c>
      <c r="CC12" s="145">
        <v>33</v>
      </c>
      <c r="CD12" s="145">
        <v>41</v>
      </c>
      <c r="CE12" s="145">
        <v>33</v>
      </c>
      <c r="CF12" s="145">
        <v>41</v>
      </c>
      <c r="CG12" s="145">
        <v>33</v>
      </c>
      <c r="CH12" s="145">
        <v>41</v>
      </c>
      <c r="CI12" s="145">
        <v>33</v>
      </c>
      <c r="CJ12" s="145">
        <v>41</v>
      </c>
      <c r="CK12" s="145">
        <v>33</v>
      </c>
      <c r="CL12" s="145">
        <v>41</v>
      </c>
      <c r="CM12" s="145">
        <v>33</v>
      </c>
      <c r="CN12" s="145">
        <v>41</v>
      </c>
      <c r="CO12" s="145">
        <v>33</v>
      </c>
      <c r="CP12" s="145">
        <v>41</v>
      </c>
      <c r="CQ12" s="145">
        <v>33</v>
      </c>
      <c r="CR12" s="145">
        <v>41</v>
      </c>
      <c r="CS12" s="145">
        <v>33</v>
      </c>
      <c r="CT12" s="145">
        <v>41</v>
      </c>
      <c r="CU12" s="145">
        <v>33</v>
      </c>
      <c r="CV12" s="145">
        <v>41</v>
      </c>
      <c r="CW12" s="145">
        <v>33</v>
      </c>
      <c r="CX12" s="145">
        <v>41</v>
      </c>
      <c r="CY12" s="145">
        <v>33</v>
      </c>
      <c r="CZ12" s="145">
        <v>41</v>
      </c>
      <c r="DA12" s="145">
        <v>33</v>
      </c>
      <c r="DB12" s="145">
        <v>41</v>
      </c>
      <c r="DC12" s="145">
        <v>33</v>
      </c>
      <c r="DD12" s="145">
        <v>41</v>
      </c>
      <c r="DE12" s="145">
        <v>33</v>
      </c>
      <c r="DF12" s="108">
        <v>41</v>
      </c>
      <c r="DG12" s="84"/>
      <c r="DH12" s="112">
        <f t="shared" si="3"/>
        <v>0</v>
      </c>
      <c r="DI12" s="138">
        <f t="shared" si="4"/>
        <v>0</v>
      </c>
      <c r="DJ12" s="138">
        <f t="shared" si="5"/>
        <v>0</v>
      </c>
      <c r="DK12" s="138">
        <f t="shared" si="6"/>
        <v>-1.5</v>
      </c>
      <c r="DL12" s="138">
        <f t="shared" si="7"/>
        <v>0</v>
      </c>
      <c r="DM12" s="138">
        <f t="shared" si="8"/>
        <v>1</v>
      </c>
      <c r="DN12" s="138">
        <f t="shared" si="9"/>
        <v>0</v>
      </c>
      <c r="DO12" s="138">
        <f t="shared" si="10"/>
        <v>-1</v>
      </c>
      <c r="DP12" s="138">
        <f t="shared" si="11"/>
        <v>0</v>
      </c>
      <c r="DQ12" s="138">
        <f t="shared" si="12"/>
        <v>7.75</v>
      </c>
      <c r="DR12" s="138">
        <f t="shared" si="13"/>
        <v>0</v>
      </c>
      <c r="DS12" s="138">
        <f t="shared" si="14"/>
        <v>0</v>
      </c>
      <c r="DT12" s="138">
        <f t="shared" si="15"/>
        <v>0</v>
      </c>
      <c r="DU12" s="138">
        <f t="shared" si="16"/>
        <v>0</v>
      </c>
      <c r="DV12" s="138">
        <f t="shared" si="17"/>
        <v>0</v>
      </c>
      <c r="DW12" s="138">
        <f t="shared" si="18"/>
        <v>0</v>
      </c>
      <c r="DX12" s="138">
        <f t="shared" si="19"/>
        <v>0</v>
      </c>
      <c r="DY12" s="138">
        <f t="shared" si="20"/>
        <v>0</v>
      </c>
      <c r="DZ12" s="138">
        <f t="shared" si="21"/>
        <v>0</v>
      </c>
      <c r="EA12" s="138">
        <f t="shared" si="22"/>
        <v>0</v>
      </c>
      <c r="EB12" s="138">
        <f t="shared" si="23"/>
        <v>0</v>
      </c>
      <c r="EC12" s="138">
        <f t="shared" si="24"/>
        <v>0</v>
      </c>
      <c r="ED12" s="138">
        <f t="shared" si="25"/>
        <v>0</v>
      </c>
      <c r="EE12" s="138">
        <f t="shared" si="26"/>
        <v>0</v>
      </c>
      <c r="EF12" s="138">
        <f t="shared" si="27"/>
        <v>0</v>
      </c>
      <c r="EG12" s="138">
        <f t="shared" si="28"/>
        <v>0</v>
      </c>
      <c r="EH12" s="138">
        <f t="shared" si="29"/>
        <v>0</v>
      </c>
      <c r="EI12" s="138">
        <f t="shared" si="30"/>
        <v>0</v>
      </c>
      <c r="EJ12" s="138">
        <f t="shared" si="31"/>
        <v>0</v>
      </c>
      <c r="EK12" s="138">
        <f t="shared" si="32"/>
        <v>0</v>
      </c>
      <c r="EL12" s="138">
        <f t="shared" si="33"/>
        <v>0</v>
      </c>
      <c r="EM12" s="138">
        <f t="shared" si="34"/>
        <v>0</v>
      </c>
      <c r="EN12" s="138">
        <f t="shared" si="35"/>
        <v>0</v>
      </c>
      <c r="EO12" s="138">
        <f t="shared" si="36"/>
        <v>0</v>
      </c>
      <c r="EP12" s="138">
        <f t="shared" si="37"/>
        <v>0</v>
      </c>
      <c r="EQ12" s="138">
        <f t="shared" si="38"/>
        <v>0</v>
      </c>
      <c r="ER12" s="138">
        <f t="shared" si="39"/>
        <v>0</v>
      </c>
      <c r="ES12" s="138">
        <f t="shared" si="40"/>
        <v>0</v>
      </c>
      <c r="ET12" s="138">
        <f t="shared" si="41"/>
        <v>0</v>
      </c>
      <c r="EU12" s="138">
        <f t="shared" si="42"/>
        <v>0</v>
      </c>
      <c r="EV12" s="138">
        <f t="shared" si="43"/>
        <v>0</v>
      </c>
      <c r="EW12" s="138">
        <f t="shared" si="44"/>
        <v>0</v>
      </c>
      <c r="EX12" s="138">
        <f t="shared" si="45"/>
        <v>0</v>
      </c>
      <c r="EY12" s="138">
        <f t="shared" si="46"/>
        <v>0</v>
      </c>
      <c r="EZ12" s="138">
        <f t="shared" si="47"/>
        <v>0</v>
      </c>
      <c r="FA12" s="138">
        <f t="shared" si="48"/>
        <v>0</v>
      </c>
      <c r="FB12" s="138">
        <f t="shared" si="49"/>
        <v>0</v>
      </c>
      <c r="FC12" s="138">
        <f t="shared" si="50"/>
        <v>0</v>
      </c>
      <c r="FD12" s="138">
        <f t="shared" si="51"/>
        <v>0</v>
      </c>
      <c r="FE12" s="138">
        <f t="shared" si="52"/>
        <v>0</v>
      </c>
      <c r="FF12" s="138">
        <f t="shared" si="53"/>
        <v>0</v>
      </c>
      <c r="FG12" s="113">
        <f t="shared" si="54"/>
        <v>0</v>
      </c>
      <c r="FH12" s="113">
        <f t="shared" si="55"/>
        <v>6.25</v>
      </c>
      <c r="FI12" s="35"/>
      <c r="FJ12" s="151" cm="1">
        <f t="array" ref="FJ12">IF($C12="Production",
IFERROR(_xlfn.IFS(AND(DH12&gt;0,DH12+SUM(BF12:BG12)&lt;=$FM$3),DH12,AND(DH12&gt;0,DH12+SUM(BF12:BG12)&gt;$FM$3),$FM$3-SUM(BF12:BG12)),0),
IFERROR(_xlfn.IFS(AND(DH12&gt;0,DH12+BG12&lt;=$FK$3),DH12,AND(DH12&gt;0,DH12+BG12&gt;$FK$3),0),0)
)</f>
        <v>0</v>
      </c>
      <c r="FK12" s="152" cm="1">
        <f t="array" ref="FK12">IF($C12="Production",
IFERROR(_xlfn.IFS(AND(DI12&gt;0,DI12+SUM(BG12:BH12)&lt;=$FM$3),DI12,AND(DI12&gt;0,DI12+SUM(BG12:BH12)&gt;$FM$3),$FM$3-SUM(BG12:BH12)),0),
IFERROR(_xlfn.IFS(AND(DI12&gt;0,DI12+BH12&lt;=$FK$3),DI12,AND(DI12&gt;0,DI12+BH12&gt;$FK$3),0),0)
)</f>
        <v>0</v>
      </c>
      <c r="FL12" s="152" cm="1">
        <f t="array" ref="FL12">IF($C12="Production",
IFERROR(_xlfn.IFS(AND(DJ12&gt;0,DJ12+SUM(BH12:BI12)&lt;=$FM$3),DJ12,AND(DJ12&gt;0,DJ12+SUM(BH12:BI12)&gt;$FM$3),$FM$3-SUM(BH12:BI12)),0),
IFERROR(_xlfn.IFS(AND(DJ12&gt;0,DJ12+BI12&lt;=$FK$3),DJ12,AND(DJ12&gt;0,DJ12+BI12&gt;$FK$3),0),0)
)</f>
        <v>0</v>
      </c>
      <c r="FM12" s="152" cm="1">
        <f t="array" ref="FM12">IF($C12="Production",
IFERROR(_xlfn.IFS(AND(DK12&gt;0,DK12+SUM(BI12:BJ12)&lt;=$FM$3),DK12,AND(DK12&gt;0,DK12+SUM(BI12:BJ12)&gt;$FM$3),$FM$3-SUM(BI12:BJ12)),0),
IFERROR(_xlfn.IFS(AND(DK12&gt;0,DK12+BJ12&lt;=$FK$3),DK12,AND(DK12&gt;0,DK12+BJ12&gt;$FK$3),0),0)
)</f>
        <v>0</v>
      </c>
      <c r="FN12" s="152" cm="1">
        <f t="array" ref="FN12">IF($C12="Production",
IFERROR(_xlfn.IFS(AND(DL12&gt;0,DL12+SUM(BJ12:BK12)&lt;=$FM$3),DL12,AND(DL12&gt;0,DL12+SUM(BJ12:BK12)&gt;$FM$3),$FM$3-SUM(BJ12:BK12)),0),
IFERROR(_xlfn.IFS(AND(DL12&gt;0,DL12+BK12&lt;=$FK$3),DL12,AND(DL12&gt;0,DL12+BK12&gt;$FK$3),0),0)
)</f>
        <v>0</v>
      </c>
      <c r="FO12" s="152" cm="1">
        <f t="array" ref="FO12">IF($C12="Production",
IFERROR(_xlfn.IFS(AND(DM12&gt;0,DM12+SUM(BK12:BL12)&lt;=$FM$3),DM12,AND(DM12&gt;0,DM12+SUM(BK12:BL12)&gt;$FM$3),$FM$3-SUM(BK12:BL12)),0),
IFERROR(_xlfn.IFS(AND(DM12&gt;0,DM12+BL12&lt;=$FK$3),DM12,AND(DM12&gt;0,DM12+BL12&gt;$FK$3),0),0)
)</f>
        <v>1</v>
      </c>
      <c r="FP12" s="152" cm="1">
        <f t="array" ref="FP12">IF($C12="Production",
IFERROR(_xlfn.IFS(AND(DN12&gt;0,DN12+SUM(BL12:BM12)&lt;=$FM$3),DN12,AND(DN12&gt;0,DN12+SUM(BL12:BM12)&gt;$FM$3),$FM$3-SUM(BL12:BM12)),0),
IFERROR(_xlfn.IFS(AND(DN12&gt;0,DN12+BM12&lt;=$FK$3),DN12,AND(DN12&gt;0,DN12+BM12&gt;$FK$3),0),0)
)</f>
        <v>0</v>
      </c>
      <c r="FQ12" s="152" cm="1">
        <f t="array" ref="FQ12">IF($C12="Production",
IFERROR(_xlfn.IFS(AND(DO12&gt;0,DO12+SUM(BM12:BN12)&lt;=$FM$3),DO12,AND(DO12&gt;0,DO12+SUM(BM12:BN12)&gt;$FM$3),$FM$3-SUM(BM12:BN12)),0),
IFERROR(_xlfn.IFS(AND(DO12&gt;0,DO12+BN12&lt;=$FK$3),DO12,AND(DO12&gt;0,DO12+BN12&gt;$FK$3),0),0)
)</f>
        <v>0</v>
      </c>
      <c r="FR12" s="152" cm="1">
        <f t="array" ref="FR12">IF($C12="Production",
IFERROR(_xlfn.IFS(AND(DP12&gt;0,DP12+SUM(BN12:BO12)&lt;=$FM$3),DP12,AND(DP12&gt;0,DP12+SUM(BN12:BO12)&gt;$FM$3),$FM$3-SUM(BN12:BO12)),0),
IFERROR(_xlfn.IFS(AND(DP12&gt;0,DP12+BO12&lt;=$FK$3),DP12,AND(DP12&gt;0,DP12+BO12&gt;$FK$3),0),0)
)</f>
        <v>0</v>
      </c>
      <c r="FS12" s="152" cm="1">
        <f t="array" ref="FS12">IF($C12="Production",
IFERROR(_xlfn.IFS(AND(DQ12&gt;0,DQ12+SUM(BO12:BP12)&lt;=$FM$3),DQ12,AND(DQ12&gt;0,DQ12+SUM(BO12:BP12)&gt;$FM$3),$FM$3-SUM(BO12:BP12)),0),
IFERROR(_xlfn.IFS(AND(DQ12&gt;0,DQ12+BP12&lt;=$FK$3),DQ12,AND(DQ12&gt;0,DQ12+BP12&gt;$FK$3),0),0)
)</f>
        <v>7.75</v>
      </c>
      <c r="FT12" s="152" cm="1">
        <f t="array" ref="FT12">IF($C12="Production",
IFERROR(_xlfn.IFS(AND(DR12&gt;0,DR12+SUM(BP12:BQ12)&lt;=$FM$3),DR12,AND(DR12&gt;0,DR12+SUM(BP12:BQ12)&gt;$FM$3),$FM$3-SUM(BP12:BQ12)),0),
IFERROR(_xlfn.IFS(AND(DR12&gt;0,DR12+BQ12&lt;=$FK$3),DR12,AND(DR12&gt;0,DR12+BQ12&gt;$FK$3),0),0)
)</f>
        <v>0</v>
      </c>
      <c r="FU12" s="152" cm="1">
        <f t="array" ref="FU12">IF($C12="Production",
IFERROR(_xlfn.IFS(AND(DS12&gt;0,DS12+SUM(BQ12:BR12)&lt;=$FM$3),DS12,AND(DS12&gt;0,DS12+SUM(BQ12:BR12)&gt;$FM$3),$FM$3-SUM(BQ12:BR12)),0),
IFERROR(_xlfn.IFS(AND(DS12&gt;0,DS12+BR12&lt;=$FK$3),DS12,AND(DS12&gt;0,DS12+BR12&gt;$FK$3),0),0)
)</f>
        <v>0</v>
      </c>
      <c r="FV12" s="152" cm="1">
        <f t="array" ref="FV12">IF($C12="Production",
IFERROR(_xlfn.IFS(AND(DT12&gt;0,DT12+SUM(BR12:BS12)&lt;=$FM$3),DT12,AND(DT12&gt;0,DT12+SUM(BR12:BS12)&gt;$FM$3),$FM$3-SUM(BR12:BS12)),0),
IFERROR(_xlfn.IFS(AND(DT12&gt;0,DT12+BS12&lt;=$FK$3),DT12,AND(DT12&gt;0,DT12+BS12&gt;$FK$3),0),0)
)</f>
        <v>0</v>
      </c>
      <c r="FW12" s="152" cm="1">
        <f t="array" ref="FW12">IF($C12="Production",
IFERROR(_xlfn.IFS(AND(DU12&gt;0,DU12+SUM(BS12:BT12)&lt;=$FM$3),DU12,AND(DU12&gt;0,DU12+SUM(BS12:BT12)&gt;$FM$3),$FM$3-SUM(BS12:BT12)),0),
IFERROR(_xlfn.IFS(AND(DU12&gt;0,DU12+BT12&lt;=$FK$3),DU12,AND(DU12&gt;0,DU12+BT12&gt;$FK$3),0),0)
)</f>
        <v>0</v>
      </c>
      <c r="FX12" s="152" cm="1">
        <f t="array" ref="FX12">IF($C12="Production",
IFERROR(_xlfn.IFS(AND(DV12&gt;0,DV12+SUM(BT12:BU12)&lt;=$FM$3),DV12,AND(DV12&gt;0,DV12+SUM(BT12:BU12)&gt;$FM$3),$FM$3-SUM(BT12:BU12)),0),
IFERROR(_xlfn.IFS(AND(DV12&gt;0,DV12+BU12&lt;=$FK$3),DV12,AND(DV12&gt;0,DV12+BU12&gt;$FK$3),0),0)
)</f>
        <v>0</v>
      </c>
      <c r="FY12" s="152" cm="1">
        <f t="array" ref="FY12">IF($C12="Production",
IFERROR(_xlfn.IFS(AND(DW12&gt;0,DW12+SUM(BU12:BV12)&lt;=$FM$3),DW12,AND(DW12&gt;0,DW12+SUM(BU12:BV12)&gt;$FM$3),$FM$3-SUM(BU12:BV12)),0),
IFERROR(_xlfn.IFS(AND(DW12&gt;0,DW12+BV12&lt;=$FK$3),DW12,AND(DW12&gt;0,DW12+BV12&gt;$FK$3),0),0)
)</f>
        <v>0</v>
      </c>
      <c r="FZ12" s="152" cm="1">
        <f t="array" ref="FZ12">IF($C12="Production",
IFERROR(_xlfn.IFS(AND(DX12&gt;0,DX12+SUM(BV12:BW12)&lt;=$FM$3),DX12,AND(DX12&gt;0,DX12+SUM(BV12:BW12)&gt;$FM$3),$FM$3-SUM(BV12:BW12)),0),
IFERROR(_xlfn.IFS(AND(DX12&gt;0,DX12+BW12&lt;=$FK$3),DX12,AND(DX12&gt;0,DX12+BW12&gt;$FK$3),0),0)
)</f>
        <v>0</v>
      </c>
      <c r="GA12" s="152" cm="1">
        <f t="array" ref="GA12">IF($C12="Production",
IFERROR(_xlfn.IFS(AND(DY12&gt;0,DY12+SUM(BW12:BX12)&lt;=$FM$3),DY12,AND(DY12&gt;0,DY12+SUM(BW12:BX12)&gt;$FM$3),$FM$3-SUM(BW12:BX12)),0),
IFERROR(_xlfn.IFS(AND(DY12&gt;0,DY12+BX12&lt;=$FK$3),DY12,AND(DY12&gt;0,DY12+BX12&gt;$FK$3),0),0)
)</f>
        <v>0</v>
      </c>
      <c r="GB12" s="152" cm="1">
        <f t="array" ref="GB12">IF($C12="Production",
IFERROR(_xlfn.IFS(AND(DZ12&gt;0,DZ12+SUM(BX12:BY12)&lt;=$FM$3),DZ12,AND(DZ12&gt;0,DZ12+SUM(BX12:BY12)&gt;$FM$3),$FM$3-SUM(BX12:BY12)),0),
IFERROR(_xlfn.IFS(AND(DZ12&gt;0,DZ12+BY12&lt;=$FK$3),DZ12,AND(DZ12&gt;0,DZ12+BY12&gt;$FK$3),0),0)
)</f>
        <v>0</v>
      </c>
      <c r="GC12" s="152" cm="1">
        <f t="array" ref="GC12">IF($C12="Production",
IFERROR(_xlfn.IFS(AND(EA12&gt;0,EA12+SUM(BY12:BZ12)&lt;=$FM$3),EA12,AND(EA12&gt;0,EA12+SUM(BY12:BZ12)&gt;$FM$3),$FM$3-SUM(BY12:BZ12)),0),
IFERROR(_xlfn.IFS(AND(EA12&gt;0,EA12+BZ12&lt;=$FK$3),EA12,AND(EA12&gt;0,EA12+BZ12&gt;$FK$3),0),0)
)</f>
        <v>0</v>
      </c>
      <c r="GD12" s="152" cm="1">
        <f t="array" ref="GD12">IF($C12="Production",
IFERROR(_xlfn.IFS(AND(EB12&gt;0,EB12+SUM(BZ12:CA12)&lt;=$FM$3),EB12,AND(EB12&gt;0,EB12+SUM(BZ12:CA12)&gt;$FM$3),$FM$3-SUM(BZ12:CA12)),0),
IFERROR(_xlfn.IFS(AND(EB12&gt;0,EB12+CA12&lt;=$FK$3),EB12,AND(EB12&gt;0,EB12+CA12&gt;$FK$3),0),0)
)</f>
        <v>0</v>
      </c>
      <c r="GE12" s="152" cm="1">
        <f t="array" ref="GE12">IF($C12="Production",
IFERROR(_xlfn.IFS(AND(EC12&gt;0,EC12+SUM(CA12:CB12)&lt;=$FM$3),EC12,AND(EC12&gt;0,EC12+SUM(CA12:CB12)&gt;$FM$3),$FM$3-SUM(CA12:CB12)),0),
IFERROR(_xlfn.IFS(AND(EC12&gt;0,EC12+CB12&lt;=$FK$3),EC12,AND(EC12&gt;0,EC12+CB12&gt;$FK$3),0),0)
)</f>
        <v>0</v>
      </c>
      <c r="GF12" s="152" cm="1">
        <f t="array" ref="GF12">IF($C12="Production",
IFERROR(_xlfn.IFS(AND(ED12&gt;0,ED12+SUM(CB12:CC12)&lt;=$FM$3),ED12,AND(ED12&gt;0,ED12+SUM(CB12:CC12)&gt;$FM$3),$FM$3-SUM(CB12:CC12)),0),
IFERROR(_xlfn.IFS(AND(ED12&gt;0,ED12+CC12&lt;=$FK$3),ED12,AND(ED12&gt;0,ED12+CC12&gt;$FK$3),0),0)
)</f>
        <v>0</v>
      </c>
      <c r="GG12" s="152" cm="1">
        <f t="array" ref="GG12">IF($C12="Production",
IFERROR(_xlfn.IFS(AND(EE12&gt;0,EE12+SUM(CC12:CD12)&lt;=$FM$3),EE12,AND(EE12&gt;0,EE12+SUM(CC12:CD12)&gt;$FM$3),$FM$3-SUM(CC12:CD12)),0),
IFERROR(_xlfn.IFS(AND(EE12&gt;0,EE12+CD12&lt;=$FK$3),EE12,AND(EE12&gt;0,EE12+CD12&gt;$FK$3),0),0)
)</f>
        <v>0</v>
      </c>
      <c r="GH12" s="152" cm="1">
        <f t="array" ref="GH12">IF($C12="Production",
IFERROR(_xlfn.IFS(AND(EF12&gt;0,EF12+SUM(CD12:CE12)&lt;=$FM$3),EF12,AND(EF12&gt;0,EF12+SUM(CD12:CE12)&gt;$FM$3),$FM$3-SUM(CD12:CE12)),0),
IFERROR(_xlfn.IFS(AND(EF12&gt;0,EF12+CE12&lt;=$FK$3),EF12,AND(EF12&gt;0,EF12+CE12&gt;$FK$3),0),0)
)</f>
        <v>0</v>
      </c>
      <c r="GI12" s="152" cm="1">
        <f t="array" ref="GI12">IF($C12="Production",
IFERROR(_xlfn.IFS(AND(EG12&gt;0,EG12+SUM(CE12:CF12)&lt;=$FM$3),EG12,AND(EG12&gt;0,EG12+SUM(CE12:CF12)&gt;$FM$3),$FM$3-SUM(CE12:CF12)),0),
IFERROR(_xlfn.IFS(AND(EG12&gt;0,EG12+CF12&lt;=$FK$3),EG12,AND(EG12&gt;0,EG12+CF12&gt;$FK$3),0),0)
)</f>
        <v>0</v>
      </c>
      <c r="GJ12" s="152" cm="1">
        <f t="array" ref="GJ12">IF($C12="Production",
IFERROR(_xlfn.IFS(AND(EH12&gt;0,EH12+SUM(CF12:CG12)&lt;=$FM$3),EH12,AND(EH12&gt;0,EH12+SUM(CF12:CG12)&gt;$FM$3),$FM$3-SUM(CF12:CG12)),0),
IFERROR(_xlfn.IFS(AND(EH12&gt;0,EH12+CG12&lt;=$FK$3),EH12,AND(EH12&gt;0,EH12+CG12&gt;$FK$3),0),0)
)</f>
        <v>0</v>
      </c>
      <c r="GK12" s="152" cm="1">
        <f t="array" ref="GK12">IF($C12="Production",
IFERROR(_xlfn.IFS(AND(EI12&gt;0,EI12+SUM(CG12:CH12)&lt;=$FM$3),EI12,AND(EI12&gt;0,EI12+SUM(CG12:CH12)&gt;$FM$3),$FM$3-SUM(CG12:CH12)),0),
IFERROR(_xlfn.IFS(AND(EI12&gt;0,EI12+CH12&lt;=$FK$3),EI12,AND(EI12&gt;0,EI12+CH12&gt;$FK$3),0),0)
)</f>
        <v>0</v>
      </c>
      <c r="GL12" s="152" cm="1">
        <f t="array" ref="GL12">IF($C12="Production",
IFERROR(_xlfn.IFS(AND(EJ12&gt;0,EJ12+SUM(CH12:CI12)&lt;=$FM$3),EJ12,AND(EJ12&gt;0,EJ12+SUM(CH12:CI12)&gt;$FM$3),$FM$3-SUM(CH12:CI12)),0),
IFERROR(_xlfn.IFS(AND(EJ12&gt;0,EJ12+CI12&lt;=$FK$3),EJ12,AND(EJ12&gt;0,EJ12+CI12&gt;$FK$3),0),0)
)</f>
        <v>0</v>
      </c>
      <c r="GM12" s="152" cm="1">
        <f t="array" ref="GM12">IF($C12="Production",
IFERROR(_xlfn.IFS(AND(EK12&gt;0,EK12+SUM(CI12:CJ12)&lt;=$FM$3),EK12,AND(EK12&gt;0,EK12+SUM(CI12:CJ12)&gt;$FM$3),$FM$3-SUM(CI12:CJ12)),0),
IFERROR(_xlfn.IFS(AND(EK12&gt;0,EK12+CJ12&lt;=$FK$3),EK12,AND(EK12&gt;0,EK12+CJ12&gt;$FK$3),0),0)
)</f>
        <v>0</v>
      </c>
      <c r="GN12" s="152" cm="1">
        <f t="array" ref="GN12">IF($C12="Production",
IFERROR(_xlfn.IFS(AND(EL12&gt;0,EL12+SUM(CJ12:CK12)&lt;=$FM$3),EL12,AND(EL12&gt;0,EL12+SUM(CJ12:CK12)&gt;$FM$3),$FM$3-SUM(CJ12:CK12)),0),
IFERROR(_xlfn.IFS(AND(EL12&gt;0,EL12+CK12&lt;=$FK$3),EL12,AND(EL12&gt;0,EL12+CK12&gt;$FK$3),0),0)
)</f>
        <v>0</v>
      </c>
      <c r="GO12" s="152" cm="1">
        <f t="array" ref="GO12">IF($C12="Production",
IFERROR(_xlfn.IFS(AND(EM12&gt;0,EM12+SUM(CK12:CL12)&lt;=$FM$3),EM12,AND(EM12&gt;0,EM12+SUM(CK12:CL12)&gt;$FM$3),$FM$3-SUM(CK12:CL12)),0),
IFERROR(_xlfn.IFS(AND(EM12&gt;0,EM12+CL12&lt;=$FK$3),EM12,AND(EM12&gt;0,EM12+CL12&gt;$FK$3),0),0)
)</f>
        <v>0</v>
      </c>
      <c r="GP12" s="152" cm="1">
        <f t="array" ref="GP12">IF($C12="Production",
IFERROR(_xlfn.IFS(AND(EN12&gt;0,EN12+SUM(CL12:CM12)&lt;=$FM$3),EN12,AND(EN12&gt;0,EN12+SUM(CL12:CM12)&gt;$FM$3),$FM$3-SUM(CL12:CM12)),0),
IFERROR(_xlfn.IFS(AND(EN12&gt;0,EN12+CM12&lt;=$FK$3),EN12,AND(EN12&gt;0,EN12+CM12&gt;$FK$3),0),0)
)</f>
        <v>0</v>
      </c>
      <c r="GQ12" s="152" cm="1">
        <f t="array" ref="GQ12">IF($C12="Production",
IFERROR(_xlfn.IFS(AND(EO12&gt;0,EO12+SUM(CM12:CN12)&lt;=$FM$3),EO12,AND(EO12&gt;0,EO12+SUM(CM12:CN12)&gt;$FM$3),$FM$3-SUM(CM12:CN12)),0),
IFERROR(_xlfn.IFS(AND(EO12&gt;0,EO12+CN12&lt;=$FK$3),EO12,AND(EO12&gt;0,EO12+CN12&gt;$FK$3),0),0)
)</f>
        <v>0</v>
      </c>
      <c r="GR12" s="152" cm="1">
        <f t="array" ref="GR12">IF($C12="Production",
IFERROR(_xlfn.IFS(AND(EP12&gt;0,EP12+SUM(CN12:CO12)&lt;=$FM$3),EP12,AND(EP12&gt;0,EP12+SUM(CN12:CO12)&gt;$FM$3),$FM$3-SUM(CN12:CO12)),0),
IFERROR(_xlfn.IFS(AND(EP12&gt;0,EP12+CO12&lt;=$FK$3),EP12,AND(EP12&gt;0,EP12+CO12&gt;$FK$3),0),0)
)</f>
        <v>0</v>
      </c>
      <c r="GS12" s="152" cm="1">
        <f t="array" ref="GS12">IF($C12="Production",
IFERROR(_xlfn.IFS(AND(EQ12&gt;0,EQ12+SUM(CO12:CP12)&lt;=$FM$3),EQ12,AND(EQ12&gt;0,EQ12+SUM(CO12:CP12)&gt;$FM$3),$FM$3-SUM(CO12:CP12)),0),
IFERROR(_xlfn.IFS(AND(EQ12&gt;0,EQ12+CP12&lt;=$FK$3),EQ12,AND(EQ12&gt;0,EQ12+CP12&gt;$FK$3),0),0)
)</f>
        <v>0</v>
      </c>
      <c r="GT12" s="152" cm="1">
        <f t="array" ref="GT12">IF($C12="Production",
IFERROR(_xlfn.IFS(AND(ER12&gt;0,ER12+SUM(CP12:CQ12)&lt;=$FM$3),ER12,AND(ER12&gt;0,ER12+SUM(CP12:CQ12)&gt;$FM$3),$FM$3-SUM(CP12:CQ12)),0),
IFERROR(_xlfn.IFS(AND(ER12&gt;0,ER12+CQ12&lt;=$FK$3),ER12,AND(ER12&gt;0,ER12+CQ12&gt;$FK$3),0),0)
)</f>
        <v>0</v>
      </c>
      <c r="GU12" s="152" cm="1">
        <f t="array" ref="GU12">IF($C12="Production",
IFERROR(_xlfn.IFS(AND(ES12&gt;0,ES12+SUM(CQ12:CR12)&lt;=$FM$3),ES12,AND(ES12&gt;0,ES12+SUM(CQ12:CR12)&gt;$FM$3),$FM$3-SUM(CQ12:CR12)),0),
IFERROR(_xlfn.IFS(AND(ES12&gt;0,ES12+CR12&lt;=$FK$3),ES12,AND(ES12&gt;0,ES12+CR12&gt;$FK$3),0),0)
)</f>
        <v>0</v>
      </c>
      <c r="GV12" s="152" cm="1">
        <f t="array" ref="GV12">IF($C12="Production",
IFERROR(_xlfn.IFS(AND(ET12&gt;0,ET12+SUM(CR12:CS12)&lt;=$FM$3),ET12,AND(ET12&gt;0,ET12+SUM(CR12:CS12)&gt;$FM$3),$FM$3-SUM(CR12:CS12)),0),
IFERROR(_xlfn.IFS(AND(ET12&gt;0,ET12+CS12&lt;=$FK$3),ET12,AND(ET12&gt;0,ET12+CS12&gt;$FK$3),0),0)
)</f>
        <v>0</v>
      </c>
      <c r="GW12" s="152" cm="1">
        <f t="array" ref="GW12">IF($C12="Production",
IFERROR(_xlfn.IFS(AND(EU12&gt;0,EU12+SUM(CS12:CT12)&lt;=$FM$3),EU12,AND(EU12&gt;0,EU12+SUM(CS12:CT12)&gt;$FM$3),$FM$3-SUM(CS12:CT12)),0),
IFERROR(_xlfn.IFS(AND(EU12&gt;0,EU12+CT12&lt;=$FK$3),EU12,AND(EU12&gt;0,EU12+CT12&gt;$FK$3),0),0)
)</f>
        <v>0</v>
      </c>
      <c r="GX12" s="152" cm="1">
        <f t="array" ref="GX12">IF($C12="Production",
IFERROR(_xlfn.IFS(AND(EV12&gt;0,EV12+SUM(CT12:CU12)&lt;=$FM$3),EV12,AND(EV12&gt;0,EV12+SUM(CT12:CU12)&gt;$FM$3),$FM$3-SUM(CT12:CU12)),0),
IFERROR(_xlfn.IFS(AND(EV12&gt;0,EV12+CU12&lt;=$FK$3),EV12,AND(EV12&gt;0,EV12+CU12&gt;$FK$3),0),0)
)</f>
        <v>0</v>
      </c>
      <c r="GY12" s="152" cm="1">
        <f t="array" ref="GY12">IF($C12="Production",
IFERROR(_xlfn.IFS(AND(EW12&gt;0,EW12+SUM(CU12:CV12)&lt;=$FM$3),EW12,AND(EW12&gt;0,EW12+SUM(CU12:CV12)&gt;$FM$3),$FM$3-SUM(CU12:CV12)),0),
IFERROR(_xlfn.IFS(AND(EW12&gt;0,EW12+CV12&lt;=$FK$3),EW12,AND(EW12&gt;0,EW12+CV12&gt;$FK$3),0),0)
)</f>
        <v>0</v>
      </c>
      <c r="GZ12" s="152" cm="1">
        <f t="array" ref="GZ12">IF($C12="Production",
IFERROR(_xlfn.IFS(AND(EX12&gt;0,EX12+SUM(CV12:CW12)&lt;=$FM$3),EX12,AND(EX12&gt;0,EX12+SUM(CV12:CW12)&gt;$FM$3),$FM$3-SUM(CV12:CW12)),0),
IFERROR(_xlfn.IFS(AND(EX12&gt;0,EX12+CW12&lt;=$FK$3),EX12,AND(EX12&gt;0,EX12+CW12&gt;$FK$3),0),0)
)</f>
        <v>0</v>
      </c>
      <c r="HA12" s="152" cm="1">
        <f t="array" ref="HA12">IF($C12="Production",
IFERROR(_xlfn.IFS(AND(EY12&gt;0,EY12+SUM(CW12:CX12)&lt;=$FM$3),EY12,AND(EY12&gt;0,EY12+SUM(CW12:CX12)&gt;$FM$3),$FM$3-SUM(CW12:CX12)),0),
IFERROR(_xlfn.IFS(AND(EY12&gt;0,EY12+CX12&lt;=$FK$3),EY12,AND(EY12&gt;0,EY12+CX12&gt;$FK$3),0),0)
)</f>
        <v>0</v>
      </c>
      <c r="HB12" s="152" cm="1">
        <f t="array" ref="HB12">IF($C12="Production",
IFERROR(_xlfn.IFS(AND(EZ12&gt;0,EZ12+SUM(CX12:CY12)&lt;=$FM$3),EZ12,AND(EZ12&gt;0,EZ12+SUM(CX12:CY12)&gt;$FM$3),$FM$3-SUM(CX12:CY12)),0),
IFERROR(_xlfn.IFS(AND(EZ12&gt;0,EZ12+CY12&lt;=$FK$3),EZ12,AND(EZ12&gt;0,EZ12+CY12&gt;$FK$3),0),0)
)</f>
        <v>0</v>
      </c>
      <c r="HC12" s="152" cm="1">
        <f t="array" ref="HC12">IF($C12="Production",
IFERROR(_xlfn.IFS(AND(FA12&gt;0,FA12+SUM(CY12:CZ12)&lt;=$FM$3),FA12,AND(FA12&gt;0,FA12+SUM(CY12:CZ12)&gt;$FM$3),$FM$3-SUM(CY12:CZ12)),0),
IFERROR(_xlfn.IFS(AND(FA12&gt;0,FA12+CZ12&lt;=$FK$3),FA12,AND(FA12&gt;0,FA12+CZ12&gt;$FK$3),0),0)
)</f>
        <v>0</v>
      </c>
      <c r="HD12" s="152" cm="1">
        <f t="array" ref="HD12">IF($C12="Production",
IFERROR(_xlfn.IFS(AND(FB12&gt;0,FB12+SUM(CZ12:DA12)&lt;=$FM$3),FB12,AND(FB12&gt;0,FB12+SUM(CZ12:DA12)&gt;$FM$3),$FM$3-SUM(CZ12:DA12)),0),
IFERROR(_xlfn.IFS(AND(FB12&gt;0,FB12+DA12&lt;=$FK$3),FB12,AND(FB12&gt;0,FB12+DA12&gt;$FK$3),0),0)
)</f>
        <v>0</v>
      </c>
      <c r="HE12" s="152" cm="1">
        <f t="array" ref="HE12">IF($C12="Production",
IFERROR(_xlfn.IFS(AND(FC12&gt;0,FC12+SUM(DA12:DB12)&lt;=$FM$3),FC12,AND(FC12&gt;0,FC12+SUM(DA12:DB12)&gt;$FM$3),$FM$3-SUM(DA12:DB12)),0),
IFERROR(_xlfn.IFS(AND(FC12&gt;0,FC12+DB12&lt;=$FK$3),FC12,AND(FC12&gt;0,FC12+DB12&gt;$FK$3),0),0)
)</f>
        <v>0</v>
      </c>
      <c r="HF12" s="152" cm="1">
        <f t="array" ref="HF12">IF($C12="Production",
IFERROR(_xlfn.IFS(AND(FD12&gt;0,FD12+SUM(DB12:DC12)&lt;=$FM$3),FD12,AND(FD12&gt;0,FD12+SUM(DB12:DC12)&gt;$FM$3),$FM$3-SUM(DB12:DC12)),0),
IFERROR(_xlfn.IFS(AND(FD12&gt;0,FD12+DC12&lt;=$FK$3),FD12,AND(FD12&gt;0,FD12+DC12&gt;$FK$3),0),0)
)</f>
        <v>0</v>
      </c>
      <c r="HG12" s="152" cm="1">
        <f t="array" ref="HG12">IF($C12="Production",
IFERROR(_xlfn.IFS(AND(FE12&gt;0,FE12+SUM(DC12:DD12)&lt;=$FM$3),FE12,AND(FE12&gt;0,FE12+SUM(DC12:DD12)&gt;$FM$3),$FM$3-SUM(DC12:DD12)),0),
IFERROR(_xlfn.IFS(AND(FE12&gt;0,FE12+DD12&lt;=$FK$3),FE12,AND(FE12&gt;0,FE12+DD12&gt;$FK$3),0),0)
)</f>
        <v>0</v>
      </c>
      <c r="HH12" s="152" cm="1">
        <f t="array" ref="HH12">IF($C12="Production",
IFERROR(_xlfn.IFS(AND(FF12&gt;0,FF12+SUM(DD12:DE12)&lt;=$FM$3),FF12,AND(FF12&gt;0,FF12+SUM(DD12:DE12)&gt;$FM$3),$FM$3-SUM(DD12:DE12)),0),
IFERROR(_xlfn.IFS(AND(FF12&gt;0,FF12+DE12&lt;=$FK$3),FF12,AND(FF12&gt;0,FF12+DE12&gt;$FK$3),0),0)
)</f>
        <v>0</v>
      </c>
      <c r="HI12" s="156" cm="1">
        <f t="array" ref="HI12">IF($C12="Production",
IFERROR(_xlfn.IFS(AND(FG12&gt;0,FG12+SUM(DE12:DF12)&lt;=$FM$3),FG12,AND(FG12&gt;0,FG12+SUM(DE12:DF12)&gt;$FM$3),$FM$3-SUM(DE12:DF12)),0),
IFERROR(_xlfn.IFS(AND(FG12&gt;0,FG12+DF12&lt;=$FK$3),FG12,AND(FG12&gt;0,FG12+DF12&gt;$FK$3),0),0)
)</f>
        <v>0</v>
      </c>
      <c r="HJ12" s="113">
        <f t="shared" si="110"/>
        <v>8.75</v>
      </c>
      <c r="HK12" s="80"/>
      <c r="HL12" s="112">
        <f t="shared" si="56"/>
        <v>0</v>
      </c>
      <c r="HM12" s="138">
        <f t="shared" si="57"/>
        <v>0</v>
      </c>
      <c r="HN12" s="138">
        <f t="shared" si="58"/>
        <v>0</v>
      </c>
      <c r="HO12" s="138">
        <f t="shared" si="59"/>
        <v>0</v>
      </c>
      <c r="HP12" s="138">
        <f t="shared" si="60"/>
        <v>0</v>
      </c>
      <c r="HQ12" s="138">
        <f t="shared" si="61"/>
        <v>0</v>
      </c>
      <c r="HR12" s="138">
        <f t="shared" si="62"/>
        <v>0</v>
      </c>
      <c r="HS12" s="138">
        <f t="shared" si="63"/>
        <v>0</v>
      </c>
      <c r="HT12" s="138">
        <f t="shared" si="64"/>
        <v>0</v>
      </c>
      <c r="HU12" s="138">
        <f t="shared" si="65"/>
        <v>0</v>
      </c>
      <c r="HV12" s="138">
        <f t="shared" si="66"/>
        <v>0</v>
      </c>
      <c r="HW12" s="138">
        <f t="shared" si="67"/>
        <v>0</v>
      </c>
      <c r="HX12" s="138">
        <f t="shared" si="68"/>
        <v>0</v>
      </c>
      <c r="HY12" s="138">
        <f t="shared" si="69"/>
        <v>0</v>
      </c>
      <c r="HZ12" s="138">
        <f t="shared" si="70"/>
        <v>0</v>
      </c>
      <c r="IA12" s="138">
        <f t="shared" si="71"/>
        <v>0</v>
      </c>
      <c r="IB12" s="138">
        <f t="shared" si="72"/>
        <v>0</v>
      </c>
      <c r="IC12" s="138">
        <f t="shared" si="73"/>
        <v>0</v>
      </c>
      <c r="ID12" s="138">
        <f t="shared" si="74"/>
        <v>0</v>
      </c>
      <c r="IE12" s="138">
        <f t="shared" si="75"/>
        <v>0</v>
      </c>
      <c r="IF12" s="138">
        <f t="shared" si="76"/>
        <v>0</v>
      </c>
      <c r="IG12" s="138">
        <f t="shared" si="77"/>
        <v>0</v>
      </c>
      <c r="IH12" s="138">
        <f t="shared" si="78"/>
        <v>0</v>
      </c>
      <c r="II12" s="138">
        <f t="shared" si="79"/>
        <v>0</v>
      </c>
      <c r="IJ12" s="138">
        <f t="shared" si="80"/>
        <v>0</v>
      </c>
      <c r="IK12" s="138">
        <f t="shared" si="81"/>
        <v>0</v>
      </c>
      <c r="IL12" s="138">
        <f t="shared" si="82"/>
        <v>0</v>
      </c>
      <c r="IM12" s="138">
        <f t="shared" si="83"/>
        <v>0</v>
      </c>
      <c r="IN12" s="138">
        <f t="shared" si="84"/>
        <v>0</v>
      </c>
      <c r="IO12" s="138">
        <f t="shared" si="85"/>
        <v>0</v>
      </c>
      <c r="IP12" s="138">
        <f t="shared" si="86"/>
        <v>0</v>
      </c>
      <c r="IQ12" s="138">
        <f t="shared" si="87"/>
        <v>0</v>
      </c>
      <c r="IR12" s="138">
        <f t="shared" si="88"/>
        <v>0</v>
      </c>
      <c r="IS12" s="138">
        <f t="shared" si="89"/>
        <v>0</v>
      </c>
      <c r="IT12" s="138">
        <f t="shared" si="90"/>
        <v>0</v>
      </c>
      <c r="IU12" s="138">
        <f t="shared" si="91"/>
        <v>0</v>
      </c>
      <c r="IV12" s="138">
        <f t="shared" si="92"/>
        <v>0</v>
      </c>
      <c r="IW12" s="138">
        <f t="shared" si="93"/>
        <v>0</v>
      </c>
      <c r="IX12" s="138">
        <f t="shared" si="94"/>
        <v>0</v>
      </c>
      <c r="IY12" s="138">
        <f t="shared" si="95"/>
        <v>0</v>
      </c>
      <c r="IZ12" s="138">
        <f t="shared" si="96"/>
        <v>0</v>
      </c>
      <c r="JA12" s="138">
        <f t="shared" si="97"/>
        <v>0</v>
      </c>
      <c r="JB12" s="138">
        <f t="shared" si="98"/>
        <v>0</v>
      </c>
      <c r="JC12" s="138">
        <f t="shared" si="99"/>
        <v>0</v>
      </c>
      <c r="JD12" s="138">
        <f t="shared" si="100"/>
        <v>0</v>
      </c>
      <c r="JE12" s="138">
        <f t="shared" si="101"/>
        <v>0</v>
      </c>
      <c r="JF12" s="138">
        <f t="shared" si="102"/>
        <v>0</v>
      </c>
      <c r="JG12" s="138">
        <f t="shared" si="103"/>
        <v>0</v>
      </c>
      <c r="JH12" s="138">
        <f t="shared" si="104"/>
        <v>0</v>
      </c>
      <c r="JI12" s="138">
        <f t="shared" si="105"/>
        <v>0</v>
      </c>
      <c r="JJ12" s="138">
        <f t="shared" si="106"/>
        <v>0</v>
      </c>
      <c r="JK12" s="138">
        <f t="shared" si="107"/>
        <v>0</v>
      </c>
      <c r="JL12" s="118">
        <f t="shared" si="111"/>
        <v>0</v>
      </c>
      <c r="JO12" s="90">
        <f t="shared" si="112"/>
        <v>8.75</v>
      </c>
      <c r="JP12" s="79">
        <f t="shared" si="108"/>
        <v>0</v>
      </c>
      <c r="JQ12" s="91">
        <f t="shared" si="2"/>
        <v>10.9375</v>
      </c>
      <c r="JS12" s="123">
        <f t="shared" si="109"/>
        <v>-2.5</v>
      </c>
      <c r="JU12" s="123">
        <f t="shared" si="113"/>
        <v>8.4375</v>
      </c>
    </row>
    <row r="13" spans="2:281" x14ac:dyDescent="0.15">
      <c r="B13" s="82" t="str">
        <f>'MODU 2025'!B16</f>
        <v>BUISSON Cassandra</v>
      </c>
      <c r="C13" s="82" t="str">
        <f>'MODU 2025'!C16</f>
        <v>Production</v>
      </c>
      <c r="D13" s="82">
        <v>28</v>
      </c>
      <c r="E13" s="82"/>
      <c r="F13" s="133">
        <f>'MODU 2025'!G16</f>
        <v>37</v>
      </c>
      <c r="G13" s="140">
        <f>'MODU 2025'!H16</f>
        <v>41</v>
      </c>
      <c r="H13" s="140">
        <f>'MODU 2025'!I16</f>
        <v>29.25</v>
      </c>
      <c r="I13" s="140">
        <f>'MODU 2025'!J16</f>
        <v>41</v>
      </c>
      <c r="J13" s="140">
        <f>'MODU 2025'!K16</f>
        <v>33</v>
      </c>
      <c r="K13" s="140">
        <f>'MODU 2025'!L16</f>
        <v>41</v>
      </c>
      <c r="L13" s="140">
        <f>'MODU 2025'!M16</f>
        <v>33</v>
      </c>
      <c r="M13" s="140">
        <f>'MODU 2025'!N16</f>
        <v>41.25</v>
      </c>
      <c r="N13" s="140">
        <f>'MODU 2025'!O16</f>
        <v>20</v>
      </c>
      <c r="O13" s="140">
        <f>'MODU 2025'!P16</f>
        <v>36</v>
      </c>
      <c r="P13" s="140">
        <f>'MODU 2025'!Q16</f>
        <v>20</v>
      </c>
      <c r="Q13" s="140">
        <f>'MODU 2025'!R16</f>
        <v>36</v>
      </c>
      <c r="R13" s="140">
        <f>'MODU 2025'!S16</f>
        <v>20</v>
      </c>
      <c r="S13" s="140">
        <f>'MODU 2025'!T16</f>
        <v>36</v>
      </c>
      <c r="T13" s="140">
        <f>'MODU 2025'!U16</f>
        <v>20</v>
      </c>
      <c r="U13" s="140">
        <f>'MODU 2025'!V16</f>
        <v>36</v>
      </c>
      <c r="V13" s="140">
        <f>'MODU 2025'!W16</f>
        <v>20</v>
      </c>
      <c r="W13" s="140">
        <f>'MODU 2025'!X16</f>
        <v>36</v>
      </c>
      <c r="X13" s="140">
        <f>'MODU 2025'!Y16</f>
        <v>20</v>
      </c>
      <c r="Y13" s="140">
        <f>'MODU 2025'!Z16</f>
        <v>36</v>
      </c>
      <c r="Z13" s="140">
        <f>'MODU 2025'!AA16</f>
        <v>20</v>
      </c>
      <c r="AA13" s="140">
        <f>'MODU 2025'!AB16</f>
        <v>36</v>
      </c>
      <c r="AB13" s="140">
        <f>'MODU 2025'!AC16</f>
        <v>20</v>
      </c>
      <c r="AC13" s="140">
        <f>'MODU 2025'!AD16</f>
        <v>36</v>
      </c>
      <c r="AD13" s="140">
        <f>'MODU 2025'!AE16</f>
        <v>20</v>
      </c>
      <c r="AE13" s="140">
        <f>'MODU 2025'!AF16</f>
        <v>36</v>
      </c>
      <c r="AF13" s="140">
        <f>'MODU 2025'!AG16</f>
        <v>20</v>
      </c>
      <c r="AG13" s="140">
        <f>'MODU 2025'!AH16</f>
        <v>36</v>
      </c>
      <c r="AH13" s="140">
        <f>'MODU 2025'!AI16</f>
        <v>20</v>
      </c>
      <c r="AI13" s="140">
        <f>'MODU 2025'!AJ16</f>
        <v>36</v>
      </c>
      <c r="AJ13" s="140">
        <f>'MODU 2025'!AK16</f>
        <v>20</v>
      </c>
      <c r="AK13" s="140">
        <f>'MODU 2025'!AL16</f>
        <v>36</v>
      </c>
      <c r="AL13" s="140">
        <f>'MODU 2025'!AM16</f>
        <v>20</v>
      </c>
      <c r="AM13" s="140">
        <f>'MODU 2025'!AN16</f>
        <v>36</v>
      </c>
      <c r="AN13" s="140">
        <f>'MODU 2025'!AO16</f>
        <v>20</v>
      </c>
      <c r="AO13" s="140">
        <f>'MODU 2025'!AP16</f>
        <v>36</v>
      </c>
      <c r="AP13" s="140">
        <f>'MODU 2025'!AQ16</f>
        <v>20</v>
      </c>
      <c r="AQ13" s="140">
        <f>'MODU 2025'!AR16</f>
        <v>36</v>
      </c>
      <c r="AR13" s="140">
        <f>'MODU 2025'!AS16</f>
        <v>20</v>
      </c>
      <c r="AS13" s="140">
        <f>'MODU 2025'!AT16</f>
        <v>36</v>
      </c>
      <c r="AT13" s="140">
        <f>'MODU 2025'!AU16</f>
        <v>20</v>
      </c>
      <c r="AU13" s="140">
        <f>'MODU 2025'!AV16</f>
        <v>36</v>
      </c>
      <c r="AV13" s="140">
        <f>'MODU 2025'!AW16</f>
        <v>20</v>
      </c>
      <c r="AW13" s="140">
        <f>'MODU 2025'!AX16</f>
        <v>36</v>
      </c>
      <c r="AX13" s="140">
        <f>'MODU 2025'!AY16</f>
        <v>20</v>
      </c>
      <c r="AY13" s="140">
        <f>'MODU 2025'!AZ16</f>
        <v>36</v>
      </c>
      <c r="AZ13" s="140">
        <f>'MODU 2025'!BA16</f>
        <v>20</v>
      </c>
      <c r="BA13" s="140">
        <f>'MODU 2025'!BB16</f>
        <v>36</v>
      </c>
      <c r="BB13" s="140">
        <f>'MODU 2025'!BC16</f>
        <v>20</v>
      </c>
      <c r="BC13" s="140">
        <f>'MODU 2025'!BD16</f>
        <v>36</v>
      </c>
      <c r="BD13" s="140">
        <f>'MODU 2025'!BE16</f>
        <v>20</v>
      </c>
      <c r="BE13" s="134">
        <f>'MODU 2025'!BF16</f>
        <v>36</v>
      </c>
      <c r="BF13" s="82"/>
      <c r="BG13" s="107">
        <v>33</v>
      </c>
      <c r="BH13" s="145">
        <v>41</v>
      </c>
      <c r="BI13" s="145">
        <v>33</v>
      </c>
      <c r="BJ13" s="145">
        <v>41</v>
      </c>
      <c r="BK13" s="145">
        <v>33</v>
      </c>
      <c r="BL13" s="145">
        <v>41</v>
      </c>
      <c r="BM13" s="145">
        <v>33</v>
      </c>
      <c r="BN13" s="145">
        <v>41</v>
      </c>
      <c r="BO13" s="145">
        <v>20</v>
      </c>
      <c r="BP13" s="145">
        <v>36</v>
      </c>
      <c r="BQ13" s="145">
        <v>20</v>
      </c>
      <c r="BR13" s="145">
        <v>36</v>
      </c>
      <c r="BS13" s="145">
        <v>20</v>
      </c>
      <c r="BT13" s="145">
        <v>36</v>
      </c>
      <c r="BU13" s="145">
        <v>20</v>
      </c>
      <c r="BV13" s="145">
        <v>36</v>
      </c>
      <c r="BW13" s="145">
        <v>20</v>
      </c>
      <c r="BX13" s="145">
        <v>36</v>
      </c>
      <c r="BY13" s="145">
        <v>20</v>
      </c>
      <c r="BZ13" s="145">
        <v>36</v>
      </c>
      <c r="CA13" s="145">
        <v>20</v>
      </c>
      <c r="CB13" s="145">
        <v>36</v>
      </c>
      <c r="CC13" s="145">
        <v>20</v>
      </c>
      <c r="CD13" s="145">
        <v>36</v>
      </c>
      <c r="CE13" s="145">
        <v>20</v>
      </c>
      <c r="CF13" s="145">
        <v>36</v>
      </c>
      <c r="CG13" s="145">
        <v>20</v>
      </c>
      <c r="CH13" s="145">
        <v>36</v>
      </c>
      <c r="CI13" s="145">
        <v>20</v>
      </c>
      <c r="CJ13" s="145">
        <v>36</v>
      </c>
      <c r="CK13" s="145">
        <v>20</v>
      </c>
      <c r="CL13" s="145">
        <v>36</v>
      </c>
      <c r="CM13" s="145">
        <v>20</v>
      </c>
      <c r="CN13" s="145">
        <v>36</v>
      </c>
      <c r="CO13" s="145">
        <v>20</v>
      </c>
      <c r="CP13" s="145">
        <v>36</v>
      </c>
      <c r="CQ13" s="145">
        <v>20</v>
      </c>
      <c r="CR13" s="145">
        <v>36</v>
      </c>
      <c r="CS13" s="145">
        <v>20</v>
      </c>
      <c r="CT13" s="145">
        <v>36</v>
      </c>
      <c r="CU13" s="145">
        <v>20</v>
      </c>
      <c r="CV13" s="145">
        <v>36</v>
      </c>
      <c r="CW13" s="145">
        <v>20</v>
      </c>
      <c r="CX13" s="145">
        <v>36</v>
      </c>
      <c r="CY13" s="145">
        <v>20</v>
      </c>
      <c r="CZ13" s="145">
        <v>36</v>
      </c>
      <c r="DA13" s="145">
        <v>20</v>
      </c>
      <c r="DB13" s="145">
        <v>36</v>
      </c>
      <c r="DC13" s="145">
        <v>20</v>
      </c>
      <c r="DD13" s="145">
        <v>36</v>
      </c>
      <c r="DE13" s="145">
        <v>20</v>
      </c>
      <c r="DF13" s="108">
        <v>36</v>
      </c>
      <c r="DG13" s="84"/>
      <c r="DH13" s="112">
        <f t="shared" si="3"/>
        <v>0</v>
      </c>
      <c r="DI13" s="138">
        <f t="shared" si="4"/>
        <v>4</v>
      </c>
      <c r="DJ13" s="138">
        <f t="shared" si="5"/>
        <v>0</v>
      </c>
      <c r="DK13" s="138">
        <f t="shared" si="6"/>
        <v>-3.75</v>
      </c>
      <c r="DL13" s="138">
        <f t="shared" si="7"/>
        <v>0</v>
      </c>
      <c r="DM13" s="138">
        <f t="shared" si="8"/>
        <v>0</v>
      </c>
      <c r="DN13" s="138">
        <f t="shared" si="9"/>
        <v>0</v>
      </c>
      <c r="DO13" s="138">
        <f t="shared" si="10"/>
        <v>0.25</v>
      </c>
      <c r="DP13" s="138">
        <f t="shared" si="11"/>
        <v>0</v>
      </c>
      <c r="DQ13" s="138">
        <f t="shared" si="12"/>
        <v>0</v>
      </c>
      <c r="DR13" s="138">
        <f t="shared" si="13"/>
        <v>0</v>
      </c>
      <c r="DS13" s="138">
        <f t="shared" si="14"/>
        <v>0</v>
      </c>
      <c r="DT13" s="138">
        <f t="shared" si="15"/>
        <v>0</v>
      </c>
      <c r="DU13" s="138">
        <f t="shared" si="16"/>
        <v>0</v>
      </c>
      <c r="DV13" s="138">
        <f t="shared" si="17"/>
        <v>0</v>
      </c>
      <c r="DW13" s="138">
        <f t="shared" si="18"/>
        <v>0</v>
      </c>
      <c r="DX13" s="138">
        <f t="shared" si="19"/>
        <v>0</v>
      </c>
      <c r="DY13" s="138">
        <f t="shared" si="20"/>
        <v>0</v>
      </c>
      <c r="DZ13" s="138">
        <f t="shared" si="21"/>
        <v>0</v>
      </c>
      <c r="EA13" s="138">
        <f t="shared" si="22"/>
        <v>0</v>
      </c>
      <c r="EB13" s="138">
        <f t="shared" si="23"/>
        <v>0</v>
      </c>
      <c r="EC13" s="138">
        <f t="shared" si="24"/>
        <v>0</v>
      </c>
      <c r="ED13" s="138">
        <f t="shared" si="25"/>
        <v>0</v>
      </c>
      <c r="EE13" s="138">
        <f t="shared" si="26"/>
        <v>0</v>
      </c>
      <c r="EF13" s="138">
        <f t="shared" si="27"/>
        <v>0</v>
      </c>
      <c r="EG13" s="138">
        <f t="shared" si="28"/>
        <v>0</v>
      </c>
      <c r="EH13" s="138">
        <f t="shared" si="29"/>
        <v>0</v>
      </c>
      <c r="EI13" s="138">
        <f t="shared" si="30"/>
        <v>0</v>
      </c>
      <c r="EJ13" s="138">
        <f t="shared" si="31"/>
        <v>0</v>
      </c>
      <c r="EK13" s="138">
        <f t="shared" si="32"/>
        <v>0</v>
      </c>
      <c r="EL13" s="138">
        <f t="shared" si="33"/>
        <v>0</v>
      </c>
      <c r="EM13" s="138">
        <f t="shared" si="34"/>
        <v>0</v>
      </c>
      <c r="EN13" s="138">
        <f t="shared" si="35"/>
        <v>0</v>
      </c>
      <c r="EO13" s="138">
        <f t="shared" si="36"/>
        <v>0</v>
      </c>
      <c r="EP13" s="138">
        <f t="shared" si="37"/>
        <v>0</v>
      </c>
      <c r="EQ13" s="138">
        <f t="shared" si="38"/>
        <v>0</v>
      </c>
      <c r="ER13" s="138">
        <f t="shared" si="39"/>
        <v>0</v>
      </c>
      <c r="ES13" s="138">
        <f t="shared" si="40"/>
        <v>0</v>
      </c>
      <c r="ET13" s="138">
        <f t="shared" si="41"/>
        <v>0</v>
      </c>
      <c r="EU13" s="138">
        <f t="shared" si="42"/>
        <v>0</v>
      </c>
      <c r="EV13" s="138">
        <f t="shared" si="43"/>
        <v>0</v>
      </c>
      <c r="EW13" s="138">
        <f t="shared" si="44"/>
        <v>0</v>
      </c>
      <c r="EX13" s="138">
        <f t="shared" si="45"/>
        <v>0</v>
      </c>
      <c r="EY13" s="138">
        <f t="shared" si="46"/>
        <v>0</v>
      </c>
      <c r="EZ13" s="138">
        <f t="shared" si="47"/>
        <v>0</v>
      </c>
      <c r="FA13" s="138">
        <f t="shared" si="48"/>
        <v>0</v>
      </c>
      <c r="FB13" s="138">
        <f t="shared" si="49"/>
        <v>0</v>
      </c>
      <c r="FC13" s="138">
        <f t="shared" si="50"/>
        <v>0</v>
      </c>
      <c r="FD13" s="138">
        <f t="shared" si="51"/>
        <v>0</v>
      </c>
      <c r="FE13" s="138">
        <f t="shared" si="52"/>
        <v>0</v>
      </c>
      <c r="FF13" s="138">
        <f t="shared" si="53"/>
        <v>0</v>
      </c>
      <c r="FG13" s="113">
        <f t="shared" si="54"/>
        <v>0</v>
      </c>
      <c r="FH13" s="113">
        <f t="shared" si="55"/>
        <v>0.5</v>
      </c>
      <c r="FI13" s="35"/>
      <c r="FJ13" s="151" cm="1">
        <f t="array" ref="FJ13">IF($C13="Production",
IFERROR(_xlfn.IFS(AND(DH13&gt;0,DH13+SUM(BF13:BG13)&lt;=$FM$3),DH13,AND(DH13&gt;0,DH13+SUM(BF13:BG13)&gt;$FM$3),$FM$3-SUM(BF13:BG13)),0),
IFERROR(_xlfn.IFS(AND(DH13&gt;0,DH13+BG13&lt;=$FK$3),DH13,AND(DH13&gt;0,DH13+BG13&gt;$FK$3),0),0)
)</f>
        <v>0</v>
      </c>
      <c r="FK13" s="152" cm="1">
        <f t="array" ref="FK13">IF($C13="Production",
IFERROR(_xlfn.IFS(AND(DI13&gt;0,DI13+SUM(BG13:BH13)&lt;=$FM$3),DI13,AND(DI13&gt;0,DI13+SUM(BG13:BH13)&gt;$FM$3),$FM$3-SUM(BG13:BH13)),0),
IFERROR(_xlfn.IFS(AND(DI13&gt;0,DI13+BH13&lt;=$FK$3),DI13,AND(DI13&gt;0,DI13+BH13&gt;$FK$3),0),0)
)</f>
        <v>4</v>
      </c>
      <c r="FL13" s="152" cm="1">
        <f t="array" ref="FL13">IF($C13="Production",
IFERROR(_xlfn.IFS(AND(DJ13&gt;0,DJ13+SUM(BH13:BI13)&lt;=$FM$3),DJ13,AND(DJ13&gt;0,DJ13+SUM(BH13:BI13)&gt;$FM$3),$FM$3-SUM(BH13:BI13)),0),
IFERROR(_xlfn.IFS(AND(DJ13&gt;0,DJ13+BI13&lt;=$FK$3),DJ13,AND(DJ13&gt;0,DJ13+BI13&gt;$FK$3),0),0)
)</f>
        <v>0</v>
      </c>
      <c r="FM13" s="152" cm="1">
        <f t="array" ref="FM13">IF($C13="Production",
IFERROR(_xlfn.IFS(AND(DK13&gt;0,DK13+SUM(BI13:BJ13)&lt;=$FM$3),DK13,AND(DK13&gt;0,DK13+SUM(BI13:BJ13)&gt;$FM$3),$FM$3-SUM(BI13:BJ13)),0),
IFERROR(_xlfn.IFS(AND(DK13&gt;0,DK13+BJ13&lt;=$FK$3),DK13,AND(DK13&gt;0,DK13+BJ13&gt;$FK$3),0),0)
)</f>
        <v>0</v>
      </c>
      <c r="FN13" s="152" cm="1">
        <f t="array" ref="FN13">IF($C13="Production",
IFERROR(_xlfn.IFS(AND(DL13&gt;0,DL13+SUM(BJ13:BK13)&lt;=$FM$3),DL13,AND(DL13&gt;0,DL13+SUM(BJ13:BK13)&gt;$FM$3),$FM$3-SUM(BJ13:BK13)),0),
IFERROR(_xlfn.IFS(AND(DL13&gt;0,DL13+BK13&lt;=$FK$3),DL13,AND(DL13&gt;0,DL13+BK13&gt;$FK$3),0),0)
)</f>
        <v>0</v>
      </c>
      <c r="FO13" s="152" cm="1">
        <f t="array" ref="FO13">IF($C13="Production",
IFERROR(_xlfn.IFS(AND(DM13&gt;0,DM13+SUM(BK13:BL13)&lt;=$FM$3),DM13,AND(DM13&gt;0,DM13+SUM(BK13:BL13)&gt;$FM$3),$FM$3-SUM(BK13:BL13)),0),
IFERROR(_xlfn.IFS(AND(DM13&gt;0,DM13+BL13&lt;=$FK$3),DM13,AND(DM13&gt;0,DM13+BL13&gt;$FK$3),0),0)
)</f>
        <v>0</v>
      </c>
      <c r="FP13" s="152" cm="1">
        <f t="array" ref="FP13">IF($C13="Production",
IFERROR(_xlfn.IFS(AND(DN13&gt;0,DN13+SUM(BL13:BM13)&lt;=$FM$3),DN13,AND(DN13&gt;0,DN13+SUM(BL13:BM13)&gt;$FM$3),$FM$3-SUM(BL13:BM13)),0),
IFERROR(_xlfn.IFS(AND(DN13&gt;0,DN13+BM13&lt;=$FK$3),DN13,AND(DN13&gt;0,DN13+BM13&gt;$FK$3),0),0)
)</f>
        <v>0</v>
      </c>
      <c r="FQ13" s="152" cm="1">
        <f t="array" ref="FQ13">IF($C13="Production",
IFERROR(_xlfn.IFS(AND(DO13&gt;0,DO13+SUM(BM13:BN13)&lt;=$FM$3),DO13,AND(DO13&gt;0,DO13+SUM(BM13:BN13)&gt;$FM$3),$FM$3-SUM(BM13:BN13)),0),
IFERROR(_xlfn.IFS(AND(DO13&gt;0,DO13+BN13&lt;=$FK$3),DO13,AND(DO13&gt;0,DO13+BN13&gt;$FK$3),0),0)
)</f>
        <v>0.25</v>
      </c>
      <c r="FR13" s="152" cm="1">
        <f t="array" ref="FR13">IF($C13="Production",
IFERROR(_xlfn.IFS(AND(DP13&gt;0,DP13+SUM(BN13:BO13)&lt;=$FM$3),DP13,AND(DP13&gt;0,DP13+SUM(BN13:BO13)&gt;$FM$3),$FM$3-SUM(BN13:BO13)),0),
IFERROR(_xlfn.IFS(AND(DP13&gt;0,DP13+BO13&lt;=$FK$3),DP13,AND(DP13&gt;0,DP13+BO13&gt;$FK$3),0),0)
)</f>
        <v>0</v>
      </c>
      <c r="FS13" s="152" cm="1">
        <f t="array" ref="FS13">IF($C13="Production",
IFERROR(_xlfn.IFS(AND(DQ13&gt;0,DQ13+SUM(BO13:BP13)&lt;=$FM$3),DQ13,AND(DQ13&gt;0,DQ13+SUM(BO13:BP13)&gt;$FM$3),$FM$3-SUM(BO13:BP13)),0),
IFERROR(_xlfn.IFS(AND(DQ13&gt;0,DQ13+BP13&lt;=$FK$3),DQ13,AND(DQ13&gt;0,DQ13+BP13&gt;$FK$3),0),0)
)</f>
        <v>0</v>
      </c>
      <c r="FT13" s="152" cm="1">
        <f t="array" ref="FT13">IF($C13="Production",
IFERROR(_xlfn.IFS(AND(DR13&gt;0,DR13+SUM(BP13:BQ13)&lt;=$FM$3),DR13,AND(DR13&gt;0,DR13+SUM(BP13:BQ13)&gt;$FM$3),$FM$3-SUM(BP13:BQ13)),0),
IFERROR(_xlfn.IFS(AND(DR13&gt;0,DR13+BQ13&lt;=$FK$3),DR13,AND(DR13&gt;0,DR13+BQ13&gt;$FK$3),0),0)
)</f>
        <v>0</v>
      </c>
      <c r="FU13" s="152" cm="1">
        <f t="array" ref="FU13">IF($C13="Production",
IFERROR(_xlfn.IFS(AND(DS13&gt;0,DS13+SUM(BQ13:BR13)&lt;=$FM$3),DS13,AND(DS13&gt;0,DS13+SUM(BQ13:BR13)&gt;$FM$3),$FM$3-SUM(BQ13:BR13)),0),
IFERROR(_xlfn.IFS(AND(DS13&gt;0,DS13+BR13&lt;=$FK$3),DS13,AND(DS13&gt;0,DS13+BR13&gt;$FK$3),0),0)
)</f>
        <v>0</v>
      </c>
      <c r="FV13" s="152" cm="1">
        <f t="array" ref="FV13">IF($C13="Production",
IFERROR(_xlfn.IFS(AND(DT13&gt;0,DT13+SUM(BR13:BS13)&lt;=$FM$3),DT13,AND(DT13&gt;0,DT13+SUM(BR13:BS13)&gt;$FM$3),$FM$3-SUM(BR13:BS13)),0),
IFERROR(_xlfn.IFS(AND(DT13&gt;0,DT13+BS13&lt;=$FK$3),DT13,AND(DT13&gt;0,DT13+BS13&gt;$FK$3),0),0)
)</f>
        <v>0</v>
      </c>
      <c r="FW13" s="152" cm="1">
        <f t="array" ref="FW13">IF($C13="Production",
IFERROR(_xlfn.IFS(AND(DU13&gt;0,DU13+SUM(BS13:BT13)&lt;=$FM$3),DU13,AND(DU13&gt;0,DU13+SUM(BS13:BT13)&gt;$FM$3),$FM$3-SUM(BS13:BT13)),0),
IFERROR(_xlfn.IFS(AND(DU13&gt;0,DU13+BT13&lt;=$FK$3),DU13,AND(DU13&gt;0,DU13+BT13&gt;$FK$3),0),0)
)</f>
        <v>0</v>
      </c>
      <c r="FX13" s="152" cm="1">
        <f t="array" ref="FX13">IF($C13="Production",
IFERROR(_xlfn.IFS(AND(DV13&gt;0,DV13+SUM(BT13:BU13)&lt;=$FM$3),DV13,AND(DV13&gt;0,DV13+SUM(BT13:BU13)&gt;$FM$3),$FM$3-SUM(BT13:BU13)),0),
IFERROR(_xlfn.IFS(AND(DV13&gt;0,DV13+BU13&lt;=$FK$3),DV13,AND(DV13&gt;0,DV13+BU13&gt;$FK$3),0),0)
)</f>
        <v>0</v>
      </c>
      <c r="FY13" s="152" cm="1">
        <f t="array" ref="FY13">IF($C13="Production",
IFERROR(_xlfn.IFS(AND(DW13&gt;0,DW13+SUM(BU13:BV13)&lt;=$FM$3),DW13,AND(DW13&gt;0,DW13+SUM(BU13:BV13)&gt;$FM$3),$FM$3-SUM(BU13:BV13)),0),
IFERROR(_xlfn.IFS(AND(DW13&gt;0,DW13+BV13&lt;=$FK$3),DW13,AND(DW13&gt;0,DW13+BV13&gt;$FK$3),0),0)
)</f>
        <v>0</v>
      </c>
      <c r="FZ13" s="152" cm="1">
        <f t="array" ref="FZ13">IF($C13="Production",
IFERROR(_xlfn.IFS(AND(DX13&gt;0,DX13+SUM(BV13:BW13)&lt;=$FM$3),DX13,AND(DX13&gt;0,DX13+SUM(BV13:BW13)&gt;$FM$3),$FM$3-SUM(BV13:BW13)),0),
IFERROR(_xlfn.IFS(AND(DX13&gt;0,DX13+BW13&lt;=$FK$3),DX13,AND(DX13&gt;0,DX13+BW13&gt;$FK$3),0),0)
)</f>
        <v>0</v>
      </c>
      <c r="GA13" s="152" cm="1">
        <f t="array" ref="GA13">IF($C13="Production",
IFERROR(_xlfn.IFS(AND(DY13&gt;0,DY13+SUM(BW13:BX13)&lt;=$FM$3),DY13,AND(DY13&gt;0,DY13+SUM(BW13:BX13)&gt;$FM$3),$FM$3-SUM(BW13:BX13)),0),
IFERROR(_xlfn.IFS(AND(DY13&gt;0,DY13+BX13&lt;=$FK$3),DY13,AND(DY13&gt;0,DY13+BX13&gt;$FK$3),0),0)
)</f>
        <v>0</v>
      </c>
      <c r="GB13" s="152" cm="1">
        <f t="array" ref="GB13">IF($C13="Production",
IFERROR(_xlfn.IFS(AND(DZ13&gt;0,DZ13+SUM(BX13:BY13)&lt;=$FM$3),DZ13,AND(DZ13&gt;0,DZ13+SUM(BX13:BY13)&gt;$FM$3),$FM$3-SUM(BX13:BY13)),0),
IFERROR(_xlfn.IFS(AND(DZ13&gt;0,DZ13+BY13&lt;=$FK$3),DZ13,AND(DZ13&gt;0,DZ13+BY13&gt;$FK$3),0),0)
)</f>
        <v>0</v>
      </c>
      <c r="GC13" s="152" cm="1">
        <f t="array" ref="GC13">IF($C13="Production",
IFERROR(_xlfn.IFS(AND(EA13&gt;0,EA13+SUM(BY13:BZ13)&lt;=$FM$3),EA13,AND(EA13&gt;0,EA13+SUM(BY13:BZ13)&gt;$FM$3),$FM$3-SUM(BY13:BZ13)),0),
IFERROR(_xlfn.IFS(AND(EA13&gt;0,EA13+BZ13&lt;=$FK$3),EA13,AND(EA13&gt;0,EA13+BZ13&gt;$FK$3),0),0)
)</f>
        <v>0</v>
      </c>
      <c r="GD13" s="152" cm="1">
        <f t="array" ref="GD13">IF($C13="Production",
IFERROR(_xlfn.IFS(AND(EB13&gt;0,EB13+SUM(BZ13:CA13)&lt;=$FM$3),EB13,AND(EB13&gt;0,EB13+SUM(BZ13:CA13)&gt;$FM$3),$FM$3-SUM(BZ13:CA13)),0),
IFERROR(_xlfn.IFS(AND(EB13&gt;0,EB13+CA13&lt;=$FK$3),EB13,AND(EB13&gt;0,EB13+CA13&gt;$FK$3),0),0)
)</f>
        <v>0</v>
      </c>
      <c r="GE13" s="152" cm="1">
        <f t="array" ref="GE13">IF($C13="Production",
IFERROR(_xlfn.IFS(AND(EC13&gt;0,EC13+SUM(CA13:CB13)&lt;=$FM$3),EC13,AND(EC13&gt;0,EC13+SUM(CA13:CB13)&gt;$FM$3),$FM$3-SUM(CA13:CB13)),0),
IFERROR(_xlfn.IFS(AND(EC13&gt;0,EC13+CB13&lt;=$FK$3),EC13,AND(EC13&gt;0,EC13+CB13&gt;$FK$3),0),0)
)</f>
        <v>0</v>
      </c>
      <c r="GF13" s="152" cm="1">
        <f t="array" ref="GF13">IF($C13="Production",
IFERROR(_xlfn.IFS(AND(ED13&gt;0,ED13+SUM(CB13:CC13)&lt;=$FM$3),ED13,AND(ED13&gt;0,ED13+SUM(CB13:CC13)&gt;$FM$3),$FM$3-SUM(CB13:CC13)),0),
IFERROR(_xlfn.IFS(AND(ED13&gt;0,ED13+CC13&lt;=$FK$3),ED13,AND(ED13&gt;0,ED13+CC13&gt;$FK$3),0),0)
)</f>
        <v>0</v>
      </c>
      <c r="GG13" s="152" cm="1">
        <f t="array" ref="GG13">IF($C13="Production",
IFERROR(_xlfn.IFS(AND(EE13&gt;0,EE13+SUM(CC13:CD13)&lt;=$FM$3),EE13,AND(EE13&gt;0,EE13+SUM(CC13:CD13)&gt;$FM$3),$FM$3-SUM(CC13:CD13)),0),
IFERROR(_xlfn.IFS(AND(EE13&gt;0,EE13+CD13&lt;=$FK$3),EE13,AND(EE13&gt;0,EE13+CD13&gt;$FK$3),0),0)
)</f>
        <v>0</v>
      </c>
      <c r="GH13" s="152" cm="1">
        <f t="array" ref="GH13">IF($C13="Production",
IFERROR(_xlfn.IFS(AND(EF13&gt;0,EF13+SUM(CD13:CE13)&lt;=$FM$3),EF13,AND(EF13&gt;0,EF13+SUM(CD13:CE13)&gt;$FM$3),$FM$3-SUM(CD13:CE13)),0),
IFERROR(_xlfn.IFS(AND(EF13&gt;0,EF13+CE13&lt;=$FK$3),EF13,AND(EF13&gt;0,EF13+CE13&gt;$FK$3),0),0)
)</f>
        <v>0</v>
      </c>
      <c r="GI13" s="152" cm="1">
        <f t="array" ref="GI13">IF($C13="Production",
IFERROR(_xlfn.IFS(AND(EG13&gt;0,EG13+SUM(CE13:CF13)&lt;=$FM$3),EG13,AND(EG13&gt;0,EG13+SUM(CE13:CF13)&gt;$FM$3),$FM$3-SUM(CE13:CF13)),0),
IFERROR(_xlfn.IFS(AND(EG13&gt;0,EG13+CF13&lt;=$FK$3),EG13,AND(EG13&gt;0,EG13+CF13&gt;$FK$3),0),0)
)</f>
        <v>0</v>
      </c>
      <c r="GJ13" s="152" cm="1">
        <f t="array" ref="GJ13">IF($C13="Production",
IFERROR(_xlfn.IFS(AND(EH13&gt;0,EH13+SUM(CF13:CG13)&lt;=$FM$3),EH13,AND(EH13&gt;0,EH13+SUM(CF13:CG13)&gt;$FM$3),$FM$3-SUM(CF13:CG13)),0),
IFERROR(_xlfn.IFS(AND(EH13&gt;0,EH13+CG13&lt;=$FK$3),EH13,AND(EH13&gt;0,EH13+CG13&gt;$FK$3),0),0)
)</f>
        <v>0</v>
      </c>
      <c r="GK13" s="152" cm="1">
        <f t="array" ref="GK13">IF($C13="Production",
IFERROR(_xlfn.IFS(AND(EI13&gt;0,EI13+SUM(CG13:CH13)&lt;=$FM$3),EI13,AND(EI13&gt;0,EI13+SUM(CG13:CH13)&gt;$FM$3),$FM$3-SUM(CG13:CH13)),0),
IFERROR(_xlfn.IFS(AND(EI13&gt;0,EI13+CH13&lt;=$FK$3),EI13,AND(EI13&gt;0,EI13+CH13&gt;$FK$3),0),0)
)</f>
        <v>0</v>
      </c>
      <c r="GL13" s="152" cm="1">
        <f t="array" ref="GL13">IF($C13="Production",
IFERROR(_xlfn.IFS(AND(EJ13&gt;0,EJ13+SUM(CH13:CI13)&lt;=$FM$3),EJ13,AND(EJ13&gt;0,EJ13+SUM(CH13:CI13)&gt;$FM$3),$FM$3-SUM(CH13:CI13)),0),
IFERROR(_xlfn.IFS(AND(EJ13&gt;0,EJ13+CI13&lt;=$FK$3),EJ13,AND(EJ13&gt;0,EJ13+CI13&gt;$FK$3),0),0)
)</f>
        <v>0</v>
      </c>
      <c r="GM13" s="152" cm="1">
        <f t="array" ref="GM13">IF($C13="Production",
IFERROR(_xlfn.IFS(AND(EK13&gt;0,EK13+SUM(CI13:CJ13)&lt;=$FM$3),EK13,AND(EK13&gt;0,EK13+SUM(CI13:CJ13)&gt;$FM$3),$FM$3-SUM(CI13:CJ13)),0),
IFERROR(_xlfn.IFS(AND(EK13&gt;0,EK13+CJ13&lt;=$FK$3),EK13,AND(EK13&gt;0,EK13+CJ13&gt;$FK$3),0),0)
)</f>
        <v>0</v>
      </c>
      <c r="GN13" s="152" cm="1">
        <f t="array" ref="GN13">IF($C13="Production",
IFERROR(_xlfn.IFS(AND(EL13&gt;0,EL13+SUM(CJ13:CK13)&lt;=$FM$3),EL13,AND(EL13&gt;0,EL13+SUM(CJ13:CK13)&gt;$FM$3),$FM$3-SUM(CJ13:CK13)),0),
IFERROR(_xlfn.IFS(AND(EL13&gt;0,EL13+CK13&lt;=$FK$3),EL13,AND(EL13&gt;0,EL13+CK13&gt;$FK$3),0),0)
)</f>
        <v>0</v>
      </c>
      <c r="GO13" s="152" cm="1">
        <f t="array" ref="GO13">IF($C13="Production",
IFERROR(_xlfn.IFS(AND(EM13&gt;0,EM13+SUM(CK13:CL13)&lt;=$FM$3),EM13,AND(EM13&gt;0,EM13+SUM(CK13:CL13)&gt;$FM$3),$FM$3-SUM(CK13:CL13)),0),
IFERROR(_xlfn.IFS(AND(EM13&gt;0,EM13+CL13&lt;=$FK$3),EM13,AND(EM13&gt;0,EM13+CL13&gt;$FK$3),0),0)
)</f>
        <v>0</v>
      </c>
      <c r="GP13" s="152" cm="1">
        <f t="array" ref="GP13">IF($C13="Production",
IFERROR(_xlfn.IFS(AND(EN13&gt;0,EN13+SUM(CL13:CM13)&lt;=$FM$3),EN13,AND(EN13&gt;0,EN13+SUM(CL13:CM13)&gt;$FM$3),$FM$3-SUM(CL13:CM13)),0),
IFERROR(_xlfn.IFS(AND(EN13&gt;0,EN13+CM13&lt;=$FK$3),EN13,AND(EN13&gt;0,EN13+CM13&gt;$FK$3),0),0)
)</f>
        <v>0</v>
      </c>
      <c r="GQ13" s="152" cm="1">
        <f t="array" ref="GQ13">IF($C13="Production",
IFERROR(_xlfn.IFS(AND(EO13&gt;0,EO13+SUM(CM13:CN13)&lt;=$FM$3),EO13,AND(EO13&gt;0,EO13+SUM(CM13:CN13)&gt;$FM$3),$FM$3-SUM(CM13:CN13)),0),
IFERROR(_xlfn.IFS(AND(EO13&gt;0,EO13+CN13&lt;=$FK$3),EO13,AND(EO13&gt;0,EO13+CN13&gt;$FK$3),0),0)
)</f>
        <v>0</v>
      </c>
      <c r="GR13" s="152" cm="1">
        <f t="array" ref="GR13">IF($C13="Production",
IFERROR(_xlfn.IFS(AND(EP13&gt;0,EP13+SUM(CN13:CO13)&lt;=$FM$3),EP13,AND(EP13&gt;0,EP13+SUM(CN13:CO13)&gt;$FM$3),$FM$3-SUM(CN13:CO13)),0),
IFERROR(_xlfn.IFS(AND(EP13&gt;0,EP13+CO13&lt;=$FK$3),EP13,AND(EP13&gt;0,EP13+CO13&gt;$FK$3),0),0)
)</f>
        <v>0</v>
      </c>
      <c r="GS13" s="152" cm="1">
        <f t="array" ref="GS13">IF($C13="Production",
IFERROR(_xlfn.IFS(AND(EQ13&gt;0,EQ13+SUM(CO13:CP13)&lt;=$FM$3),EQ13,AND(EQ13&gt;0,EQ13+SUM(CO13:CP13)&gt;$FM$3),$FM$3-SUM(CO13:CP13)),0),
IFERROR(_xlfn.IFS(AND(EQ13&gt;0,EQ13+CP13&lt;=$FK$3),EQ13,AND(EQ13&gt;0,EQ13+CP13&gt;$FK$3),0),0)
)</f>
        <v>0</v>
      </c>
      <c r="GT13" s="152" cm="1">
        <f t="array" ref="GT13">IF($C13="Production",
IFERROR(_xlfn.IFS(AND(ER13&gt;0,ER13+SUM(CP13:CQ13)&lt;=$FM$3),ER13,AND(ER13&gt;0,ER13+SUM(CP13:CQ13)&gt;$FM$3),$FM$3-SUM(CP13:CQ13)),0),
IFERROR(_xlfn.IFS(AND(ER13&gt;0,ER13+CQ13&lt;=$FK$3),ER13,AND(ER13&gt;0,ER13+CQ13&gt;$FK$3),0),0)
)</f>
        <v>0</v>
      </c>
      <c r="GU13" s="152" cm="1">
        <f t="array" ref="GU13">IF($C13="Production",
IFERROR(_xlfn.IFS(AND(ES13&gt;0,ES13+SUM(CQ13:CR13)&lt;=$FM$3),ES13,AND(ES13&gt;0,ES13+SUM(CQ13:CR13)&gt;$FM$3),$FM$3-SUM(CQ13:CR13)),0),
IFERROR(_xlfn.IFS(AND(ES13&gt;0,ES13+CR13&lt;=$FK$3),ES13,AND(ES13&gt;0,ES13+CR13&gt;$FK$3),0),0)
)</f>
        <v>0</v>
      </c>
      <c r="GV13" s="152" cm="1">
        <f t="array" ref="GV13">IF($C13="Production",
IFERROR(_xlfn.IFS(AND(ET13&gt;0,ET13+SUM(CR13:CS13)&lt;=$FM$3),ET13,AND(ET13&gt;0,ET13+SUM(CR13:CS13)&gt;$FM$3),$FM$3-SUM(CR13:CS13)),0),
IFERROR(_xlfn.IFS(AND(ET13&gt;0,ET13+CS13&lt;=$FK$3),ET13,AND(ET13&gt;0,ET13+CS13&gt;$FK$3),0),0)
)</f>
        <v>0</v>
      </c>
      <c r="GW13" s="152" cm="1">
        <f t="array" ref="GW13">IF($C13="Production",
IFERROR(_xlfn.IFS(AND(EU13&gt;0,EU13+SUM(CS13:CT13)&lt;=$FM$3),EU13,AND(EU13&gt;0,EU13+SUM(CS13:CT13)&gt;$FM$3),$FM$3-SUM(CS13:CT13)),0),
IFERROR(_xlfn.IFS(AND(EU13&gt;0,EU13+CT13&lt;=$FK$3),EU13,AND(EU13&gt;0,EU13+CT13&gt;$FK$3),0),0)
)</f>
        <v>0</v>
      </c>
      <c r="GX13" s="152" cm="1">
        <f t="array" ref="GX13">IF($C13="Production",
IFERROR(_xlfn.IFS(AND(EV13&gt;0,EV13+SUM(CT13:CU13)&lt;=$FM$3),EV13,AND(EV13&gt;0,EV13+SUM(CT13:CU13)&gt;$FM$3),$FM$3-SUM(CT13:CU13)),0),
IFERROR(_xlfn.IFS(AND(EV13&gt;0,EV13+CU13&lt;=$FK$3),EV13,AND(EV13&gt;0,EV13+CU13&gt;$FK$3),0),0)
)</f>
        <v>0</v>
      </c>
      <c r="GY13" s="152" cm="1">
        <f t="array" ref="GY13">IF($C13="Production",
IFERROR(_xlfn.IFS(AND(EW13&gt;0,EW13+SUM(CU13:CV13)&lt;=$FM$3),EW13,AND(EW13&gt;0,EW13+SUM(CU13:CV13)&gt;$FM$3),$FM$3-SUM(CU13:CV13)),0),
IFERROR(_xlfn.IFS(AND(EW13&gt;0,EW13+CV13&lt;=$FK$3),EW13,AND(EW13&gt;0,EW13+CV13&gt;$FK$3),0),0)
)</f>
        <v>0</v>
      </c>
      <c r="GZ13" s="152" cm="1">
        <f t="array" ref="GZ13">IF($C13="Production",
IFERROR(_xlfn.IFS(AND(EX13&gt;0,EX13+SUM(CV13:CW13)&lt;=$FM$3),EX13,AND(EX13&gt;0,EX13+SUM(CV13:CW13)&gt;$FM$3),$FM$3-SUM(CV13:CW13)),0),
IFERROR(_xlfn.IFS(AND(EX13&gt;0,EX13+CW13&lt;=$FK$3),EX13,AND(EX13&gt;0,EX13+CW13&gt;$FK$3),0),0)
)</f>
        <v>0</v>
      </c>
      <c r="HA13" s="152" cm="1">
        <f t="array" ref="HA13">IF($C13="Production",
IFERROR(_xlfn.IFS(AND(EY13&gt;0,EY13+SUM(CW13:CX13)&lt;=$FM$3),EY13,AND(EY13&gt;0,EY13+SUM(CW13:CX13)&gt;$FM$3),$FM$3-SUM(CW13:CX13)),0),
IFERROR(_xlfn.IFS(AND(EY13&gt;0,EY13+CX13&lt;=$FK$3),EY13,AND(EY13&gt;0,EY13+CX13&gt;$FK$3),0),0)
)</f>
        <v>0</v>
      </c>
      <c r="HB13" s="152" cm="1">
        <f t="array" ref="HB13">IF($C13="Production",
IFERROR(_xlfn.IFS(AND(EZ13&gt;0,EZ13+SUM(CX13:CY13)&lt;=$FM$3),EZ13,AND(EZ13&gt;0,EZ13+SUM(CX13:CY13)&gt;$FM$3),$FM$3-SUM(CX13:CY13)),0),
IFERROR(_xlfn.IFS(AND(EZ13&gt;0,EZ13+CY13&lt;=$FK$3),EZ13,AND(EZ13&gt;0,EZ13+CY13&gt;$FK$3),0),0)
)</f>
        <v>0</v>
      </c>
      <c r="HC13" s="152" cm="1">
        <f t="array" ref="HC13">IF($C13="Production",
IFERROR(_xlfn.IFS(AND(FA13&gt;0,FA13+SUM(CY13:CZ13)&lt;=$FM$3),FA13,AND(FA13&gt;0,FA13+SUM(CY13:CZ13)&gt;$FM$3),$FM$3-SUM(CY13:CZ13)),0),
IFERROR(_xlfn.IFS(AND(FA13&gt;0,FA13+CZ13&lt;=$FK$3),FA13,AND(FA13&gt;0,FA13+CZ13&gt;$FK$3),0),0)
)</f>
        <v>0</v>
      </c>
      <c r="HD13" s="152" cm="1">
        <f t="array" ref="HD13">IF($C13="Production",
IFERROR(_xlfn.IFS(AND(FB13&gt;0,FB13+SUM(CZ13:DA13)&lt;=$FM$3),FB13,AND(FB13&gt;0,FB13+SUM(CZ13:DA13)&gt;$FM$3),$FM$3-SUM(CZ13:DA13)),0),
IFERROR(_xlfn.IFS(AND(FB13&gt;0,FB13+DA13&lt;=$FK$3),FB13,AND(FB13&gt;0,FB13+DA13&gt;$FK$3),0),0)
)</f>
        <v>0</v>
      </c>
      <c r="HE13" s="152" cm="1">
        <f t="array" ref="HE13">IF($C13="Production",
IFERROR(_xlfn.IFS(AND(FC13&gt;0,FC13+SUM(DA13:DB13)&lt;=$FM$3),FC13,AND(FC13&gt;0,FC13+SUM(DA13:DB13)&gt;$FM$3),$FM$3-SUM(DA13:DB13)),0),
IFERROR(_xlfn.IFS(AND(FC13&gt;0,FC13+DB13&lt;=$FK$3),FC13,AND(FC13&gt;0,FC13+DB13&gt;$FK$3),0),0)
)</f>
        <v>0</v>
      </c>
      <c r="HF13" s="152" cm="1">
        <f t="array" ref="HF13">IF($C13="Production",
IFERROR(_xlfn.IFS(AND(FD13&gt;0,FD13+SUM(DB13:DC13)&lt;=$FM$3),FD13,AND(FD13&gt;0,FD13+SUM(DB13:DC13)&gt;$FM$3),$FM$3-SUM(DB13:DC13)),0),
IFERROR(_xlfn.IFS(AND(FD13&gt;0,FD13+DC13&lt;=$FK$3),FD13,AND(FD13&gt;0,FD13+DC13&gt;$FK$3),0),0)
)</f>
        <v>0</v>
      </c>
      <c r="HG13" s="152" cm="1">
        <f t="array" ref="HG13">IF($C13="Production",
IFERROR(_xlfn.IFS(AND(FE13&gt;0,FE13+SUM(DC13:DD13)&lt;=$FM$3),FE13,AND(FE13&gt;0,FE13+SUM(DC13:DD13)&gt;$FM$3),$FM$3-SUM(DC13:DD13)),0),
IFERROR(_xlfn.IFS(AND(FE13&gt;0,FE13+DD13&lt;=$FK$3),FE13,AND(FE13&gt;0,FE13+DD13&gt;$FK$3),0),0)
)</f>
        <v>0</v>
      </c>
      <c r="HH13" s="152" cm="1">
        <f t="array" ref="HH13">IF($C13="Production",
IFERROR(_xlfn.IFS(AND(FF13&gt;0,FF13+SUM(DD13:DE13)&lt;=$FM$3),FF13,AND(FF13&gt;0,FF13+SUM(DD13:DE13)&gt;$FM$3),$FM$3-SUM(DD13:DE13)),0),
IFERROR(_xlfn.IFS(AND(FF13&gt;0,FF13+DE13&lt;=$FK$3),FF13,AND(FF13&gt;0,FF13+DE13&gt;$FK$3),0),0)
)</f>
        <v>0</v>
      </c>
      <c r="HI13" s="156" cm="1">
        <f t="array" ref="HI13">IF($C13="Production",
IFERROR(_xlfn.IFS(AND(FG13&gt;0,FG13+SUM(DE13:DF13)&lt;=$FM$3),FG13,AND(FG13&gt;0,FG13+SUM(DE13:DF13)&gt;$FM$3),$FM$3-SUM(DE13:DF13)),0),
IFERROR(_xlfn.IFS(AND(FG13&gt;0,FG13+DF13&lt;=$FK$3),FG13,AND(FG13&gt;0,FG13+DF13&gt;$FK$3),0),0)
)</f>
        <v>0</v>
      </c>
      <c r="HJ13" s="113">
        <f t="shared" si="110"/>
        <v>4.25</v>
      </c>
      <c r="HK13" s="80"/>
      <c r="HL13" s="112">
        <f t="shared" si="56"/>
        <v>0</v>
      </c>
      <c r="HM13" s="138">
        <f t="shared" si="57"/>
        <v>0</v>
      </c>
      <c r="HN13" s="138">
        <f t="shared" si="58"/>
        <v>0</v>
      </c>
      <c r="HO13" s="138">
        <f t="shared" si="59"/>
        <v>0</v>
      </c>
      <c r="HP13" s="138">
        <f t="shared" si="60"/>
        <v>0</v>
      </c>
      <c r="HQ13" s="138">
        <f t="shared" si="61"/>
        <v>0</v>
      </c>
      <c r="HR13" s="138">
        <f t="shared" si="62"/>
        <v>0</v>
      </c>
      <c r="HS13" s="138">
        <f t="shared" si="63"/>
        <v>0</v>
      </c>
      <c r="HT13" s="138">
        <f t="shared" si="64"/>
        <v>0</v>
      </c>
      <c r="HU13" s="138">
        <f t="shared" si="65"/>
        <v>0</v>
      </c>
      <c r="HV13" s="138">
        <f t="shared" si="66"/>
        <v>0</v>
      </c>
      <c r="HW13" s="138">
        <f t="shared" si="67"/>
        <v>0</v>
      </c>
      <c r="HX13" s="138">
        <f t="shared" si="68"/>
        <v>0</v>
      </c>
      <c r="HY13" s="138">
        <f t="shared" si="69"/>
        <v>0</v>
      </c>
      <c r="HZ13" s="138">
        <f t="shared" si="70"/>
        <v>0</v>
      </c>
      <c r="IA13" s="138">
        <f t="shared" si="71"/>
        <v>0</v>
      </c>
      <c r="IB13" s="138">
        <f t="shared" si="72"/>
        <v>0</v>
      </c>
      <c r="IC13" s="138">
        <f t="shared" si="73"/>
        <v>0</v>
      </c>
      <c r="ID13" s="138">
        <f t="shared" si="74"/>
        <v>0</v>
      </c>
      <c r="IE13" s="138">
        <f t="shared" si="75"/>
        <v>0</v>
      </c>
      <c r="IF13" s="138">
        <f t="shared" si="76"/>
        <v>0</v>
      </c>
      <c r="IG13" s="138">
        <f t="shared" si="77"/>
        <v>0</v>
      </c>
      <c r="IH13" s="138">
        <f t="shared" si="78"/>
        <v>0</v>
      </c>
      <c r="II13" s="138">
        <f t="shared" si="79"/>
        <v>0</v>
      </c>
      <c r="IJ13" s="138">
        <f t="shared" si="80"/>
        <v>0</v>
      </c>
      <c r="IK13" s="138">
        <f t="shared" si="81"/>
        <v>0</v>
      </c>
      <c r="IL13" s="138">
        <f t="shared" si="82"/>
        <v>0</v>
      </c>
      <c r="IM13" s="138">
        <f t="shared" si="83"/>
        <v>0</v>
      </c>
      <c r="IN13" s="138">
        <f t="shared" si="84"/>
        <v>0</v>
      </c>
      <c r="IO13" s="138">
        <f t="shared" si="85"/>
        <v>0</v>
      </c>
      <c r="IP13" s="138">
        <f t="shared" si="86"/>
        <v>0</v>
      </c>
      <c r="IQ13" s="138">
        <f t="shared" si="87"/>
        <v>0</v>
      </c>
      <c r="IR13" s="138">
        <f t="shared" si="88"/>
        <v>0</v>
      </c>
      <c r="IS13" s="138">
        <f t="shared" si="89"/>
        <v>0</v>
      </c>
      <c r="IT13" s="138">
        <f t="shared" si="90"/>
        <v>0</v>
      </c>
      <c r="IU13" s="138">
        <f t="shared" si="91"/>
        <v>0</v>
      </c>
      <c r="IV13" s="138">
        <f t="shared" si="92"/>
        <v>0</v>
      </c>
      <c r="IW13" s="138">
        <f t="shared" si="93"/>
        <v>0</v>
      </c>
      <c r="IX13" s="138">
        <f t="shared" si="94"/>
        <v>0</v>
      </c>
      <c r="IY13" s="138">
        <f t="shared" si="95"/>
        <v>0</v>
      </c>
      <c r="IZ13" s="138">
        <f t="shared" si="96"/>
        <v>0</v>
      </c>
      <c r="JA13" s="138">
        <f t="shared" si="97"/>
        <v>0</v>
      </c>
      <c r="JB13" s="138">
        <f t="shared" si="98"/>
        <v>0</v>
      </c>
      <c r="JC13" s="138">
        <f t="shared" si="99"/>
        <v>0</v>
      </c>
      <c r="JD13" s="138">
        <f t="shared" si="100"/>
        <v>0</v>
      </c>
      <c r="JE13" s="138">
        <f t="shared" si="101"/>
        <v>0</v>
      </c>
      <c r="JF13" s="138">
        <f t="shared" si="102"/>
        <v>0</v>
      </c>
      <c r="JG13" s="138">
        <f t="shared" si="103"/>
        <v>0</v>
      </c>
      <c r="JH13" s="138">
        <f t="shared" si="104"/>
        <v>0</v>
      </c>
      <c r="JI13" s="138">
        <f t="shared" si="105"/>
        <v>0</v>
      </c>
      <c r="JJ13" s="138">
        <f t="shared" si="106"/>
        <v>0</v>
      </c>
      <c r="JK13" s="138">
        <f t="shared" si="107"/>
        <v>0</v>
      </c>
      <c r="JL13" s="118">
        <f t="shared" si="111"/>
        <v>0</v>
      </c>
      <c r="JO13" s="90">
        <f t="shared" si="112"/>
        <v>4.25</v>
      </c>
      <c r="JP13" s="79">
        <f t="shared" si="108"/>
        <v>0</v>
      </c>
      <c r="JQ13" s="91">
        <f t="shared" si="2"/>
        <v>5.3125</v>
      </c>
      <c r="JS13" s="123">
        <f t="shared" si="109"/>
        <v>-3.75</v>
      </c>
      <c r="JU13" s="123">
        <f t="shared" si="113"/>
        <v>1.5625</v>
      </c>
    </row>
    <row r="14" spans="2:281" x14ac:dyDescent="0.15">
      <c r="B14" s="82" t="str">
        <f>'MODU 2025'!B17</f>
        <v xml:space="preserve">CANU Jason </v>
      </c>
      <c r="C14" s="82" t="str">
        <f>'MODU 2025'!C17</f>
        <v>Production</v>
      </c>
      <c r="D14" s="82">
        <f>'MODU 2025'!D17</f>
        <v>37</v>
      </c>
      <c r="E14" s="82"/>
      <c r="F14" s="133">
        <f>'MODU 2025'!G17</f>
        <v>33</v>
      </c>
      <c r="G14" s="140">
        <f>'MODU 2025'!H17</f>
        <v>41</v>
      </c>
      <c r="H14" s="140">
        <f>'MODU 2025'!I17</f>
        <v>33</v>
      </c>
      <c r="I14" s="140">
        <f>'MODU 2025'!J17</f>
        <v>41</v>
      </c>
      <c r="J14" s="140">
        <f>'MODU 2025'!K17</f>
        <v>33</v>
      </c>
      <c r="K14" s="140">
        <f>'MODU 2025'!L17</f>
        <v>32.75</v>
      </c>
      <c r="L14" s="140">
        <f>'MODU 2025'!M17</f>
        <v>37.5</v>
      </c>
      <c r="M14" s="140">
        <f>'MODU 2025'!N17</f>
        <v>41</v>
      </c>
      <c r="N14" s="140">
        <f>'MODU 2025'!O17</f>
        <v>37.5</v>
      </c>
      <c r="O14" s="140">
        <f>'MODU 2025'!P17</f>
        <v>41.25</v>
      </c>
      <c r="P14" s="140">
        <f>'MODU 2025'!Q17</f>
        <v>33</v>
      </c>
      <c r="Q14" s="140">
        <f>'MODU 2025'!R17</f>
        <v>41</v>
      </c>
      <c r="R14" s="140">
        <f>'MODU 2025'!S17</f>
        <v>33</v>
      </c>
      <c r="S14" s="140">
        <f>'MODU 2025'!T17</f>
        <v>41</v>
      </c>
      <c r="T14" s="140">
        <f>'MODU 2025'!U17</f>
        <v>33</v>
      </c>
      <c r="U14" s="140">
        <f>'MODU 2025'!V17</f>
        <v>41</v>
      </c>
      <c r="V14" s="140">
        <f>'MODU 2025'!W17</f>
        <v>33</v>
      </c>
      <c r="W14" s="140">
        <f>'MODU 2025'!X17</f>
        <v>41</v>
      </c>
      <c r="X14" s="140">
        <f>'MODU 2025'!Y17</f>
        <v>33</v>
      </c>
      <c r="Y14" s="140">
        <f>'MODU 2025'!Z17</f>
        <v>41</v>
      </c>
      <c r="Z14" s="140">
        <f>'MODU 2025'!AA17</f>
        <v>33</v>
      </c>
      <c r="AA14" s="140">
        <f>'MODU 2025'!AB17</f>
        <v>41</v>
      </c>
      <c r="AB14" s="140">
        <f>'MODU 2025'!AC17</f>
        <v>33</v>
      </c>
      <c r="AC14" s="140">
        <f>'MODU 2025'!AD17</f>
        <v>41</v>
      </c>
      <c r="AD14" s="140">
        <f>'MODU 2025'!AE17</f>
        <v>33</v>
      </c>
      <c r="AE14" s="140">
        <f>'MODU 2025'!AF17</f>
        <v>41</v>
      </c>
      <c r="AF14" s="140">
        <f>'MODU 2025'!AG17</f>
        <v>33</v>
      </c>
      <c r="AG14" s="140">
        <f>'MODU 2025'!AH17</f>
        <v>41</v>
      </c>
      <c r="AH14" s="140">
        <f>'MODU 2025'!AI17</f>
        <v>33</v>
      </c>
      <c r="AI14" s="140">
        <f>'MODU 2025'!AJ17</f>
        <v>41</v>
      </c>
      <c r="AJ14" s="140">
        <f>'MODU 2025'!AK17</f>
        <v>33</v>
      </c>
      <c r="AK14" s="140">
        <f>'MODU 2025'!AL17</f>
        <v>41</v>
      </c>
      <c r="AL14" s="140">
        <f>'MODU 2025'!AM17</f>
        <v>33</v>
      </c>
      <c r="AM14" s="140">
        <f>'MODU 2025'!AN17</f>
        <v>41</v>
      </c>
      <c r="AN14" s="140">
        <f>'MODU 2025'!AO17</f>
        <v>33</v>
      </c>
      <c r="AO14" s="140">
        <f>'MODU 2025'!AP17</f>
        <v>41</v>
      </c>
      <c r="AP14" s="140">
        <f>'MODU 2025'!AQ17</f>
        <v>33</v>
      </c>
      <c r="AQ14" s="140">
        <f>'MODU 2025'!AR17</f>
        <v>41</v>
      </c>
      <c r="AR14" s="140">
        <f>'MODU 2025'!AS17</f>
        <v>33</v>
      </c>
      <c r="AS14" s="140">
        <f>'MODU 2025'!AT17</f>
        <v>41</v>
      </c>
      <c r="AT14" s="140">
        <f>'MODU 2025'!AU17</f>
        <v>33</v>
      </c>
      <c r="AU14" s="140">
        <f>'MODU 2025'!AV17</f>
        <v>41</v>
      </c>
      <c r="AV14" s="140">
        <f>'MODU 2025'!AW17</f>
        <v>33</v>
      </c>
      <c r="AW14" s="140">
        <f>'MODU 2025'!AX17</f>
        <v>41</v>
      </c>
      <c r="AX14" s="140">
        <f>'MODU 2025'!AY17</f>
        <v>33</v>
      </c>
      <c r="AY14" s="140">
        <f>'MODU 2025'!AZ17</f>
        <v>41</v>
      </c>
      <c r="AZ14" s="140">
        <f>'MODU 2025'!BA17</f>
        <v>33</v>
      </c>
      <c r="BA14" s="140">
        <f>'MODU 2025'!BB17</f>
        <v>41</v>
      </c>
      <c r="BB14" s="140">
        <f>'MODU 2025'!BC17</f>
        <v>33</v>
      </c>
      <c r="BC14" s="140">
        <f>'MODU 2025'!BD17</f>
        <v>41</v>
      </c>
      <c r="BD14" s="140">
        <f>'MODU 2025'!BE17</f>
        <v>33</v>
      </c>
      <c r="BE14" s="134">
        <f>'MODU 2025'!BF17</f>
        <v>41</v>
      </c>
      <c r="BF14" s="82"/>
      <c r="BG14" s="107">
        <v>33</v>
      </c>
      <c r="BH14" s="145">
        <v>41</v>
      </c>
      <c r="BI14" s="145">
        <v>33</v>
      </c>
      <c r="BJ14" s="145">
        <v>41</v>
      </c>
      <c r="BK14" s="145">
        <v>33</v>
      </c>
      <c r="BL14" s="145">
        <v>41</v>
      </c>
      <c r="BM14" s="145">
        <v>33</v>
      </c>
      <c r="BN14" s="145">
        <v>41</v>
      </c>
      <c r="BO14" s="145">
        <v>33</v>
      </c>
      <c r="BP14" s="145">
        <v>41</v>
      </c>
      <c r="BQ14" s="145">
        <v>33</v>
      </c>
      <c r="BR14" s="145">
        <v>41</v>
      </c>
      <c r="BS14" s="145">
        <v>33</v>
      </c>
      <c r="BT14" s="145">
        <v>41</v>
      </c>
      <c r="BU14" s="145">
        <v>33</v>
      </c>
      <c r="BV14" s="145">
        <v>41</v>
      </c>
      <c r="BW14" s="145">
        <v>33</v>
      </c>
      <c r="BX14" s="145">
        <v>41</v>
      </c>
      <c r="BY14" s="145">
        <v>33</v>
      </c>
      <c r="BZ14" s="145">
        <v>41</v>
      </c>
      <c r="CA14" s="145">
        <v>33</v>
      </c>
      <c r="CB14" s="145">
        <v>41</v>
      </c>
      <c r="CC14" s="145">
        <v>33</v>
      </c>
      <c r="CD14" s="145">
        <v>41</v>
      </c>
      <c r="CE14" s="145">
        <v>33</v>
      </c>
      <c r="CF14" s="145">
        <v>41</v>
      </c>
      <c r="CG14" s="145">
        <v>33</v>
      </c>
      <c r="CH14" s="145">
        <v>41</v>
      </c>
      <c r="CI14" s="145">
        <v>33</v>
      </c>
      <c r="CJ14" s="145">
        <v>41</v>
      </c>
      <c r="CK14" s="145">
        <v>33</v>
      </c>
      <c r="CL14" s="145">
        <v>41</v>
      </c>
      <c r="CM14" s="145">
        <v>33</v>
      </c>
      <c r="CN14" s="145">
        <v>41</v>
      </c>
      <c r="CO14" s="145">
        <v>33</v>
      </c>
      <c r="CP14" s="145">
        <v>41</v>
      </c>
      <c r="CQ14" s="145">
        <v>33</v>
      </c>
      <c r="CR14" s="145">
        <v>41</v>
      </c>
      <c r="CS14" s="145">
        <v>33</v>
      </c>
      <c r="CT14" s="145">
        <v>41</v>
      </c>
      <c r="CU14" s="145">
        <v>33</v>
      </c>
      <c r="CV14" s="145">
        <v>41</v>
      </c>
      <c r="CW14" s="145">
        <v>33</v>
      </c>
      <c r="CX14" s="145">
        <v>41</v>
      </c>
      <c r="CY14" s="145">
        <v>33</v>
      </c>
      <c r="CZ14" s="145">
        <v>41</v>
      </c>
      <c r="DA14" s="145">
        <v>33</v>
      </c>
      <c r="DB14" s="145">
        <v>41</v>
      </c>
      <c r="DC14" s="145">
        <v>33</v>
      </c>
      <c r="DD14" s="145">
        <v>41</v>
      </c>
      <c r="DE14" s="145">
        <v>33</v>
      </c>
      <c r="DF14" s="108">
        <v>41</v>
      </c>
      <c r="DG14" s="84"/>
      <c r="DH14" s="112">
        <f t="shared" si="3"/>
        <v>0</v>
      </c>
      <c r="DI14" s="138">
        <f t="shared" si="4"/>
        <v>0</v>
      </c>
      <c r="DJ14" s="138">
        <f t="shared" si="5"/>
        <v>0</v>
      </c>
      <c r="DK14" s="138">
        <f t="shared" si="6"/>
        <v>0</v>
      </c>
      <c r="DL14" s="138">
        <f t="shared" si="7"/>
        <v>0</v>
      </c>
      <c r="DM14" s="138">
        <f t="shared" si="8"/>
        <v>-8.25</v>
      </c>
      <c r="DN14" s="138">
        <f t="shared" si="9"/>
        <v>0</v>
      </c>
      <c r="DO14" s="138">
        <f t="shared" si="10"/>
        <v>4.5</v>
      </c>
      <c r="DP14" s="138">
        <f t="shared" si="11"/>
        <v>0</v>
      </c>
      <c r="DQ14" s="138">
        <f t="shared" si="12"/>
        <v>4.75</v>
      </c>
      <c r="DR14" s="138">
        <f t="shared" si="13"/>
        <v>0</v>
      </c>
      <c r="DS14" s="138">
        <f t="shared" si="14"/>
        <v>0</v>
      </c>
      <c r="DT14" s="138">
        <f t="shared" si="15"/>
        <v>0</v>
      </c>
      <c r="DU14" s="138">
        <f t="shared" si="16"/>
        <v>0</v>
      </c>
      <c r="DV14" s="138">
        <f t="shared" si="17"/>
        <v>0</v>
      </c>
      <c r="DW14" s="138">
        <f t="shared" si="18"/>
        <v>0</v>
      </c>
      <c r="DX14" s="138">
        <f t="shared" si="19"/>
        <v>0</v>
      </c>
      <c r="DY14" s="138">
        <f t="shared" si="20"/>
        <v>0</v>
      </c>
      <c r="DZ14" s="138">
        <f t="shared" si="21"/>
        <v>0</v>
      </c>
      <c r="EA14" s="138">
        <f t="shared" si="22"/>
        <v>0</v>
      </c>
      <c r="EB14" s="138">
        <f t="shared" si="23"/>
        <v>0</v>
      </c>
      <c r="EC14" s="138">
        <f t="shared" si="24"/>
        <v>0</v>
      </c>
      <c r="ED14" s="138">
        <f t="shared" si="25"/>
        <v>0</v>
      </c>
      <c r="EE14" s="138">
        <f t="shared" si="26"/>
        <v>0</v>
      </c>
      <c r="EF14" s="138">
        <f t="shared" si="27"/>
        <v>0</v>
      </c>
      <c r="EG14" s="138">
        <f t="shared" si="28"/>
        <v>0</v>
      </c>
      <c r="EH14" s="138">
        <f t="shared" si="29"/>
        <v>0</v>
      </c>
      <c r="EI14" s="138">
        <f t="shared" si="30"/>
        <v>0</v>
      </c>
      <c r="EJ14" s="138">
        <f t="shared" si="31"/>
        <v>0</v>
      </c>
      <c r="EK14" s="138">
        <f t="shared" si="32"/>
        <v>0</v>
      </c>
      <c r="EL14" s="138">
        <f t="shared" si="33"/>
        <v>0</v>
      </c>
      <c r="EM14" s="138">
        <f t="shared" si="34"/>
        <v>0</v>
      </c>
      <c r="EN14" s="138">
        <f t="shared" si="35"/>
        <v>0</v>
      </c>
      <c r="EO14" s="138">
        <f t="shared" si="36"/>
        <v>0</v>
      </c>
      <c r="EP14" s="138">
        <f t="shared" si="37"/>
        <v>0</v>
      </c>
      <c r="EQ14" s="138">
        <f t="shared" si="38"/>
        <v>0</v>
      </c>
      <c r="ER14" s="138">
        <f t="shared" si="39"/>
        <v>0</v>
      </c>
      <c r="ES14" s="138">
        <f t="shared" si="40"/>
        <v>0</v>
      </c>
      <c r="ET14" s="138">
        <f t="shared" si="41"/>
        <v>0</v>
      </c>
      <c r="EU14" s="138">
        <f t="shared" si="42"/>
        <v>0</v>
      </c>
      <c r="EV14" s="138">
        <f t="shared" si="43"/>
        <v>0</v>
      </c>
      <c r="EW14" s="138">
        <f t="shared" si="44"/>
        <v>0</v>
      </c>
      <c r="EX14" s="138">
        <f t="shared" si="45"/>
        <v>0</v>
      </c>
      <c r="EY14" s="138">
        <f t="shared" si="46"/>
        <v>0</v>
      </c>
      <c r="EZ14" s="138">
        <f t="shared" si="47"/>
        <v>0</v>
      </c>
      <c r="FA14" s="138">
        <f t="shared" si="48"/>
        <v>0</v>
      </c>
      <c r="FB14" s="138">
        <f t="shared" si="49"/>
        <v>0</v>
      </c>
      <c r="FC14" s="138">
        <f t="shared" si="50"/>
        <v>0</v>
      </c>
      <c r="FD14" s="138">
        <f t="shared" si="51"/>
        <v>0</v>
      </c>
      <c r="FE14" s="138">
        <f t="shared" si="52"/>
        <v>0</v>
      </c>
      <c r="FF14" s="138">
        <f t="shared" si="53"/>
        <v>0</v>
      </c>
      <c r="FG14" s="113">
        <f t="shared" si="54"/>
        <v>0</v>
      </c>
      <c r="FH14" s="113">
        <f t="shared" si="55"/>
        <v>1</v>
      </c>
      <c r="FI14" s="35"/>
      <c r="FJ14" s="151" cm="1">
        <f t="array" ref="FJ14">IF($C14="Production",
IFERROR(_xlfn.IFS(AND(DH14&gt;0,DH14+SUM(BF14:BG14)&lt;=$FM$3),DH14,AND(DH14&gt;0,DH14+SUM(BF14:BG14)&gt;$FM$3),$FM$3-SUM(BF14:BG14)),0),
IFERROR(_xlfn.IFS(AND(DH14&gt;0,DH14+BG14&lt;=$FK$3),DH14,AND(DH14&gt;0,DH14+BG14&gt;$FK$3),0),0)
)</f>
        <v>0</v>
      </c>
      <c r="FK14" s="152" cm="1">
        <f t="array" ref="FK14">IF($C14="Production",
IFERROR(_xlfn.IFS(AND(DI14&gt;0,DI14+SUM(BG14:BH14)&lt;=$FM$3),DI14,AND(DI14&gt;0,DI14+SUM(BG14:BH14)&gt;$FM$3),$FM$3-SUM(BG14:BH14)),0),
IFERROR(_xlfn.IFS(AND(DI14&gt;0,DI14+BH14&lt;=$FK$3),DI14,AND(DI14&gt;0,DI14+BH14&gt;$FK$3),0),0)
)</f>
        <v>0</v>
      </c>
      <c r="FL14" s="152" cm="1">
        <f t="array" ref="FL14">IF($C14="Production",
IFERROR(_xlfn.IFS(AND(DJ14&gt;0,DJ14+SUM(BH14:BI14)&lt;=$FM$3),DJ14,AND(DJ14&gt;0,DJ14+SUM(BH14:BI14)&gt;$FM$3),$FM$3-SUM(BH14:BI14)),0),
IFERROR(_xlfn.IFS(AND(DJ14&gt;0,DJ14+BI14&lt;=$FK$3),DJ14,AND(DJ14&gt;0,DJ14+BI14&gt;$FK$3),0),0)
)</f>
        <v>0</v>
      </c>
      <c r="FM14" s="152" cm="1">
        <f t="array" ref="FM14">IF($C14="Production",
IFERROR(_xlfn.IFS(AND(DK14&gt;0,DK14+SUM(BI14:BJ14)&lt;=$FM$3),DK14,AND(DK14&gt;0,DK14+SUM(BI14:BJ14)&gt;$FM$3),$FM$3-SUM(BI14:BJ14)),0),
IFERROR(_xlfn.IFS(AND(DK14&gt;0,DK14+BJ14&lt;=$FK$3),DK14,AND(DK14&gt;0,DK14+BJ14&gt;$FK$3),0),0)
)</f>
        <v>0</v>
      </c>
      <c r="FN14" s="152" cm="1">
        <f t="array" ref="FN14">IF($C14="Production",
IFERROR(_xlfn.IFS(AND(DL14&gt;0,DL14+SUM(BJ14:BK14)&lt;=$FM$3),DL14,AND(DL14&gt;0,DL14+SUM(BJ14:BK14)&gt;$FM$3),$FM$3-SUM(BJ14:BK14)),0),
IFERROR(_xlfn.IFS(AND(DL14&gt;0,DL14+BK14&lt;=$FK$3),DL14,AND(DL14&gt;0,DL14+BK14&gt;$FK$3),0),0)
)</f>
        <v>0</v>
      </c>
      <c r="FO14" s="152" cm="1">
        <f t="array" ref="FO14">IF($C14="Production",
IFERROR(_xlfn.IFS(AND(DM14&gt;0,DM14+SUM(BK14:BL14)&lt;=$FM$3),DM14,AND(DM14&gt;0,DM14+SUM(BK14:BL14)&gt;$FM$3),$FM$3-SUM(BK14:BL14)),0),
IFERROR(_xlfn.IFS(AND(DM14&gt;0,DM14+BL14&lt;=$FK$3),DM14,AND(DM14&gt;0,DM14+BL14&gt;$FK$3),0),0)
)</f>
        <v>0</v>
      </c>
      <c r="FP14" s="152" cm="1">
        <f t="array" ref="FP14">IF($C14="Production",
IFERROR(_xlfn.IFS(AND(DN14&gt;0,DN14+SUM(BL14:BM14)&lt;=$FM$3),DN14,AND(DN14&gt;0,DN14+SUM(BL14:BM14)&gt;$FM$3),$FM$3-SUM(BL14:BM14)),0),
IFERROR(_xlfn.IFS(AND(DN14&gt;0,DN14+BM14&lt;=$FK$3),DN14,AND(DN14&gt;0,DN14+BM14&gt;$FK$3),0),0)
)</f>
        <v>0</v>
      </c>
      <c r="FQ14" s="152" cm="1">
        <f t="array" ref="FQ14">IF($C14="Production",
IFERROR(_xlfn.IFS(AND(DO14&gt;0,DO14+SUM(BM14:BN14)&lt;=$FM$3),DO14,AND(DO14&gt;0,DO14+SUM(BM14:BN14)&gt;$FM$3),$FM$3-SUM(BM14:BN14)),0),
IFERROR(_xlfn.IFS(AND(DO14&gt;0,DO14+BN14&lt;=$FK$3),DO14,AND(DO14&gt;0,DO14+BN14&gt;$FK$3),0),0)
)</f>
        <v>4.5</v>
      </c>
      <c r="FR14" s="152" cm="1">
        <f t="array" ref="FR14">IF($C14="Production",
IFERROR(_xlfn.IFS(AND(DP14&gt;0,DP14+SUM(BN14:BO14)&lt;=$FM$3),DP14,AND(DP14&gt;0,DP14+SUM(BN14:BO14)&gt;$FM$3),$FM$3-SUM(BN14:BO14)),0),
IFERROR(_xlfn.IFS(AND(DP14&gt;0,DP14+BO14&lt;=$FK$3),DP14,AND(DP14&gt;0,DP14+BO14&gt;$FK$3),0),0)
)</f>
        <v>0</v>
      </c>
      <c r="FS14" s="152" cm="1">
        <f t="array" ref="FS14">IF($C14="Production",
IFERROR(_xlfn.IFS(AND(DQ14&gt;0,DQ14+SUM(BO14:BP14)&lt;=$FM$3),DQ14,AND(DQ14&gt;0,DQ14+SUM(BO14:BP14)&gt;$FM$3),$FM$3-SUM(BO14:BP14)),0),
IFERROR(_xlfn.IFS(AND(DQ14&gt;0,DQ14+BP14&lt;=$FK$3),DQ14,AND(DQ14&gt;0,DQ14+BP14&gt;$FK$3),0),0)
)</f>
        <v>4.75</v>
      </c>
      <c r="FT14" s="152" cm="1">
        <f t="array" ref="FT14">IF($C14="Production",
IFERROR(_xlfn.IFS(AND(DR14&gt;0,DR14+SUM(BP14:BQ14)&lt;=$FM$3),DR14,AND(DR14&gt;0,DR14+SUM(BP14:BQ14)&gt;$FM$3),$FM$3-SUM(BP14:BQ14)),0),
IFERROR(_xlfn.IFS(AND(DR14&gt;0,DR14+BQ14&lt;=$FK$3),DR14,AND(DR14&gt;0,DR14+BQ14&gt;$FK$3),0),0)
)</f>
        <v>0</v>
      </c>
      <c r="FU14" s="152" cm="1">
        <f t="array" ref="FU14">IF($C14="Production",
IFERROR(_xlfn.IFS(AND(DS14&gt;0,DS14+SUM(BQ14:BR14)&lt;=$FM$3),DS14,AND(DS14&gt;0,DS14+SUM(BQ14:BR14)&gt;$FM$3),$FM$3-SUM(BQ14:BR14)),0),
IFERROR(_xlfn.IFS(AND(DS14&gt;0,DS14+BR14&lt;=$FK$3),DS14,AND(DS14&gt;0,DS14+BR14&gt;$FK$3),0),0)
)</f>
        <v>0</v>
      </c>
      <c r="FV14" s="152" cm="1">
        <f t="array" ref="FV14">IF($C14="Production",
IFERROR(_xlfn.IFS(AND(DT14&gt;0,DT14+SUM(BR14:BS14)&lt;=$FM$3),DT14,AND(DT14&gt;0,DT14+SUM(BR14:BS14)&gt;$FM$3),$FM$3-SUM(BR14:BS14)),0),
IFERROR(_xlfn.IFS(AND(DT14&gt;0,DT14+BS14&lt;=$FK$3),DT14,AND(DT14&gt;0,DT14+BS14&gt;$FK$3),0),0)
)</f>
        <v>0</v>
      </c>
      <c r="FW14" s="152" cm="1">
        <f t="array" ref="FW14">IF($C14="Production",
IFERROR(_xlfn.IFS(AND(DU14&gt;0,DU14+SUM(BS14:BT14)&lt;=$FM$3),DU14,AND(DU14&gt;0,DU14+SUM(BS14:BT14)&gt;$FM$3),$FM$3-SUM(BS14:BT14)),0),
IFERROR(_xlfn.IFS(AND(DU14&gt;0,DU14+BT14&lt;=$FK$3),DU14,AND(DU14&gt;0,DU14+BT14&gt;$FK$3),0),0)
)</f>
        <v>0</v>
      </c>
      <c r="FX14" s="152" cm="1">
        <f t="array" ref="FX14">IF($C14="Production",
IFERROR(_xlfn.IFS(AND(DV14&gt;0,DV14+SUM(BT14:BU14)&lt;=$FM$3),DV14,AND(DV14&gt;0,DV14+SUM(BT14:BU14)&gt;$FM$3),$FM$3-SUM(BT14:BU14)),0),
IFERROR(_xlfn.IFS(AND(DV14&gt;0,DV14+BU14&lt;=$FK$3),DV14,AND(DV14&gt;0,DV14+BU14&gt;$FK$3),0),0)
)</f>
        <v>0</v>
      </c>
      <c r="FY14" s="152" cm="1">
        <f t="array" ref="FY14">IF($C14="Production",
IFERROR(_xlfn.IFS(AND(DW14&gt;0,DW14+SUM(BU14:BV14)&lt;=$FM$3),DW14,AND(DW14&gt;0,DW14+SUM(BU14:BV14)&gt;$FM$3),$FM$3-SUM(BU14:BV14)),0),
IFERROR(_xlfn.IFS(AND(DW14&gt;0,DW14+BV14&lt;=$FK$3),DW14,AND(DW14&gt;0,DW14+BV14&gt;$FK$3),0),0)
)</f>
        <v>0</v>
      </c>
      <c r="FZ14" s="152" cm="1">
        <f t="array" ref="FZ14">IF($C14="Production",
IFERROR(_xlfn.IFS(AND(DX14&gt;0,DX14+SUM(BV14:BW14)&lt;=$FM$3),DX14,AND(DX14&gt;0,DX14+SUM(BV14:BW14)&gt;$FM$3),$FM$3-SUM(BV14:BW14)),0),
IFERROR(_xlfn.IFS(AND(DX14&gt;0,DX14+BW14&lt;=$FK$3),DX14,AND(DX14&gt;0,DX14+BW14&gt;$FK$3),0),0)
)</f>
        <v>0</v>
      </c>
      <c r="GA14" s="152" cm="1">
        <f t="array" ref="GA14">IF($C14="Production",
IFERROR(_xlfn.IFS(AND(DY14&gt;0,DY14+SUM(BW14:BX14)&lt;=$FM$3),DY14,AND(DY14&gt;0,DY14+SUM(BW14:BX14)&gt;$FM$3),$FM$3-SUM(BW14:BX14)),0),
IFERROR(_xlfn.IFS(AND(DY14&gt;0,DY14+BX14&lt;=$FK$3),DY14,AND(DY14&gt;0,DY14+BX14&gt;$FK$3),0),0)
)</f>
        <v>0</v>
      </c>
      <c r="GB14" s="152" cm="1">
        <f t="array" ref="GB14">IF($C14="Production",
IFERROR(_xlfn.IFS(AND(DZ14&gt;0,DZ14+SUM(BX14:BY14)&lt;=$FM$3),DZ14,AND(DZ14&gt;0,DZ14+SUM(BX14:BY14)&gt;$FM$3),$FM$3-SUM(BX14:BY14)),0),
IFERROR(_xlfn.IFS(AND(DZ14&gt;0,DZ14+BY14&lt;=$FK$3),DZ14,AND(DZ14&gt;0,DZ14+BY14&gt;$FK$3),0),0)
)</f>
        <v>0</v>
      </c>
      <c r="GC14" s="152" cm="1">
        <f t="array" ref="GC14">IF($C14="Production",
IFERROR(_xlfn.IFS(AND(EA14&gt;0,EA14+SUM(BY14:BZ14)&lt;=$FM$3),EA14,AND(EA14&gt;0,EA14+SUM(BY14:BZ14)&gt;$FM$3),$FM$3-SUM(BY14:BZ14)),0),
IFERROR(_xlfn.IFS(AND(EA14&gt;0,EA14+BZ14&lt;=$FK$3),EA14,AND(EA14&gt;0,EA14+BZ14&gt;$FK$3),0),0)
)</f>
        <v>0</v>
      </c>
      <c r="GD14" s="152" cm="1">
        <f t="array" ref="GD14">IF($C14="Production",
IFERROR(_xlfn.IFS(AND(EB14&gt;0,EB14+SUM(BZ14:CA14)&lt;=$FM$3),EB14,AND(EB14&gt;0,EB14+SUM(BZ14:CA14)&gt;$FM$3),$FM$3-SUM(BZ14:CA14)),0),
IFERROR(_xlfn.IFS(AND(EB14&gt;0,EB14+CA14&lt;=$FK$3),EB14,AND(EB14&gt;0,EB14+CA14&gt;$FK$3),0),0)
)</f>
        <v>0</v>
      </c>
      <c r="GE14" s="152" cm="1">
        <f t="array" ref="GE14">IF($C14="Production",
IFERROR(_xlfn.IFS(AND(EC14&gt;0,EC14+SUM(CA14:CB14)&lt;=$FM$3),EC14,AND(EC14&gt;0,EC14+SUM(CA14:CB14)&gt;$FM$3),$FM$3-SUM(CA14:CB14)),0),
IFERROR(_xlfn.IFS(AND(EC14&gt;0,EC14+CB14&lt;=$FK$3),EC14,AND(EC14&gt;0,EC14+CB14&gt;$FK$3),0),0)
)</f>
        <v>0</v>
      </c>
      <c r="GF14" s="152" cm="1">
        <f t="array" ref="GF14">IF($C14="Production",
IFERROR(_xlfn.IFS(AND(ED14&gt;0,ED14+SUM(CB14:CC14)&lt;=$FM$3),ED14,AND(ED14&gt;0,ED14+SUM(CB14:CC14)&gt;$FM$3),$FM$3-SUM(CB14:CC14)),0),
IFERROR(_xlfn.IFS(AND(ED14&gt;0,ED14+CC14&lt;=$FK$3),ED14,AND(ED14&gt;0,ED14+CC14&gt;$FK$3),0),0)
)</f>
        <v>0</v>
      </c>
      <c r="GG14" s="152" cm="1">
        <f t="array" ref="GG14">IF($C14="Production",
IFERROR(_xlfn.IFS(AND(EE14&gt;0,EE14+SUM(CC14:CD14)&lt;=$FM$3),EE14,AND(EE14&gt;0,EE14+SUM(CC14:CD14)&gt;$FM$3),$FM$3-SUM(CC14:CD14)),0),
IFERROR(_xlfn.IFS(AND(EE14&gt;0,EE14+CD14&lt;=$FK$3),EE14,AND(EE14&gt;0,EE14+CD14&gt;$FK$3),0),0)
)</f>
        <v>0</v>
      </c>
      <c r="GH14" s="152" cm="1">
        <f t="array" ref="GH14">IF($C14="Production",
IFERROR(_xlfn.IFS(AND(EF14&gt;0,EF14+SUM(CD14:CE14)&lt;=$FM$3),EF14,AND(EF14&gt;0,EF14+SUM(CD14:CE14)&gt;$FM$3),$FM$3-SUM(CD14:CE14)),0),
IFERROR(_xlfn.IFS(AND(EF14&gt;0,EF14+CE14&lt;=$FK$3),EF14,AND(EF14&gt;0,EF14+CE14&gt;$FK$3),0),0)
)</f>
        <v>0</v>
      </c>
      <c r="GI14" s="152" cm="1">
        <f t="array" ref="GI14">IF($C14="Production",
IFERROR(_xlfn.IFS(AND(EG14&gt;0,EG14+SUM(CE14:CF14)&lt;=$FM$3),EG14,AND(EG14&gt;0,EG14+SUM(CE14:CF14)&gt;$FM$3),$FM$3-SUM(CE14:CF14)),0),
IFERROR(_xlfn.IFS(AND(EG14&gt;0,EG14+CF14&lt;=$FK$3),EG14,AND(EG14&gt;0,EG14+CF14&gt;$FK$3),0),0)
)</f>
        <v>0</v>
      </c>
      <c r="GJ14" s="152" cm="1">
        <f t="array" ref="GJ14">IF($C14="Production",
IFERROR(_xlfn.IFS(AND(EH14&gt;0,EH14+SUM(CF14:CG14)&lt;=$FM$3),EH14,AND(EH14&gt;0,EH14+SUM(CF14:CG14)&gt;$FM$3),$FM$3-SUM(CF14:CG14)),0),
IFERROR(_xlfn.IFS(AND(EH14&gt;0,EH14+CG14&lt;=$FK$3),EH14,AND(EH14&gt;0,EH14+CG14&gt;$FK$3),0),0)
)</f>
        <v>0</v>
      </c>
      <c r="GK14" s="152" cm="1">
        <f t="array" ref="GK14">IF($C14="Production",
IFERROR(_xlfn.IFS(AND(EI14&gt;0,EI14+SUM(CG14:CH14)&lt;=$FM$3),EI14,AND(EI14&gt;0,EI14+SUM(CG14:CH14)&gt;$FM$3),$FM$3-SUM(CG14:CH14)),0),
IFERROR(_xlfn.IFS(AND(EI14&gt;0,EI14+CH14&lt;=$FK$3),EI14,AND(EI14&gt;0,EI14+CH14&gt;$FK$3),0),0)
)</f>
        <v>0</v>
      </c>
      <c r="GL14" s="152" cm="1">
        <f t="array" ref="GL14">IF($C14="Production",
IFERROR(_xlfn.IFS(AND(EJ14&gt;0,EJ14+SUM(CH14:CI14)&lt;=$FM$3),EJ14,AND(EJ14&gt;0,EJ14+SUM(CH14:CI14)&gt;$FM$3),$FM$3-SUM(CH14:CI14)),0),
IFERROR(_xlfn.IFS(AND(EJ14&gt;0,EJ14+CI14&lt;=$FK$3),EJ14,AND(EJ14&gt;0,EJ14+CI14&gt;$FK$3),0),0)
)</f>
        <v>0</v>
      </c>
      <c r="GM14" s="152" cm="1">
        <f t="array" ref="GM14">IF($C14="Production",
IFERROR(_xlfn.IFS(AND(EK14&gt;0,EK14+SUM(CI14:CJ14)&lt;=$FM$3),EK14,AND(EK14&gt;0,EK14+SUM(CI14:CJ14)&gt;$FM$3),$FM$3-SUM(CI14:CJ14)),0),
IFERROR(_xlfn.IFS(AND(EK14&gt;0,EK14+CJ14&lt;=$FK$3),EK14,AND(EK14&gt;0,EK14+CJ14&gt;$FK$3),0),0)
)</f>
        <v>0</v>
      </c>
      <c r="GN14" s="152" cm="1">
        <f t="array" ref="GN14">IF($C14="Production",
IFERROR(_xlfn.IFS(AND(EL14&gt;0,EL14+SUM(CJ14:CK14)&lt;=$FM$3),EL14,AND(EL14&gt;0,EL14+SUM(CJ14:CK14)&gt;$FM$3),$FM$3-SUM(CJ14:CK14)),0),
IFERROR(_xlfn.IFS(AND(EL14&gt;0,EL14+CK14&lt;=$FK$3),EL14,AND(EL14&gt;0,EL14+CK14&gt;$FK$3),0),0)
)</f>
        <v>0</v>
      </c>
      <c r="GO14" s="152" cm="1">
        <f t="array" ref="GO14">IF($C14="Production",
IFERROR(_xlfn.IFS(AND(EM14&gt;0,EM14+SUM(CK14:CL14)&lt;=$FM$3),EM14,AND(EM14&gt;0,EM14+SUM(CK14:CL14)&gt;$FM$3),$FM$3-SUM(CK14:CL14)),0),
IFERROR(_xlfn.IFS(AND(EM14&gt;0,EM14+CL14&lt;=$FK$3),EM14,AND(EM14&gt;0,EM14+CL14&gt;$FK$3),0),0)
)</f>
        <v>0</v>
      </c>
      <c r="GP14" s="152" cm="1">
        <f t="array" ref="GP14">IF($C14="Production",
IFERROR(_xlfn.IFS(AND(EN14&gt;0,EN14+SUM(CL14:CM14)&lt;=$FM$3),EN14,AND(EN14&gt;0,EN14+SUM(CL14:CM14)&gt;$FM$3),$FM$3-SUM(CL14:CM14)),0),
IFERROR(_xlfn.IFS(AND(EN14&gt;0,EN14+CM14&lt;=$FK$3),EN14,AND(EN14&gt;0,EN14+CM14&gt;$FK$3),0),0)
)</f>
        <v>0</v>
      </c>
      <c r="GQ14" s="152" cm="1">
        <f t="array" ref="GQ14">IF($C14="Production",
IFERROR(_xlfn.IFS(AND(EO14&gt;0,EO14+SUM(CM14:CN14)&lt;=$FM$3),EO14,AND(EO14&gt;0,EO14+SUM(CM14:CN14)&gt;$FM$3),$FM$3-SUM(CM14:CN14)),0),
IFERROR(_xlfn.IFS(AND(EO14&gt;0,EO14+CN14&lt;=$FK$3),EO14,AND(EO14&gt;0,EO14+CN14&gt;$FK$3),0),0)
)</f>
        <v>0</v>
      </c>
      <c r="GR14" s="152" cm="1">
        <f t="array" ref="GR14">IF($C14="Production",
IFERROR(_xlfn.IFS(AND(EP14&gt;0,EP14+SUM(CN14:CO14)&lt;=$FM$3),EP14,AND(EP14&gt;0,EP14+SUM(CN14:CO14)&gt;$FM$3),$FM$3-SUM(CN14:CO14)),0),
IFERROR(_xlfn.IFS(AND(EP14&gt;0,EP14+CO14&lt;=$FK$3),EP14,AND(EP14&gt;0,EP14+CO14&gt;$FK$3),0),0)
)</f>
        <v>0</v>
      </c>
      <c r="GS14" s="152" cm="1">
        <f t="array" ref="GS14">IF($C14="Production",
IFERROR(_xlfn.IFS(AND(EQ14&gt;0,EQ14+SUM(CO14:CP14)&lt;=$FM$3),EQ14,AND(EQ14&gt;0,EQ14+SUM(CO14:CP14)&gt;$FM$3),$FM$3-SUM(CO14:CP14)),0),
IFERROR(_xlfn.IFS(AND(EQ14&gt;0,EQ14+CP14&lt;=$FK$3),EQ14,AND(EQ14&gt;0,EQ14+CP14&gt;$FK$3),0),0)
)</f>
        <v>0</v>
      </c>
      <c r="GT14" s="152" cm="1">
        <f t="array" ref="GT14">IF($C14="Production",
IFERROR(_xlfn.IFS(AND(ER14&gt;0,ER14+SUM(CP14:CQ14)&lt;=$FM$3),ER14,AND(ER14&gt;0,ER14+SUM(CP14:CQ14)&gt;$FM$3),$FM$3-SUM(CP14:CQ14)),0),
IFERROR(_xlfn.IFS(AND(ER14&gt;0,ER14+CQ14&lt;=$FK$3),ER14,AND(ER14&gt;0,ER14+CQ14&gt;$FK$3),0),0)
)</f>
        <v>0</v>
      </c>
      <c r="GU14" s="152" cm="1">
        <f t="array" ref="GU14">IF($C14="Production",
IFERROR(_xlfn.IFS(AND(ES14&gt;0,ES14+SUM(CQ14:CR14)&lt;=$FM$3),ES14,AND(ES14&gt;0,ES14+SUM(CQ14:CR14)&gt;$FM$3),$FM$3-SUM(CQ14:CR14)),0),
IFERROR(_xlfn.IFS(AND(ES14&gt;0,ES14+CR14&lt;=$FK$3),ES14,AND(ES14&gt;0,ES14+CR14&gt;$FK$3),0),0)
)</f>
        <v>0</v>
      </c>
      <c r="GV14" s="152" cm="1">
        <f t="array" ref="GV14">IF($C14="Production",
IFERROR(_xlfn.IFS(AND(ET14&gt;0,ET14+SUM(CR14:CS14)&lt;=$FM$3),ET14,AND(ET14&gt;0,ET14+SUM(CR14:CS14)&gt;$FM$3),$FM$3-SUM(CR14:CS14)),0),
IFERROR(_xlfn.IFS(AND(ET14&gt;0,ET14+CS14&lt;=$FK$3),ET14,AND(ET14&gt;0,ET14+CS14&gt;$FK$3),0),0)
)</f>
        <v>0</v>
      </c>
      <c r="GW14" s="152" cm="1">
        <f t="array" ref="GW14">IF($C14="Production",
IFERROR(_xlfn.IFS(AND(EU14&gt;0,EU14+SUM(CS14:CT14)&lt;=$FM$3),EU14,AND(EU14&gt;0,EU14+SUM(CS14:CT14)&gt;$FM$3),$FM$3-SUM(CS14:CT14)),0),
IFERROR(_xlfn.IFS(AND(EU14&gt;0,EU14+CT14&lt;=$FK$3),EU14,AND(EU14&gt;0,EU14+CT14&gt;$FK$3),0),0)
)</f>
        <v>0</v>
      </c>
      <c r="GX14" s="152" cm="1">
        <f t="array" ref="GX14">IF($C14="Production",
IFERROR(_xlfn.IFS(AND(EV14&gt;0,EV14+SUM(CT14:CU14)&lt;=$FM$3),EV14,AND(EV14&gt;0,EV14+SUM(CT14:CU14)&gt;$FM$3),$FM$3-SUM(CT14:CU14)),0),
IFERROR(_xlfn.IFS(AND(EV14&gt;0,EV14+CU14&lt;=$FK$3),EV14,AND(EV14&gt;0,EV14+CU14&gt;$FK$3),0),0)
)</f>
        <v>0</v>
      </c>
      <c r="GY14" s="152" cm="1">
        <f t="array" ref="GY14">IF($C14="Production",
IFERROR(_xlfn.IFS(AND(EW14&gt;0,EW14+SUM(CU14:CV14)&lt;=$FM$3),EW14,AND(EW14&gt;0,EW14+SUM(CU14:CV14)&gt;$FM$3),$FM$3-SUM(CU14:CV14)),0),
IFERROR(_xlfn.IFS(AND(EW14&gt;0,EW14+CV14&lt;=$FK$3),EW14,AND(EW14&gt;0,EW14+CV14&gt;$FK$3),0),0)
)</f>
        <v>0</v>
      </c>
      <c r="GZ14" s="152" cm="1">
        <f t="array" ref="GZ14">IF($C14="Production",
IFERROR(_xlfn.IFS(AND(EX14&gt;0,EX14+SUM(CV14:CW14)&lt;=$FM$3),EX14,AND(EX14&gt;0,EX14+SUM(CV14:CW14)&gt;$FM$3),$FM$3-SUM(CV14:CW14)),0),
IFERROR(_xlfn.IFS(AND(EX14&gt;0,EX14+CW14&lt;=$FK$3),EX14,AND(EX14&gt;0,EX14+CW14&gt;$FK$3),0),0)
)</f>
        <v>0</v>
      </c>
      <c r="HA14" s="152" cm="1">
        <f t="array" ref="HA14">IF($C14="Production",
IFERROR(_xlfn.IFS(AND(EY14&gt;0,EY14+SUM(CW14:CX14)&lt;=$FM$3),EY14,AND(EY14&gt;0,EY14+SUM(CW14:CX14)&gt;$FM$3),$FM$3-SUM(CW14:CX14)),0),
IFERROR(_xlfn.IFS(AND(EY14&gt;0,EY14+CX14&lt;=$FK$3),EY14,AND(EY14&gt;0,EY14+CX14&gt;$FK$3),0),0)
)</f>
        <v>0</v>
      </c>
      <c r="HB14" s="152" cm="1">
        <f t="array" ref="HB14">IF($C14="Production",
IFERROR(_xlfn.IFS(AND(EZ14&gt;0,EZ14+SUM(CX14:CY14)&lt;=$FM$3),EZ14,AND(EZ14&gt;0,EZ14+SUM(CX14:CY14)&gt;$FM$3),$FM$3-SUM(CX14:CY14)),0),
IFERROR(_xlfn.IFS(AND(EZ14&gt;0,EZ14+CY14&lt;=$FK$3),EZ14,AND(EZ14&gt;0,EZ14+CY14&gt;$FK$3),0),0)
)</f>
        <v>0</v>
      </c>
      <c r="HC14" s="152" cm="1">
        <f t="array" ref="HC14">IF($C14="Production",
IFERROR(_xlfn.IFS(AND(FA14&gt;0,FA14+SUM(CY14:CZ14)&lt;=$FM$3),FA14,AND(FA14&gt;0,FA14+SUM(CY14:CZ14)&gt;$FM$3),$FM$3-SUM(CY14:CZ14)),0),
IFERROR(_xlfn.IFS(AND(FA14&gt;0,FA14+CZ14&lt;=$FK$3),FA14,AND(FA14&gt;0,FA14+CZ14&gt;$FK$3),0),0)
)</f>
        <v>0</v>
      </c>
      <c r="HD14" s="152" cm="1">
        <f t="array" ref="HD14">IF($C14="Production",
IFERROR(_xlfn.IFS(AND(FB14&gt;0,FB14+SUM(CZ14:DA14)&lt;=$FM$3),FB14,AND(FB14&gt;0,FB14+SUM(CZ14:DA14)&gt;$FM$3),$FM$3-SUM(CZ14:DA14)),0),
IFERROR(_xlfn.IFS(AND(FB14&gt;0,FB14+DA14&lt;=$FK$3),FB14,AND(FB14&gt;0,FB14+DA14&gt;$FK$3),0),0)
)</f>
        <v>0</v>
      </c>
      <c r="HE14" s="152" cm="1">
        <f t="array" ref="HE14">IF($C14="Production",
IFERROR(_xlfn.IFS(AND(FC14&gt;0,FC14+SUM(DA14:DB14)&lt;=$FM$3),FC14,AND(FC14&gt;0,FC14+SUM(DA14:DB14)&gt;$FM$3),$FM$3-SUM(DA14:DB14)),0),
IFERROR(_xlfn.IFS(AND(FC14&gt;0,FC14+DB14&lt;=$FK$3),FC14,AND(FC14&gt;0,FC14+DB14&gt;$FK$3),0),0)
)</f>
        <v>0</v>
      </c>
      <c r="HF14" s="152" cm="1">
        <f t="array" ref="HF14">IF($C14="Production",
IFERROR(_xlfn.IFS(AND(FD14&gt;0,FD14+SUM(DB14:DC14)&lt;=$FM$3),FD14,AND(FD14&gt;0,FD14+SUM(DB14:DC14)&gt;$FM$3),$FM$3-SUM(DB14:DC14)),0),
IFERROR(_xlfn.IFS(AND(FD14&gt;0,FD14+DC14&lt;=$FK$3),FD14,AND(FD14&gt;0,FD14+DC14&gt;$FK$3),0),0)
)</f>
        <v>0</v>
      </c>
      <c r="HG14" s="152" cm="1">
        <f t="array" ref="HG14">IF($C14="Production",
IFERROR(_xlfn.IFS(AND(FE14&gt;0,FE14+SUM(DC14:DD14)&lt;=$FM$3),FE14,AND(FE14&gt;0,FE14+SUM(DC14:DD14)&gt;$FM$3),$FM$3-SUM(DC14:DD14)),0),
IFERROR(_xlfn.IFS(AND(FE14&gt;0,FE14+DD14&lt;=$FK$3),FE14,AND(FE14&gt;0,FE14+DD14&gt;$FK$3),0),0)
)</f>
        <v>0</v>
      </c>
      <c r="HH14" s="152" cm="1">
        <f t="array" ref="HH14">IF($C14="Production",
IFERROR(_xlfn.IFS(AND(FF14&gt;0,FF14+SUM(DD14:DE14)&lt;=$FM$3),FF14,AND(FF14&gt;0,FF14+SUM(DD14:DE14)&gt;$FM$3),$FM$3-SUM(DD14:DE14)),0),
IFERROR(_xlfn.IFS(AND(FF14&gt;0,FF14+DE14&lt;=$FK$3),FF14,AND(FF14&gt;0,FF14+DE14&gt;$FK$3),0),0)
)</f>
        <v>0</v>
      </c>
      <c r="HI14" s="156" cm="1">
        <f t="array" ref="HI14">IF($C14="Production",
IFERROR(_xlfn.IFS(AND(FG14&gt;0,FG14+SUM(DE14:DF14)&lt;=$FM$3),FG14,AND(FG14&gt;0,FG14+SUM(DE14:DF14)&gt;$FM$3),$FM$3-SUM(DE14:DF14)),0),
IFERROR(_xlfn.IFS(AND(FG14&gt;0,FG14+DF14&lt;=$FK$3),FG14,AND(FG14&gt;0,FG14+DF14&gt;$FK$3),0),0)
)</f>
        <v>0</v>
      </c>
      <c r="HJ14" s="113">
        <f t="shared" si="110"/>
        <v>9.25</v>
      </c>
      <c r="HK14" s="80"/>
      <c r="HL14" s="112">
        <f t="shared" si="56"/>
        <v>0</v>
      </c>
      <c r="HM14" s="138">
        <f t="shared" si="57"/>
        <v>0</v>
      </c>
      <c r="HN14" s="138">
        <f t="shared" si="58"/>
        <v>0</v>
      </c>
      <c r="HO14" s="138">
        <f t="shared" si="59"/>
        <v>0</v>
      </c>
      <c r="HP14" s="138">
        <f t="shared" si="60"/>
        <v>0</v>
      </c>
      <c r="HQ14" s="138">
        <f t="shared" si="61"/>
        <v>0</v>
      </c>
      <c r="HR14" s="138">
        <f t="shared" si="62"/>
        <v>0</v>
      </c>
      <c r="HS14" s="138">
        <f t="shared" si="63"/>
        <v>0</v>
      </c>
      <c r="HT14" s="138">
        <f t="shared" si="64"/>
        <v>0</v>
      </c>
      <c r="HU14" s="138">
        <f t="shared" si="65"/>
        <v>0</v>
      </c>
      <c r="HV14" s="138">
        <f t="shared" si="66"/>
        <v>0</v>
      </c>
      <c r="HW14" s="138">
        <f t="shared" si="67"/>
        <v>0</v>
      </c>
      <c r="HX14" s="138">
        <f t="shared" si="68"/>
        <v>0</v>
      </c>
      <c r="HY14" s="138">
        <f t="shared" si="69"/>
        <v>0</v>
      </c>
      <c r="HZ14" s="138">
        <f t="shared" si="70"/>
        <v>0</v>
      </c>
      <c r="IA14" s="138">
        <f t="shared" si="71"/>
        <v>0</v>
      </c>
      <c r="IB14" s="138">
        <f t="shared" si="72"/>
        <v>0</v>
      </c>
      <c r="IC14" s="138">
        <f t="shared" si="73"/>
        <v>0</v>
      </c>
      <c r="ID14" s="138">
        <f t="shared" si="74"/>
        <v>0</v>
      </c>
      <c r="IE14" s="138">
        <f t="shared" si="75"/>
        <v>0</v>
      </c>
      <c r="IF14" s="138">
        <f t="shared" si="76"/>
        <v>0</v>
      </c>
      <c r="IG14" s="138">
        <f t="shared" si="77"/>
        <v>0</v>
      </c>
      <c r="IH14" s="138">
        <f t="shared" si="78"/>
        <v>0</v>
      </c>
      <c r="II14" s="138">
        <f t="shared" si="79"/>
        <v>0</v>
      </c>
      <c r="IJ14" s="138">
        <f t="shared" si="80"/>
        <v>0</v>
      </c>
      <c r="IK14" s="138">
        <f t="shared" si="81"/>
        <v>0</v>
      </c>
      <c r="IL14" s="138">
        <f t="shared" si="82"/>
        <v>0</v>
      </c>
      <c r="IM14" s="138">
        <f t="shared" si="83"/>
        <v>0</v>
      </c>
      <c r="IN14" s="138">
        <f t="shared" si="84"/>
        <v>0</v>
      </c>
      <c r="IO14" s="138">
        <f t="shared" si="85"/>
        <v>0</v>
      </c>
      <c r="IP14" s="138">
        <f t="shared" si="86"/>
        <v>0</v>
      </c>
      <c r="IQ14" s="138">
        <f t="shared" si="87"/>
        <v>0</v>
      </c>
      <c r="IR14" s="138">
        <f t="shared" si="88"/>
        <v>0</v>
      </c>
      <c r="IS14" s="138">
        <f t="shared" si="89"/>
        <v>0</v>
      </c>
      <c r="IT14" s="138">
        <f t="shared" si="90"/>
        <v>0</v>
      </c>
      <c r="IU14" s="138">
        <f t="shared" si="91"/>
        <v>0</v>
      </c>
      <c r="IV14" s="138">
        <f t="shared" si="92"/>
        <v>0</v>
      </c>
      <c r="IW14" s="138">
        <f t="shared" si="93"/>
        <v>0</v>
      </c>
      <c r="IX14" s="138">
        <f t="shared" si="94"/>
        <v>0</v>
      </c>
      <c r="IY14" s="138">
        <f t="shared" si="95"/>
        <v>0</v>
      </c>
      <c r="IZ14" s="138">
        <f t="shared" si="96"/>
        <v>0</v>
      </c>
      <c r="JA14" s="138">
        <f t="shared" si="97"/>
        <v>0</v>
      </c>
      <c r="JB14" s="138">
        <f t="shared" si="98"/>
        <v>0</v>
      </c>
      <c r="JC14" s="138">
        <f t="shared" si="99"/>
        <v>0</v>
      </c>
      <c r="JD14" s="138">
        <f t="shared" si="100"/>
        <v>0</v>
      </c>
      <c r="JE14" s="138">
        <f t="shared" si="101"/>
        <v>0</v>
      </c>
      <c r="JF14" s="138">
        <f t="shared" si="102"/>
        <v>0</v>
      </c>
      <c r="JG14" s="138">
        <f t="shared" si="103"/>
        <v>0</v>
      </c>
      <c r="JH14" s="138">
        <f t="shared" si="104"/>
        <v>0</v>
      </c>
      <c r="JI14" s="138">
        <f t="shared" si="105"/>
        <v>0</v>
      </c>
      <c r="JJ14" s="138">
        <f t="shared" si="106"/>
        <v>0</v>
      </c>
      <c r="JK14" s="138">
        <f t="shared" si="107"/>
        <v>0</v>
      </c>
      <c r="JL14" s="118">
        <f t="shared" si="111"/>
        <v>0</v>
      </c>
      <c r="JO14" s="90">
        <f t="shared" si="112"/>
        <v>9.25</v>
      </c>
      <c r="JP14" s="79">
        <f t="shared" si="108"/>
        <v>0</v>
      </c>
      <c r="JQ14" s="91">
        <f t="shared" si="2"/>
        <v>11.5625</v>
      </c>
      <c r="JS14" s="123">
        <f t="shared" si="109"/>
        <v>-8.25</v>
      </c>
      <c r="JU14" s="123">
        <f t="shared" si="113"/>
        <v>3.3125</v>
      </c>
    </row>
    <row r="15" spans="2:281" x14ac:dyDescent="0.15">
      <c r="B15" s="82" t="str">
        <f>'MODU 2025'!B18</f>
        <v>COCHET Mélina</v>
      </c>
      <c r="C15" s="82" t="str">
        <f>'MODU 2025'!C18</f>
        <v>Logistique</v>
      </c>
      <c r="D15" s="82">
        <f>'MODU 2025'!D18</f>
        <v>39</v>
      </c>
      <c r="E15" s="82"/>
      <c r="F15" s="133">
        <f>'MODU 2025'!G18</f>
        <v>40</v>
      </c>
      <c r="G15" s="140">
        <f>'MODU 2025'!H18</f>
        <v>40</v>
      </c>
      <c r="H15" s="140">
        <f>'MODU 2025'!I18</f>
        <v>40.5</v>
      </c>
      <c r="I15" s="140">
        <f>'MODU 2025'!J18</f>
        <v>39.5</v>
      </c>
      <c r="J15" s="140">
        <f>'MODU 2025'!K18</f>
        <v>39.5</v>
      </c>
      <c r="K15" s="140">
        <f>'MODU 2025'!L18</f>
        <v>39.25</v>
      </c>
      <c r="L15" s="140">
        <f>'MODU 2025'!M18</f>
        <v>41.75</v>
      </c>
      <c r="M15" s="140">
        <f>'MODU 2025'!N18</f>
        <v>40</v>
      </c>
      <c r="N15" s="140">
        <f>'MODU 2025'!O18</f>
        <v>39</v>
      </c>
      <c r="O15" s="140">
        <f>'MODU 2025'!P18</f>
        <v>39</v>
      </c>
      <c r="P15" s="140">
        <f>'MODU 2025'!Q18</f>
        <v>39</v>
      </c>
      <c r="Q15" s="140">
        <f>'MODU 2025'!R18</f>
        <v>39</v>
      </c>
      <c r="R15" s="140">
        <f>'MODU 2025'!S18</f>
        <v>39</v>
      </c>
      <c r="S15" s="140">
        <f>'MODU 2025'!T18</f>
        <v>39</v>
      </c>
      <c r="T15" s="140">
        <f>'MODU 2025'!U18</f>
        <v>39</v>
      </c>
      <c r="U15" s="140">
        <f>'MODU 2025'!V18</f>
        <v>39</v>
      </c>
      <c r="V15" s="140">
        <f>'MODU 2025'!W18</f>
        <v>39</v>
      </c>
      <c r="W15" s="140">
        <f>'MODU 2025'!X18</f>
        <v>39</v>
      </c>
      <c r="X15" s="140">
        <f>'MODU 2025'!Y18</f>
        <v>39</v>
      </c>
      <c r="Y15" s="140">
        <f>'MODU 2025'!Z18</f>
        <v>39</v>
      </c>
      <c r="Z15" s="140">
        <f>'MODU 2025'!AA18</f>
        <v>39</v>
      </c>
      <c r="AA15" s="140">
        <f>'MODU 2025'!AB18</f>
        <v>39</v>
      </c>
      <c r="AB15" s="140">
        <f>'MODU 2025'!AC18</f>
        <v>39</v>
      </c>
      <c r="AC15" s="140">
        <f>'MODU 2025'!AD18</f>
        <v>39</v>
      </c>
      <c r="AD15" s="140">
        <f>'MODU 2025'!AE18</f>
        <v>39</v>
      </c>
      <c r="AE15" s="140">
        <f>'MODU 2025'!AF18</f>
        <v>39</v>
      </c>
      <c r="AF15" s="140">
        <f>'MODU 2025'!AG18</f>
        <v>39</v>
      </c>
      <c r="AG15" s="140">
        <f>'MODU 2025'!AH18</f>
        <v>39</v>
      </c>
      <c r="AH15" s="140">
        <f>'MODU 2025'!AI18</f>
        <v>39</v>
      </c>
      <c r="AI15" s="140">
        <f>'MODU 2025'!AJ18</f>
        <v>39</v>
      </c>
      <c r="AJ15" s="140">
        <f>'MODU 2025'!AK18</f>
        <v>39</v>
      </c>
      <c r="AK15" s="140">
        <f>'MODU 2025'!AL18</f>
        <v>39</v>
      </c>
      <c r="AL15" s="140">
        <f>'MODU 2025'!AM18</f>
        <v>39</v>
      </c>
      <c r="AM15" s="140">
        <f>'MODU 2025'!AN18</f>
        <v>39</v>
      </c>
      <c r="AN15" s="140">
        <f>'MODU 2025'!AO18</f>
        <v>39</v>
      </c>
      <c r="AO15" s="140">
        <f>'MODU 2025'!AP18</f>
        <v>39</v>
      </c>
      <c r="AP15" s="140">
        <f>'MODU 2025'!AQ18</f>
        <v>39</v>
      </c>
      <c r="AQ15" s="140">
        <f>'MODU 2025'!AR18</f>
        <v>39</v>
      </c>
      <c r="AR15" s="140">
        <f>'MODU 2025'!AS18</f>
        <v>39</v>
      </c>
      <c r="AS15" s="140">
        <f>'MODU 2025'!AT18</f>
        <v>39</v>
      </c>
      <c r="AT15" s="140">
        <f>'MODU 2025'!AU18</f>
        <v>39</v>
      </c>
      <c r="AU15" s="140">
        <f>'MODU 2025'!AV18</f>
        <v>39</v>
      </c>
      <c r="AV15" s="140">
        <f>'MODU 2025'!AW18</f>
        <v>39</v>
      </c>
      <c r="AW15" s="140">
        <f>'MODU 2025'!AX18</f>
        <v>39</v>
      </c>
      <c r="AX15" s="140">
        <f>'MODU 2025'!AY18</f>
        <v>39</v>
      </c>
      <c r="AY15" s="140">
        <f>'MODU 2025'!AZ18</f>
        <v>39</v>
      </c>
      <c r="AZ15" s="140">
        <f>'MODU 2025'!BA18</f>
        <v>39</v>
      </c>
      <c r="BA15" s="140">
        <f>'MODU 2025'!BB18</f>
        <v>39</v>
      </c>
      <c r="BB15" s="140">
        <f>'MODU 2025'!BC18</f>
        <v>39</v>
      </c>
      <c r="BC15" s="140">
        <f>'MODU 2025'!BD18</f>
        <v>39</v>
      </c>
      <c r="BD15" s="140">
        <f>'MODU 2025'!BE18</f>
        <v>39</v>
      </c>
      <c r="BE15" s="134">
        <f>'MODU 2025'!BF18</f>
        <v>39</v>
      </c>
      <c r="BF15" s="82"/>
      <c r="BG15" s="107">
        <v>39</v>
      </c>
      <c r="BH15" s="145">
        <v>39</v>
      </c>
      <c r="BI15" s="145">
        <v>39</v>
      </c>
      <c r="BJ15" s="145">
        <v>39</v>
      </c>
      <c r="BK15" s="145">
        <v>39</v>
      </c>
      <c r="BL15" s="145">
        <v>39</v>
      </c>
      <c r="BM15" s="145">
        <v>39</v>
      </c>
      <c r="BN15" s="145">
        <v>39</v>
      </c>
      <c r="BO15" s="145">
        <v>39</v>
      </c>
      <c r="BP15" s="145">
        <v>39</v>
      </c>
      <c r="BQ15" s="145">
        <v>39</v>
      </c>
      <c r="BR15" s="145">
        <v>39</v>
      </c>
      <c r="BS15" s="145">
        <v>39</v>
      </c>
      <c r="BT15" s="145">
        <v>39</v>
      </c>
      <c r="BU15" s="145">
        <v>39</v>
      </c>
      <c r="BV15" s="145">
        <v>39</v>
      </c>
      <c r="BW15" s="145">
        <v>39</v>
      </c>
      <c r="BX15" s="145">
        <v>39</v>
      </c>
      <c r="BY15" s="145">
        <v>39</v>
      </c>
      <c r="BZ15" s="145">
        <v>39</v>
      </c>
      <c r="CA15" s="145">
        <v>39</v>
      </c>
      <c r="CB15" s="145">
        <v>39</v>
      </c>
      <c r="CC15" s="145">
        <v>39</v>
      </c>
      <c r="CD15" s="145">
        <v>39</v>
      </c>
      <c r="CE15" s="145">
        <v>39</v>
      </c>
      <c r="CF15" s="145">
        <v>39</v>
      </c>
      <c r="CG15" s="145">
        <v>39</v>
      </c>
      <c r="CH15" s="145">
        <v>39</v>
      </c>
      <c r="CI15" s="145">
        <v>39</v>
      </c>
      <c r="CJ15" s="145">
        <v>39</v>
      </c>
      <c r="CK15" s="145">
        <v>39</v>
      </c>
      <c r="CL15" s="145">
        <v>39</v>
      </c>
      <c r="CM15" s="145">
        <v>39</v>
      </c>
      <c r="CN15" s="145">
        <v>39</v>
      </c>
      <c r="CO15" s="145">
        <v>39</v>
      </c>
      <c r="CP15" s="145">
        <v>39</v>
      </c>
      <c r="CQ15" s="145">
        <v>39</v>
      </c>
      <c r="CR15" s="145">
        <v>39</v>
      </c>
      <c r="CS15" s="145">
        <v>39</v>
      </c>
      <c r="CT15" s="145">
        <v>39</v>
      </c>
      <c r="CU15" s="145">
        <v>39</v>
      </c>
      <c r="CV15" s="145">
        <v>39</v>
      </c>
      <c r="CW15" s="145">
        <v>39</v>
      </c>
      <c r="CX15" s="145">
        <v>39</v>
      </c>
      <c r="CY15" s="145">
        <v>39</v>
      </c>
      <c r="CZ15" s="145">
        <v>39</v>
      </c>
      <c r="DA15" s="145">
        <v>39</v>
      </c>
      <c r="DB15" s="145">
        <v>39</v>
      </c>
      <c r="DC15" s="145">
        <v>39</v>
      </c>
      <c r="DD15" s="145">
        <v>39</v>
      </c>
      <c r="DE15" s="145">
        <v>39</v>
      </c>
      <c r="DF15" s="108">
        <v>39</v>
      </c>
      <c r="DG15" s="84"/>
      <c r="DH15" s="112">
        <f t="shared" si="3"/>
        <v>1</v>
      </c>
      <c r="DI15" s="138">
        <f t="shared" si="4"/>
        <v>1</v>
      </c>
      <c r="DJ15" s="138">
        <f t="shared" si="5"/>
        <v>1.5</v>
      </c>
      <c r="DK15" s="138">
        <f t="shared" si="6"/>
        <v>0.5</v>
      </c>
      <c r="DL15" s="138">
        <f t="shared" si="7"/>
        <v>0.5</v>
      </c>
      <c r="DM15" s="138">
        <f t="shared" si="8"/>
        <v>0.25</v>
      </c>
      <c r="DN15" s="138">
        <f t="shared" si="9"/>
        <v>2.75</v>
      </c>
      <c r="DO15" s="138">
        <f t="shared" si="10"/>
        <v>1</v>
      </c>
      <c r="DP15" s="138">
        <f t="shared" si="11"/>
        <v>0</v>
      </c>
      <c r="DQ15" s="138">
        <f t="shared" si="12"/>
        <v>0</v>
      </c>
      <c r="DR15" s="138">
        <f t="shared" si="13"/>
        <v>0</v>
      </c>
      <c r="DS15" s="138">
        <f t="shared" si="14"/>
        <v>0</v>
      </c>
      <c r="DT15" s="138">
        <f t="shared" si="15"/>
        <v>0</v>
      </c>
      <c r="DU15" s="138">
        <f t="shared" si="16"/>
        <v>0</v>
      </c>
      <c r="DV15" s="138">
        <f t="shared" si="17"/>
        <v>0</v>
      </c>
      <c r="DW15" s="138">
        <f t="shared" si="18"/>
        <v>0</v>
      </c>
      <c r="DX15" s="138">
        <f t="shared" si="19"/>
        <v>0</v>
      </c>
      <c r="DY15" s="138">
        <f t="shared" si="20"/>
        <v>0</v>
      </c>
      <c r="DZ15" s="138">
        <f t="shared" si="21"/>
        <v>0</v>
      </c>
      <c r="EA15" s="138">
        <f t="shared" si="22"/>
        <v>0</v>
      </c>
      <c r="EB15" s="138">
        <f t="shared" si="23"/>
        <v>0</v>
      </c>
      <c r="EC15" s="138">
        <f t="shared" si="24"/>
        <v>0</v>
      </c>
      <c r="ED15" s="138">
        <f t="shared" si="25"/>
        <v>0</v>
      </c>
      <c r="EE15" s="138">
        <f t="shared" si="26"/>
        <v>0</v>
      </c>
      <c r="EF15" s="138">
        <f t="shared" si="27"/>
        <v>0</v>
      </c>
      <c r="EG15" s="138">
        <f t="shared" si="28"/>
        <v>0</v>
      </c>
      <c r="EH15" s="138">
        <f t="shared" si="29"/>
        <v>0</v>
      </c>
      <c r="EI15" s="138">
        <f t="shared" si="30"/>
        <v>0</v>
      </c>
      <c r="EJ15" s="138">
        <f t="shared" si="31"/>
        <v>0</v>
      </c>
      <c r="EK15" s="138">
        <f t="shared" si="32"/>
        <v>0</v>
      </c>
      <c r="EL15" s="138">
        <f t="shared" si="33"/>
        <v>0</v>
      </c>
      <c r="EM15" s="138">
        <f t="shared" si="34"/>
        <v>0</v>
      </c>
      <c r="EN15" s="138">
        <f t="shared" si="35"/>
        <v>0</v>
      </c>
      <c r="EO15" s="138">
        <f t="shared" si="36"/>
        <v>0</v>
      </c>
      <c r="EP15" s="138">
        <f t="shared" si="37"/>
        <v>0</v>
      </c>
      <c r="EQ15" s="138">
        <f t="shared" si="38"/>
        <v>0</v>
      </c>
      <c r="ER15" s="138">
        <f t="shared" si="39"/>
        <v>0</v>
      </c>
      <c r="ES15" s="138">
        <f t="shared" si="40"/>
        <v>0</v>
      </c>
      <c r="ET15" s="138">
        <f t="shared" si="41"/>
        <v>0</v>
      </c>
      <c r="EU15" s="138">
        <f t="shared" si="42"/>
        <v>0</v>
      </c>
      <c r="EV15" s="138">
        <f t="shared" si="43"/>
        <v>0</v>
      </c>
      <c r="EW15" s="138">
        <f t="shared" si="44"/>
        <v>0</v>
      </c>
      <c r="EX15" s="138">
        <f t="shared" si="45"/>
        <v>0</v>
      </c>
      <c r="EY15" s="138">
        <f t="shared" si="46"/>
        <v>0</v>
      </c>
      <c r="EZ15" s="138">
        <f t="shared" si="47"/>
        <v>0</v>
      </c>
      <c r="FA15" s="138">
        <f t="shared" si="48"/>
        <v>0</v>
      </c>
      <c r="FB15" s="138">
        <f t="shared" si="49"/>
        <v>0</v>
      </c>
      <c r="FC15" s="138">
        <f t="shared" si="50"/>
        <v>0</v>
      </c>
      <c r="FD15" s="138">
        <f t="shared" si="51"/>
        <v>0</v>
      </c>
      <c r="FE15" s="138">
        <f t="shared" si="52"/>
        <v>0</v>
      </c>
      <c r="FF15" s="138">
        <f t="shared" si="53"/>
        <v>0</v>
      </c>
      <c r="FG15" s="113">
        <f t="shared" si="54"/>
        <v>0</v>
      </c>
      <c r="FH15" s="113">
        <f t="shared" si="55"/>
        <v>8.5</v>
      </c>
      <c r="FI15" s="35"/>
      <c r="FJ15" s="151" cm="1">
        <f t="array" ref="FJ15">IF($C15="Production",
IFERROR(_xlfn.IFS(AND(DH15&gt;0,DH15+SUM(BF15:BG15)&lt;=$FM$3),DH15,AND(DH15&gt;0,DH15+SUM(BF15:BG15)&gt;$FM$3),$FM$3-SUM(BF15:BG15)),0),
IFERROR(_xlfn.IFS(AND(DH15&gt;0,DH15+BG15&lt;=$FK$3),DH15,AND(DH15&gt;0,DH15+BG15&gt;$FK$3),0),0)
)</f>
        <v>1</v>
      </c>
      <c r="FK15" s="152" cm="1">
        <f t="array" ref="FK15">IF($C15="Production",
IFERROR(_xlfn.IFS(AND(DI15&gt;0,DI15+SUM(BG15:BH15)&lt;=$FM$3),DI15,AND(DI15&gt;0,DI15+SUM(BG15:BH15)&gt;$FM$3),$FM$3-SUM(BG15:BH15)),0),
IFERROR(_xlfn.IFS(AND(DI15&gt;0,DI15+BH15&lt;=$FK$3),DI15,AND(DI15&gt;0,DI15+BH15&gt;$FK$3),0),0)
)</f>
        <v>1</v>
      </c>
      <c r="FL15" s="152" cm="1">
        <f t="array" ref="FL15">IF($C15="Production",
IFERROR(_xlfn.IFS(AND(DJ15&gt;0,DJ15+SUM(BH15:BI15)&lt;=$FM$3),DJ15,AND(DJ15&gt;0,DJ15+SUM(BH15:BI15)&gt;$FM$3),$FM$3-SUM(BH15:BI15)),0),
IFERROR(_xlfn.IFS(AND(DJ15&gt;0,DJ15+BI15&lt;=$FK$3),DJ15,AND(DJ15&gt;0,DJ15+BI15&gt;$FK$3),0),0)
)</f>
        <v>1.5</v>
      </c>
      <c r="FM15" s="152" cm="1">
        <f t="array" ref="FM15">IF($C15="Production",
IFERROR(_xlfn.IFS(AND(DK15&gt;0,DK15+SUM(BI15:BJ15)&lt;=$FM$3),DK15,AND(DK15&gt;0,DK15+SUM(BI15:BJ15)&gt;$FM$3),$FM$3-SUM(BI15:BJ15)),0),
IFERROR(_xlfn.IFS(AND(DK15&gt;0,DK15+BJ15&lt;=$FK$3),DK15,AND(DK15&gt;0,DK15+BJ15&gt;$FK$3),0),0)
)</f>
        <v>0.5</v>
      </c>
      <c r="FN15" s="152" cm="1">
        <f t="array" ref="FN15">IF($C15="Production",
IFERROR(_xlfn.IFS(AND(DL15&gt;0,DL15+SUM(BJ15:BK15)&lt;=$FM$3),DL15,AND(DL15&gt;0,DL15+SUM(BJ15:BK15)&gt;$FM$3),$FM$3-SUM(BJ15:BK15)),0),
IFERROR(_xlfn.IFS(AND(DL15&gt;0,DL15+BK15&lt;=$FK$3),DL15,AND(DL15&gt;0,DL15+BK15&gt;$FK$3),0),0)
)</f>
        <v>0.5</v>
      </c>
      <c r="FO15" s="152" cm="1">
        <f t="array" ref="FO15">IF($C15="Production",
IFERROR(_xlfn.IFS(AND(DM15&gt;0,DM15+SUM(BK15:BL15)&lt;=$FM$3),DM15,AND(DM15&gt;0,DM15+SUM(BK15:BL15)&gt;$FM$3),$FM$3-SUM(BK15:BL15)),0),
IFERROR(_xlfn.IFS(AND(DM15&gt;0,DM15+BL15&lt;=$FK$3),DM15,AND(DM15&gt;0,DM15+BL15&gt;$FK$3),0),0)
)</f>
        <v>0.25</v>
      </c>
      <c r="FP15" s="152" cm="1">
        <f t="array" ref="FP15">IF($C15="Production",
IFERROR(_xlfn.IFS(AND(DN15&gt;0,DN15+SUM(BL15:BM15)&lt;=$FM$3),DN15,AND(DN15&gt;0,DN15+SUM(BL15:BM15)&gt;$FM$3),$FM$3-SUM(BL15:BM15)),0),
IFERROR(_xlfn.IFS(AND(DN15&gt;0,DN15+BM15&lt;=$FK$3),DN15,AND(DN15&gt;0,DN15+BM15&gt;$FK$3),0),0)
)</f>
        <v>2.75</v>
      </c>
      <c r="FQ15" s="152" cm="1">
        <f t="array" ref="FQ15">IF($C15="Production",
IFERROR(_xlfn.IFS(AND(DO15&gt;0,DO15+SUM(BM15:BN15)&lt;=$FM$3),DO15,AND(DO15&gt;0,DO15+SUM(BM15:BN15)&gt;$FM$3),$FM$3-SUM(BM15:BN15)),0),
IFERROR(_xlfn.IFS(AND(DO15&gt;0,DO15+BN15&lt;=$FK$3),DO15,AND(DO15&gt;0,DO15+BN15&gt;$FK$3),0),0)
)</f>
        <v>1</v>
      </c>
      <c r="FR15" s="152" cm="1">
        <f t="array" ref="FR15">IF($C15="Production",
IFERROR(_xlfn.IFS(AND(DP15&gt;0,DP15+SUM(BN15:BO15)&lt;=$FM$3),DP15,AND(DP15&gt;0,DP15+SUM(BN15:BO15)&gt;$FM$3),$FM$3-SUM(BN15:BO15)),0),
IFERROR(_xlfn.IFS(AND(DP15&gt;0,DP15+BO15&lt;=$FK$3),DP15,AND(DP15&gt;0,DP15+BO15&gt;$FK$3),0),0)
)</f>
        <v>0</v>
      </c>
      <c r="FS15" s="152" cm="1">
        <f t="array" ref="FS15">IF($C15="Production",
IFERROR(_xlfn.IFS(AND(DQ15&gt;0,DQ15+SUM(BO15:BP15)&lt;=$FM$3),DQ15,AND(DQ15&gt;0,DQ15+SUM(BO15:BP15)&gt;$FM$3),$FM$3-SUM(BO15:BP15)),0),
IFERROR(_xlfn.IFS(AND(DQ15&gt;0,DQ15+BP15&lt;=$FK$3),DQ15,AND(DQ15&gt;0,DQ15+BP15&gt;$FK$3),0),0)
)</f>
        <v>0</v>
      </c>
      <c r="FT15" s="152" cm="1">
        <f t="array" ref="FT15">IF($C15="Production",
IFERROR(_xlfn.IFS(AND(DR15&gt;0,DR15+SUM(BP15:BQ15)&lt;=$FM$3),DR15,AND(DR15&gt;0,DR15+SUM(BP15:BQ15)&gt;$FM$3),$FM$3-SUM(BP15:BQ15)),0),
IFERROR(_xlfn.IFS(AND(DR15&gt;0,DR15+BQ15&lt;=$FK$3),DR15,AND(DR15&gt;0,DR15+BQ15&gt;$FK$3),0),0)
)</f>
        <v>0</v>
      </c>
      <c r="FU15" s="152" cm="1">
        <f t="array" ref="FU15">IF($C15="Production",
IFERROR(_xlfn.IFS(AND(DS15&gt;0,DS15+SUM(BQ15:BR15)&lt;=$FM$3),DS15,AND(DS15&gt;0,DS15+SUM(BQ15:BR15)&gt;$FM$3),$FM$3-SUM(BQ15:BR15)),0),
IFERROR(_xlfn.IFS(AND(DS15&gt;0,DS15+BR15&lt;=$FK$3),DS15,AND(DS15&gt;0,DS15+BR15&gt;$FK$3),0),0)
)</f>
        <v>0</v>
      </c>
      <c r="FV15" s="152" cm="1">
        <f t="array" ref="FV15">IF($C15="Production",
IFERROR(_xlfn.IFS(AND(DT15&gt;0,DT15+SUM(BR15:BS15)&lt;=$FM$3),DT15,AND(DT15&gt;0,DT15+SUM(BR15:BS15)&gt;$FM$3),$FM$3-SUM(BR15:BS15)),0),
IFERROR(_xlfn.IFS(AND(DT15&gt;0,DT15+BS15&lt;=$FK$3),DT15,AND(DT15&gt;0,DT15+BS15&gt;$FK$3),0),0)
)</f>
        <v>0</v>
      </c>
      <c r="FW15" s="152" cm="1">
        <f t="array" ref="FW15">IF($C15="Production",
IFERROR(_xlfn.IFS(AND(DU15&gt;0,DU15+SUM(BS15:BT15)&lt;=$FM$3),DU15,AND(DU15&gt;0,DU15+SUM(BS15:BT15)&gt;$FM$3),$FM$3-SUM(BS15:BT15)),0),
IFERROR(_xlfn.IFS(AND(DU15&gt;0,DU15+BT15&lt;=$FK$3),DU15,AND(DU15&gt;0,DU15+BT15&gt;$FK$3),0),0)
)</f>
        <v>0</v>
      </c>
      <c r="FX15" s="152" cm="1">
        <f t="array" ref="FX15">IF($C15="Production",
IFERROR(_xlfn.IFS(AND(DV15&gt;0,DV15+SUM(BT15:BU15)&lt;=$FM$3),DV15,AND(DV15&gt;0,DV15+SUM(BT15:BU15)&gt;$FM$3),$FM$3-SUM(BT15:BU15)),0),
IFERROR(_xlfn.IFS(AND(DV15&gt;0,DV15+BU15&lt;=$FK$3),DV15,AND(DV15&gt;0,DV15+BU15&gt;$FK$3),0),0)
)</f>
        <v>0</v>
      </c>
      <c r="FY15" s="152" cm="1">
        <f t="array" ref="FY15">IF($C15="Production",
IFERROR(_xlfn.IFS(AND(DW15&gt;0,DW15+SUM(BU15:BV15)&lt;=$FM$3),DW15,AND(DW15&gt;0,DW15+SUM(BU15:BV15)&gt;$FM$3),$FM$3-SUM(BU15:BV15)),0),
IFERROR(_xlfn.IFS(AND(DW15&gt;0,DW15+BV15&lt;=$FK$3),DW15,AND(DW15&gt;0,DW15+BV15&gt;$FK$3),0),0)
)</f>
        <v>0</v>
      </c>
      <c r="FZ15" s="152" cm="1">
        <f t="array" ref="FZ15">IF($C15="Production",
IFERROR(_xlfn.IFS(AND(DX15&gt;0,DX15+SUM(BV15:BW15)&lt;=$FM$3),DX15,AND(DX15&gt;0,DX15+SUM(BV15:BW15)&gt;$FM$3),$FM$3-SUM(BV15:BW15)),0),
IFERROR(_xlfn.IFS(AND(DX15&gt;0,DX15+BW15&lt;=$FK$3),DX15,AND(DX15&gt;0,DX15+BW15&gt;$FK$3),0),0)
)</f>
        <v>0</v>
      </c>
      <c r="GA15" s="152" cm="1">
        <f t="array" ref="GA15">IF($C15="Production",
IFERROR(_xlfn.IFS(AND(DY15&gt;0,DY15+SUM(BW15:BX15)&lt;=$FM$3),DY15,AND(DY15&gt;0,DY15+SUM(BW15:BX15)&gt;$FM$3),$FM$3-SUM(BW15:BX15)),0),
IFERROR(_xlfn.IFS(AND(DY15&gt;0,DY15+BX15&lt;=$FK$3),DY15,AND(DY15&gt;0,DY15+BX15&gt;$FK$3),0),0)
)</f>
        <v>0</v>
      </c>
      <c r="GB15" s="152" cm="1">
        <f t="array" ref="GB15">IF($C15="Production",
IFERROR(_xlfn.IFS(AND(DZ15&gt;0,DZ15+SUM(BX15:BY15)&lt;=$FM$3),DZ15,AND(DZ15&gt;0,DZ15+SUM(BX15:BY15)&gt;$FM$3),$FM$3-SUM(BX15:BY15)),0),
IFERROR(_xlfn.IFS(AND(DZ15&gt;0,DZ15+BY15&lt;=$FK$3),DZ15,AND(DZ15&gt;0,DZ15+BY15&gt;$FK$3),0),0)
)</f>
        <v>0</v>
      </c>
      <c r="GC15" s="152" cm="1">
        <f t="array" ref="GC15">IF($C15="Production",
IFERROR(_xlfn.IFS(AND(EA15&gt;0,EA15+SUM(BY15:BZ15)&lt;=$FM$3),EA15,AND(EA15&gt;0,EA15+SUM(BY15:BZ15)&gt;$FM$3),$FM$3-SUM(BY15:BZ15)),0),
IFERROR(_xlfn.IFS(AND(EA15&gt;0,EA15+BZ15&lt;=$FK$3),EA15,AND(EA15&gt;0,EA15+BZ15&gt;$FK$3),0),0)
)</f>
        <v>0</v>
      </c>
      <c r="GD15" s="152" cm="1">
        <f t="array" ref="GD15">IF($C15="Production",
IFERROR(_xlfn.IFS(AND(EB15&gt;0,EB15+SUM(BZ15:CA15)&lt;=$FM$3),EB15,AND(EB15&gt;0,EB15+SUM(BZ15:CA15)&gt;$FM$3),$FM$3-SUM(BZ15:CA15)),0),
IFERROR(_xlfn.IFS(AND(EB15&gt;0,EB15+CA15&lt;=$FK$3),EB15,AND(EB15&gt;0,EB15+CA15&gt;$FK$3),0),0)
)</f>
        <v>0</v>
      </c>
      <c r="GE15" s="152" cm="1">
        <f t="array" ref="GE15">IF($C15="Production",
IFERROR(_xlfn.IFS(AND(EC15&gt;0,EC15+SUM(CA15:CB15)&lt;=$FM$3),EC15,AND(EC15&gt;0,EC15+SUM(CA15:CB15)&gt;$FM$3),$FM$3-SUM(CA15:CB15)),0),
IFERROR(_xlfn.IFS(AND(EC15&gt;0,EC15+CB15&lt;=$FK$3),EC15,AND(EC15&gt;0,EC15+CB15&gt;$FK$3),0),0)
)</f>
        <v>0</v>
      </c>
      <c r="GF15" s="152" cm="1">
        <f t="array" ref="GF15">IF($C15="Production",
IFERROR(_xlfn.IFS(AND(ED15&gt;0,ED15+SUM(CB15:CC15)&lt;=$FM$3),ED15,AND(ED15&gt;0,ED15+SUM(CB15:CC15)&gt;$FM$3),$FM$3-SUM(CB15:CC15)),0),
IFERROR(_xlfn.IFS(AND(ED15&gt;0,ED15+CC15&lt;=$FK$3),ED15,AND(ED15&gt;0,ED15+CC15&gt;$FK$3),0),0)
)</f>
        <v>0</v>
      </c>
      <c r="GG15" s="152" cm="1">
        <f t="array" ref="GG15">IF($C15="Production",
IFERROR(_xlfn.IFS(AND(EE15&gt;0,EE15+SUM(CC15:CD15)&lt;=$FM$3),EE15,AND(EE15&gt;0,EE15+SUM(CC15:CD15)&gt;$FM$3),$FM$3-SUM(CC15:CD15)),0),
IFERROR(_xlfn.IFS(AND(EE15&gt;0,EE15+CD15&lt;=$FK$3),EE15,AND(EE15&gt;0,EE15+CD15&gt;$FK$3),0),0)
)</f>
        <v>0</v>
      </c>
      <c r="GH15" s="152" cm="1">
        <f t="array" ref="GH15">IF($C15="Production",
IFERROR(_xlfn.IFS(AND(EF15&gt;0,EF15+SUM(CD15:CE15)&lt;=$FM$3),EF15,AND(EF15&gt;0,EF15+SUM(CD15:CE15)&gt;$FM$3),$FM$3-SUM(CD15:CE15)),0),
IFERROR(_xlfn.IFS(AND(EF15&gt;0,EF15+CE15&lt;=$FK$3),EF15,AND(EF15&gt;0,EF15+CE15&gt;$FK$3),0),0)
)</f>
        <v>0</v>
      </c>
      <c r="GI15" s="152" cm="1">
        <f t="array" ref="GI15">IF($C15="Production",
IFERROR(_xlfn.IFS(AND(EG15&gt;0,EG15+SUM(CE15:CF15)&lt;=$FM$3),EG15,AND(EG15&gt;0,EG15+SUM(CE15:CF15)&gt;$FM$3),$FM$3-SUM(CE15:CF15)),0),
IFERROR(_xlfn.IFS(AND(EG15&gt;0,EG15+CF15&lt;=$FK$3),EG15,AND(EG15&gt;0,EG15+CF15&gt;$FK$3),0),0)
)</f>
        <v>0</v>
      </c>
      <c r="GJ15" s="152" cm="1">
        <f t="array" ref="GJ15">IF($C15="Production",
IFERROR(_xlfn.IFS(AND(EH15&gt;0,EH15+SUM(CF15:CG15)&lt;=$FM$3),EH15,AND(EH15&gt;0,EH15+SUM(CF15:CG15)&gt;$FM$3),$FM$3-SUM(CF15:CG15)),0),
IFERROR(_xlfn.IFS(AND(EH15&gt;0,EH15+CG15&lt;=$FK$3),EH15,AND(EH15&gt;0,EH15+CG15&gt;$FK$3),0),0)
)</f>
        <v>0</v>
      </c>
      <c r="GK15" s="152" cm="1">
        <f t="array" ref="GK15">IF($C15="Production",
IFERROR(_xlfn.IFS(AND(EI15&gt;0,EI15+SUM(CG15:CH15)&lt;=$FM$3),EI15,AND(EI15&gt;0,EI15+SUM(CG15:CH15)&gt;$FM$3),$FM$3-SUM(CG15:CH15)),0),
IFERROR(_xlfn.IFS(AND(EI15&gt;0,EI15+CH15&lt;=$FK$3),EI15,AND(EI15&gt;0,EI15+CH15&gt;$FK$3),0),0)
)</f>
        <v>0</v>
      </c>
      <c r="GL15" s="152" cm="1">
        <f t="array" ref="GL15">IF($C15="Production",
IFERROR(_xlfn.IFS(AND(EJ15&gt;0,EJ15+SUM(CH15:CI15)&lt;=$FM$3),EJ15,AND(EJ15&gt;0,EJ15+SUM(CH15:CI15)&gt;$FM$3),$FM$3-SUM(CH15:CI15)),0),
IFERROR(_xlfn.IFS(AND(EJ15&gt;0,EJ15+CI15&lt;=$FK$3),EJ15,AND(EJ15&gt;0,EJ15+CI15&gt;$FK$3),0),0)
)</f>
        <v>0</v>
      </c>
      <c r="GM15" s="152" cm="1">
        <f t="array" ref="GM15">IF($C15="Production",
IFERROR(_xlfn.IFS(AND(EK15&gt;0,EK15+SUM(CI15:CJ15)&lt;=$FM$3),EK15,AND(EK15&gt;0,EK15+SUM(CI15:CJ15)&gt;$FM$3),$FM$3-SUM(CI15:CJ15)),0),
IFERROR(_xlfn.IFS(AND(EK15&gt;0,EK15+CJ15&lt;=$FK$3),EK15,AND(EK15&gt;0,EK15+CJ15&gt;$FK$3),0),0)
)</f>
        <v>0</v>
      </c>
      <c r="GN15" s="152" cm="1">
        <f t="array" ref="GN15">IF($C15="Production",
IFERROR(_xlfn.IFS(AND(EL15&gt;0,EL15+SUM(CJ15:CK15)&lt;=$FM$3),EL15,AND(EL15&gt;0,EL15+SUM(CJ15:CK15)&gt;$FM$3),$FM$3-SUM(CJ15:CK15)),0),
IFERROR(_xlfn.IFS(AND(EL15&gt;0,EL15+CK15&lt;=$FK$3),EL15,AND(EL15&gt;0,EL15+CK15&gt;$FK$3),0),0)
)</f>
        <v>0</v>
      </c>
      <c r="GO15" s="152" cm="1">
        <f t="array" ref="GO15">IF($C15="Production",
IFERROR(_xlfn.IFS(AND(EM15&gt;0,EM15+SUM(CK15:CL15)&lt;=$FM$3),EM15,AND(EM15&gt;0,EM15+SUM(CK15:CL15)&gt;$FM$3),$FM$3-SUM(CK15:CL15)),0),
IFERROR(_xlfn.IFS(AND(EM15&gt;0,EM15+CL15&lt;=$FK$3),EM15,AND(EM15&gt;0,EM15+CL15&gt;$FK$3),0),0)
)</f>
        <v>0</v>
      </c>
      <c r="GP15" s="152" cm="1">
        <f t="array" ref="GP15">IF($C15="Production",
IFERROR(_xlfn.IFS(AND(EN15&gt;0,EN15+SUM(CL15:CM15)&lt;=$FM$3),EN15,AND(EN15&gt;0,EN15+SUM(CL15:CM15)&gt;$FM$3),$FM$3-SUM(CL15:CM15)),0),
IFERROR(_xlfn.IFS(AND(EN15&gt;0,EN15+CM15&lt;=$FK$3),EN15,AND(EN15&gt;0,EN15+CM15&gt;$FK$3),0),0)
)</f>
        <v>0</v>
      </c>
      <c r="GQ15" s="152" cm="1">
        <f t="array" ref="GQ15">IF($C15="Production",
IFERROR(_xlfn.IFS(AND(EO15&gt;0,EO15+SUM(CM15:CN15)&lt;=$FM$3),EO15,AND(EO15&gt;0,EO15+SUM(CM15:CN15)&gt;$FM$3),$FM$3-SUM(CM15:CN15)),0),
IFERROR(_xlfn.IFS(AND(EO15&gt;0,EO15+CN15&lt;=$FK$3),EO15,AND(EO15&gt;0,EO15+CN15&gt;$FK$3),0),0)
)</f>
        <v>0</v>
      </c>
      <c r="GR15" s="152" cm="1">
        <f t="array" ref="GR15">IF($C15="Production",
IFERROR(_xlfn.IFS(AND(EP15&gt;0,EP15+SUM(CN15:CO15)&lt;=$FM$3),EP15,AND(EP15&gt;0,EP15+SUM(CN15:CO15)&gt;$FM$3),$FM$3-SUM(CN15:CO15)),0),
IFERROR(_xlfn.IFS(AND(EP15&gt;0,EP15+CO15&lt;=$FK$3),EP15,AND(EP15&gt;0,EP15+CO15&gt;$FK$3),0),0)
)</f>
        <v>0</v>
      </c>
      <c r="GS15" s="152" cm="1">
        <f t="array" ref="GS15">IF($C15="Production",
IFERROR(_xlfn.IFS(AND(EQ15&gt;0,EQ15+SUM(CO15:CP15)&lt;=$FM$3),EQ15,AND(EQ15&gt;0,EQ15+SUM(CO15:CP15)&gt;$FM$3),$FM$3-SUM(CO15:CP15)),0),
IFERROR(_xlfn.IFS(AND(EQ15&gt;0,EQ15+CP15&lt;=$FK$3),EQ15,AND(EQ15&gt;0,EQ15+CP15&gt;$FK$3),0),0)
)</f>
        <v>0</v>
      </c>
      <c r="GT15" s="152" cm="1">
        <f t="array" ref="GT15">IF($C15="Production",
IFERROR(_xlfn.IFS(AND(ER15&gt;0,ER15+SUM(CP15:CQ15)&lt;=$FM$3),ER15,AND(ER15&gt;0,ER15+SUM(CP15:CQ15)&gt;$FM$3),$FM$3-SUM(CP15:CQ15)),0),
IFERROR(_xlfn.IFS(AND(ER15&gt;0,ER15+CQ15&lt;=$FK$3),ER15,AND(ER15&gt;0,ER15+CQ15&gt;$FK$3),0),0)
)</f>
        <v>0</v>
      </c>
      <c r="GU15" s="152" cm="1">
        <f t="array" ref="GU15">IF($C15="Production",
IFERROR(_xlfn.IFS(AND(ES15&gt;0,ES15+SUM(CQ15:CR15)&lt;=$FM$3),ES15,AND(ES15&gt;0,ES15+SUM(CQ15:CR15)&gt;$FM$3),$FM$3-SUM(CQ15:CR15)),0),
IFERROR(_xlfn.IFS(AND(ES15&gt;0,ES15+CR15&lt;=$FK$3),ES15,AND(ES15&gt;0,ES15+CR15&gt;$FK$3),0),0)
)</f>
        <v>0</v>
      </c>
      <c r="GV15" s="152" cm="1">
        <f t="array" ref="GV15">IF($C15="Production",
IFERROR(_xlfn.IFS(AND(ET15&gt;0,ET15+SUM(CR15:CS15)&lt;=$FM$3),ET15,AND(ET15&gt;0,ET15+SUM(CR15:CS15)&gt;$FM$3),$FM$3-SUM(CR15:CS15)),0),
IFERROR(_xlfn.IFS(AND(ET15&gt;0,ET15+CS15&lt;=$FK$3),ET15,AND(ET15&gt;0,ET15+CS15&gt;$FK$3),0),0)
)</f>
        <v>0</v>
      </c>
      <c r="GW15" s="152" cm="1">
        <f t="array" ref="GW15">IF($C15="Production",
IFERROR(_xlfn.IFS(AND(EU15&gt;0,EU15+SUM(CS15:CT15)&lt;=$FM$3),EU15,AND(EU15&gt;0,EU15+SUM(CS15:CT15)&gt;$FM$3),$FM$3-SUM(CS15:CT15)),0),
IFERROR(_xlfn.IFS(AND(EU15&gt;0,EU15+CT15&lt;=$FK$3),EU15,AND(EU15&gt;0,EU15+CT15&gt;$FK$3),0),0)
)</f>
        <v>0</v>
      </c>
      <c r="GX15" s="152" cm="1">
        <f t="array" ref="GX15">IF($C15="Production",
IFERROR(_xlfn.IFS(AND(EV15&gt;0,EV15+SUM(CT15:CU15)&lt;=$FM$3),EV15,AND(EV15&gt;0,EV15+SUM(CT15:CU15)&gt;$FM$3),$FM$3-SUM(CT15:CU15)),0),
IFERROR(_xlfn.IFS(AND(EV15&gt;0,EV15+CU15&lt;=$FK$3),EV15,AND(EV15&gt;0,EV15+CU15&gt;$FK$3),0),0)
)</f>
        <v>0</v>
      </c>
      <c r="GY15" s="152" cm="1">
        <f t="array" ref="GY15">IF($C15="Production",
IFERROR(_xlfn.IFS(AND(EW15&gt;0,EW15+SUM(CU15:CV15)&lt;=$FM$3),EW15,AND(EW15&gt;0,EW15+SUM(CU15:CV15)&gt;$FM$3),$FM$3-SUM(CU15:CV15)),0),
IFERROR(_xlfn.IFS(AND(EW15&gt;0,EW15+CV15&lt;=$FK$3),EW15,AND(EW15&gt;0,EW15+CV15&gt;$FK$3),0),0)
)</f>
        <v>0</v>
      </c>
      <c r="GZ15" s="152" cm="1">
        <f t="array" ref="GZ15">IF($C15="Production",
IFERROR(_xlfn.IFS(AND(EX15&gt;0,EX15+SUM(CV15:CW15)&lt;=$FM$3),EX15,AND(EX15&gt;0,EX15+SUM(CV15:CW15)&gt;$FM$3),$FM$3-SUM(CV15:CW15)),0),
IFERROR(_xlfn.IFS(AND(EX15&gt;0,EX15+CW15&lt;=$FK$3),EX15,AND(EX15&gt;0,EX15+CW15&gt;$FK$3),0),0)
)</f>
        <v>0</v>
      </c>
      <c r="HA15" s="152" cm="1">
        <f t="array" ref="HA15">IF($C15="Production",
IFERROR(_xlfn.IFS(AND(EY15&gt;0,EY15+SUM(CW15:CX15)&lt;=$FM$3),EY15,AND(EY15&gt;0,EY15+SUM(CW15:CX15)&gt;$FM$3),$FM$3-SUM(CW15:CX15)),0),
IFERROR(_xlfn.IFS(AND(EY15&gt;0,EY15+CX15&lt;=$FK$3),EY15,AND(EY15&gt;0,EY15+CX15&gt;$FK$3),0),0)
)</f>
        <v>0</v>
      </c>
      <c r="HB15" s="152" cm="1">
        <f t="array" ref="HB15">IF($C15="Production",
IFERROR(_xlfn.IFS(AND(EZ15&gt;0,EZ15+SUM(CX15:CY15)&lt;=$FM$3),EZ15,AND(EZ15&gt;0,EZ15+SUM(CX15:CY15)&gt;$FM$3),$FM$3-SUM(CX15:CY15)),0),
IFERROR(_xlfn.IFS(AND(EZ15&gt;0,EZ15+CY15&lt;=$FK$3),EZ15,AND(EZ15&gt;0,EZ15+CY15&gt;$FK$3),0),0)
)</f>
        <v>0</v>
      </c>
      <c r="HC15" s="152" cm="1">
        <f t="array" ref="HC15">IF($C15="Production",
IFERROR(_xlfn.IFS(AND(FA15&gt;0,FA15+SUM(CY15:CZ15)&lt;=$FM$3),FA15,AND(FA15&gt;0,FA15+SUM(CY15:CZ15)&gt;$FM$3),$FM$3-SUM(CY15:CZ15)),0),
IFERROR(_xlfn.IFS(AND(FA15&gt;0,FA15+CZ15&lt;=$FK$3),FA15,AND(FA15&gt;0,FA15+CZ15&gt;$FK$3),0),0)
)</f>
        <v>0</v>
      </c>
      <c r="HD15" s="152" cm="1">
        <f t="array" ref="HD15">IF($C15="Production",
IFERROR(_xlfn.IFS(AND(FB15&gt;0,FB15+SUM(CZ15:DA15)&lt;=$FM$3),FB15,AND(FB15&gt;0,FB15+SUM(CZ15:DA15)&gt;$FM$3),$FM$3-SUM(CZ15:DA15)),0),
IFERROR(_xlfn.IFS(AND(FB15&gt;0,FB15+DA15&lt;=$FK$3),FB15,AND(FB15&gt;0,FB15+DA15&gt;$FK$3),0),0)
)</f>
        <v>0</v>
      </c>
      <c r="HE15" s="152" cm="1">
        <f t="array" ref="HE15">IF($C15="Production",
IFERROR(_xlfn.IFS(AND(FC15&gt;0,FC15+SUM(DA15:DB15)&lt;=$FM$3),FC15,AND(FC15&gt;0,FC15+SUM(DA15:DB15)&gt;$FM$3),$FM$3-SUM(DA15:DB15)),0),
IFERROR(_xlfn.IFS(AND(FC15&gt;0,FC15+DB15&lt;=$FK$3),FC15,AND(FC15&gt;0,FC15+DB15&gt;$FK$3),0),0)
)</f>
        <v>0</v>
      </c>
      <c r="HF15" s="152" cm="1">
        <f t="array" ref="HF15">IF($C15="Production",
IFERROR(_xlfn.IFS(AND(FD15&gt;0,FD15+SUM(DB15:DC15)&lt;=$FM$3),FD15,AND(FD15&gt;0,FD15+SUM(DB15:DC15)&gt;$FM$3),$FM$3-SUM(DB15:DC15)),0),
IFERROR(_xlfn.IFS(AND(FD15&gt;0,FD15+DC15&lt;=$FK$3),FD15,AND(FD15&gt;0,FD15+DC15&gt;$FK$3),0),0)
)</f>
        <v>0</v>
      </c>
      <c r="HG15" s="152" cm="1">
        <f t="array" ref="HG15">IF($C15="Production",
IFERROR(_xlfn.IFS(AND(FE15&gt;0,FE15+SUM(DC15:DD15)&lt;=$FM$3),FE15,AND(FE15&gt;0,FE15+SUM(DC15:DD15)&gt;$FM$3),$FM$3-SUM(DC15:DD15)),0),
IFERROR(_xlfn.IFS(AND(FE15&gt;0,FE15+DD15&lt;=$FK$3),FE15,AND(FE15&gt;0,FE15+DD15&gt;$FK$3),0),0)
)</f>
        <v>0</v>
      </c>
      <c r="HH15" s="152" cm="1">
        <f t="array" ref="HH15">IF($C15="Production",
IFERROR(_xlfn.IFS(AND(FF15&gt;0,FF15+SUM(DD15:DE15)&lt;=$FM$3),FF15,AND(FF15&gt;0,FF15+SUM(DD15:DE15)&gt;$FM$3),$FM$3-SUM(DD15:DE15)),0),
IFERROR(_xlfn.IFS(AND(FF15&gt;0,FF15+DE15&lt;=$FK$3),FF15,AND(FF15&gt;0,FF15+DE15&gt;$FK$3),0),0)
)</f>
        <v>0</v>
      </c>
      <c r="HI15" s="156" cm="1">
        <f t="array" ref="HI15">IF($C15="Production",
IFERROR(_xlfn.IFS(AND(FG15&gt;0,FG15+SUM(DE15:DF15)&lt;=$FM$3),FG15,AND(FG15&gt;0,FG15+SUM(DE15:DF15)&gt;$FM$3),$FM$3-SUM(DE15:DF15)),0),
IFERROR(_xlfn.IFS(AND(FG15&gt;0,FG15+DF15&lt;=$FK$3),FG15,AND(FG15&gt;0,FG15+DF15&gt;$FK$3),0),0)
)</f>
        <v>0</v>
      </c>
      <c r="HJ15" s="113">
        <f t="shared" si="110"/>
        <v>8.5</v>
      </c>
      <c r="HK15" s="80"/>
      <c r="HL15" s="112">
        <f t="shared" si="56"/>
        <v>0</v>
      </c>
      <c r="HM15" s="138">
        <f t="shared" si="57"/>
        <v>0</v>
      </c>
      <c r="HN15" s="138">
        <f t="shared" si="58"/>
        <v>0</v>
      </c>
      <c r="HO15" s="138">
        <f t="shared" si="59"/>
        <v>0</v>
      </c>
      <c r="HP15" s="138">
        <f t="shared" si="60"/>
        <v>0</v>
      </c>
      <c r="HQ15" s="138">
        <f t="shared" si="61"/>
        <v>0</v>
      </c>
      <c r="HR15" s="138">
        <f t="shared" si="62"/>
        <v>0</v>
      </c>
      <c r="HS15" s="138">
        <f t="shared" si="63"/>
        <v>0</v>
      </c>
      <c r="HT15" s="138">
        <f t="shared" si="64"/>
        <v>0</v>
      </c>
      <c r="HU15" s="138">
        <f t="shared" si="65"/>
        <v>0</v>
      </c>
      <c r="HV15" s="138">
        <f t="shared" si="66"/>
        <v>0</v>
      </c>
      <c r="HW15" s="138">
        <f t="shared" si="67"/>
        <v>0</v>
      </c>
      <c r="HX15" s="138">
        <f t="shared" si="68"/>
        <v>0</v>
      </c>
      <c r="HY15" s="138">
        <f t="shared" si="69"/>
        <v>0</v>
      </c>
      <c r="HZ15" s="138">
        <f t="shared" si="70"/>
        <v>0</v>
      </c>
      <c r="IA15" s="138">
        <f t="shared" si="71"/>
        <v>0</v>
      </c>
      <c r="IB15" s="138">
        <f t="shared" si="72"/>
        <v>0</v>
      </c>
      <c r="IC15" s="138">
        <f t="shared" si="73"/>
        <v>0</v>
      </c>
      <c r="ID15" s="138">
        <f t="shared" si="74"/>
        <v>0</v>
      </c>
      <c r="IE15" s="138">
        <f t="shared" si="75"/>
        <v>0</v>
      </c>
      <c r="IF15" s="138">
        <f t="shared" si="76"/>
        <v>0</v>
      </c>
      <c r="IG15" s="138">
        <f t="shared" si="77"/>
        <v>0</v>
      </c>
      <c r="IH15" s="138">
        <f t="shared" si="78"/>
        <v>0</v>
      </c>
      <c r="II15" s="138">
        <f t="shared" si="79"/>
        <v>0</v>
      </c>
      <c r="IJ15" s="138">
        <f t="shared" si="80"/>
        <v>0</v>
      </c>
      <c r="IK15" s="138">
        <f t="shared" si="81"/>
        <v>0</v>
      </c>
      <c r="IL15" s="138">
        <f t="shared" si="82"/>
        <v>0</v>
      </c>
      <c r="IM15" s="138">
        <f t="shared" si="83"/>
        <v>0</v>
      </c>
      <c r="IN15" s="138">
        <f t="shared" si="84"/>
        <v>0</v>
      </c>
      <c r="IO15" s="138">
        <f t="shared" si="85"/>
        <v>0</v>
      </c>
      <c r="IP15" s="138">
        <f t="shared" si="86"/>
        <v>0</v>
      </c>
      <c r="IQ15" s="138">
        <f t="shared" si="87"/>
        <v>0</v>
      </c>
      <c r="IR15" s="138">
        <f t="shared" si="88"/>
        <v>0</v>
      </c>
      <c r="IS15" s="138">
        <f t="shared" si="89"/>
        <v>0</v>
      </c>
      <c r="IT15" s="138">
        <f t="shared" si="90"/>
        <v>0</v>
      </c>
      <c r="IU15" s="138">
        <f t="shared" si="91"/>
        <v>0</v>
      </c>
      <c r="IV15" s="138">
        <f t="shared" si="92"/>
        <v>0</v>
      </c>
      <c r="IW15" s="138">
        <f t="shared" si="93"/>
        <v>0</v>
      </c>
      <c r="IX15" s="138">
        <f t="shared" si="94"/>
        <v>0</v>
      </c>
      <c r="IY15" s="138">
        <f t="shared" si="95"/>
        <v>0</v>
      </c>
      <c r="IZ15" s="138">
        <f t="shared" si="96"/>
        <v>0</v>
      </c>
      <c r="JA15" s="138">
        <f t="shared" si="97"/>
        <v>0</v>
      </c>
      <c r="JB15" s="138">
        <f t="shared" si="98"/>
        <v>0</v>
      </c>
      <c r="JC15" s="138">
        <f t="shared" si="99"/>
        <v>0</v>
      </c>
      <c r="JD15" s="138">
        <f t="shared" si="100"/>
        <v>0</v>
      </c>
      <c r="JE15" s="138">
        <f t="shared" si="101"/>
        <v>0</v>
      </c>
      <c r="JF15" s="138">
        <f t="shared" si="102"/>
        <v>0</v>
      </c>
      <c r="JG15" s="138">
        <f t="shared" si="103"/>
        <v>0</v>
      </c>
      <c r="JH15" s="138">
        <f t="shared" si="104"/>
        <v>0</v>
      </c>
      <c r="JI15" s="138">
        <f t="shared" si="105"/>
        <v>0</v>
      </c>
      <c r="JJ15" s="138">
        <f t="shared" si="106"/>
        <v>0</v>
      </c>
      <c r="JK15" s="138">
        <f t="shared" si="107"/>
        <v>0</v>
      </c>
      <c r="JL15" s="118">
        <f t="shared" si="111"/>
        <v>0</v>
      </c>
      <c r="JO15" s="90">
        <f t="shared" si="112"/>
        <v>8.5</v>
      </c>
      <c r="JP15" s="79">
        <f t="shared" si="108"/>
        <v>0</v>
      </c>
      <c r="JQ15" s="91">
        <f t="shared" si="2"/>
        <v>10.625</v>
      </c>
      <c r="JS15" s="123">
        <f t="shared" si="109"/>
        <v>0</v>
      </c>
      <c r="JU15" s="123">
        <f t="shared" si="113"/>
        <v>10.625</v>
      </c>
    </row>
    <row r="16" spans="2:281" x14ac:dyDescent="0.15">
      <c r="B16" s="82" t="str">
        <f>'MODU 2025'!B19</f>
        <v>COLLINS Tom</v>
      </c>
      <c r="C16" s="82" t="str">
        <f>'MODU 2025'!C19</f>
        <v>Production</v>
      </c>
      <c r="D16" s="82">
        <f>'MODU 2025'!D19</f>
        <v>37</v>
      </c>
      <c r="E16" s="82"/>
      <c r="F16" s="133">
        <f>'MODU 2025'!G19</f>
        <v>33</v>
      </c>
      <c r="G16" s="140">
        <f>'MODU 2025'!H19</f>
        <v>41</v>
      </c>
      <c r="H16" s="140">
        <f>'MODU 2025'!I19</f>
        <v>33</v>
      </c>
      <c r="I16" s="140">
        <f>'MODU 2025'!J19</f>
        <v>40.75</v>
      </c>
      <c r="J16" s="140">
        <f>'MODU 2025'!K19</f>
        <v>33</v>
      </c>
      <c r="K16" s="140">
        <f>'MODU 2025'!L19</f>
        <v>41</v>
      </c>
      <c r="L16" s="140">
        <f>'MODU 2025'!M19</f>
        <v>39</v>
      </c>
      <c r="M16" s="140">
        <f>'MODU 2025'!N19</f>
        <v>39</v>
      </c>
      <c r="N16" s="140">
        <f>'MODU 2025'!O19</f>
        <v>39</v>
      </c>
      <c r="O16" s="140">
        <f>'MODU 2025'!P19</f>
        <v>41</v>
      </c>
      <c r="P16" s="140">
        <f>'MODU 2025'!Q19</f>
        <v>33</v>
      </c>
      <c r="Q16" s="140">
        <f>'MODU 2025'!R19</f>
        <v>41</v>
      </c>
      <c r="R16" s="140">
        <f>'MODU 2025'!S19</f>
        <v>33</v>
      </c>
      <c r="S16" s="140">
        <f>'MODU 2025'!T19</f>
        <v>41</v>
      </c>
      <c r="T16" s="140">
        <f>'MODU 2025'!U19</f>
        <v>33</v>
      </c>
      <c r="U16" s="140">
        <f>'MODU 2025'!V19</f>
        <v>41</v>
      </c>
      <c r="V16" s="140">
        <f>'MODU 2025'!W19</f>
        <v>33</v>
      </c>
      <c r="W16" s="140">
        <f>'MODU 2025'!X19</f>
        <v>41</v>
      </c>
      <c r="X16" s="140">
        <f>'MODU 2025'!Y19</f>
        <v>33</v>
      </c>
      <c r="Y16" s="140">
        <f>'MODU 2025'!Z19</f>
        <v>41</v>
      </c>
      <c r="Z16" s="140">
        <f>'MODU 2025'!AA19</f>
        <v>33</v>
      </c>
      <c r="AA16" s="140">
        <f>'MODU 2025'!AB19</f>
        <v>41</v>
      </c>
      <c r="AB16" s="140">
        <f>'MODU 2025'!AC19</f>
        <v>33</v>
      </c>
      <c r="AC16" s="140">
        <f>'MODU 2025'!AD19</f>
        <v>41</v>
      </c>
      <c r="AD16" s="140">
        <f>'MODU 2025'!AE19</f>
        <v>33</v>
      </c>
      <c r="AE16" s="140">
        <f>'MODU 2025'!AF19</f>
        <v>41</v>
      </c>
      <c r="AF16" s="140">
        <f>'MODU 2025'!AG19</f>
        <v>33</v>
      </c>
      <c r="AG16" s="140">
        <f>'MODU 2025'!AH19</f>
        <v>41</v>
      </c>
      <c r="AH16" s="140">
        <f>'MODU 2025'!AI19</f>
        <v>33</v>
      </c>
      <c r="AI16" s="140">
        <f>'MODU 2025'!AJ19</f>
        <v>41</v>
      </c>
      <c r="AJ16" s="140">
        <f>'MODU 2025'!AK19</f>
        <v>33</v>
      </c>
      <c r="AK16" s="140">
        <f>'MODU 2025'!AL19</f>
        <v>41</v>
      </c>
      <c r="AL16" s="140">
        <f>'MODU 2025'!AM19</f>
        <v>33</v>
      </c>
      <c r="AM16" s="140">
        <f>'MODU 2025'!AN19</f>
        <v>41</v>
      </c>
      <c r="AN16" s="140">
        <f>'MODU 2025'!AO19</f>
        <v>33</v>
      </c>
      <c r="AO16" s="140">
        <f>'MODU 2025'!AP19</f>
        <v>41</v>
      </c>
      <c r="AP16" s="140">
        <f>'MODU 2025'!AQ19</f>
        <v>33</v>
      </c>
      <c r="AQ16" s="140">
        <f>'MODU 2025'!AR19</f>
        <v>41</v>
      </c>
      <c r="AR16" s="140">
        <f>'MODU 2025'!AS19</f>
        <v>33</v>
      </c>
      <c r="AS16" s="140">
        <f>'MODU 2025'!AT19</f>
        <v>41</v>
      </c>
      <c r="AT16" s="140">
        <f>'MODU 2025'!AU19</f>
        <v>33</v>
      </c>
      <c r="AU16" s="140">
        <f>'MODU 2025'!AV19</f>
        <v>41</v>
      </c>
      <c r="AV16" s="140">
        <f>'MODU 2025'!AW19</f>
        <v>33</v>
      </c>
      <c r="AW16" s="140">
        <f>'MODU 2025'!AX19</f>
        <v>41</v>
      </c>
      <c r="AX16" s="140">
        <f>'MODU 2025'!AY19</f>
        <v>33</v>
      </c>
      <c r="AY16" s="140">
        <f>'MODU 2025'!AZ19</f>
        <v>41</v>
      </c>
      <c r="AZ16" s="140">
        <f>'MODU 2025'!BA19</f>
        <v>33</v>
      </c>
      <c r="BA16" s="140">
        <f>'MODU 2025'!BB19</f>
        <v>41</v>
      </c>
      <c r="BB16" s="140">
        <f>'MODU 2025'!BC19</f>
        <v>33</v>
      </c>
      <c r="BC16" s="140">
        <f>'MODU 2025'!BD19</f>
        <v>41</v>
      </c>
      <c r="BD16" s="140">
        <f>'MODU 2025'!BE19</f>
        <v>33</v>
      </c>
      <c r="BE16" s="134">
        <f>'MODU 2025'!BF19</f>
        <v>41</v>
      </c>
      <c r="BF16" s="82"/>
      <c r="BG16" s="107">
        <v>33</v>
      </c>
      <c r="BH16" s="145">
        <v>41</v>
      </c>
      <c r="BI16" s="145">
        <v>33</v>
      </c>
      <c r="BJ16" s="145">
        <v>41</v>
      </c>
      <c r="BK16" s="145">
        <v>33</v>
      </c>
      <c r="BL16" s="145">
        <v>41</v>
      </c>
      <c r="BM16" s="145">
        <v>33</v>
      </c>
      <c r="BN16" s="145">
        <v>41</v>
      </c>
      <c r="BO16" s="145">
        <v>33</v>
      </c>
      <c r="BP16" s="145">
        <v>41</v>
      </c>
      <c r="BQ16" s="145">
        <v>33</v>
      </c>
      <c r="BR16" s="145">
        <v>41</v>
      </c>
      <c r="BS16" s="145">
        <v>33</v>
      </c>
      <c r="BT16" s="145">
        <v>41</v>
      </c>
      <c r="BU16" s="145">
        <v>33</v>
      </c>
      <c r="BV16" s="145">
        <v>41</v>
      </c>
      <c r="BW16" s="145">
        <v>33</v>
      </c>
      <c r="BX16" s="145">
        <v>41</v>
      </c>
      <c r="BY16" s="145">
        <v>33</v>
      </c>
      <c r="BZ16" s="145">
        <v>41</v>
      </c>
      <c r="CA16" s="145">
        <v>33</v>
      </c>
      <c r="CB16" s="145">
        <v>41</v>
      </c>
      <c r="CC16" s="145">
        <v>33</v>
      </c>
      <c r="CD16" s="145">
        <v>41</v>
      </c>
      <c r="CE16" s="145">
        <v>33</v>
      </c>
      <c r="CF16" s="145">
        <v>41</v>
      </c>
      <c r="CG16" s="145">
        <v>33</v>
      </c>
      <c r="CH16" s="145">
        <v>41</v>
      </c>
      <c r="CI16" s="145">
        <v>33</v>
      </c>
      <c r="CJ16" s="145">
        <v>41</v>
      </c>
      <c r="CK16" s="145">
        <v>33</v>
      </c>
      <c r="CL16" s="145">
        <v>41</v>
      </c>
      <c r="CM16" s="145">
        <v>33</v>
      </c>
      <c r="CN16" s="145">
        <v>41</v>
      </c>
      <c r="CO16" s="145">
        <v>33</v>
      </c>
      <c r="CP16" s="145">
        <v>41</v>
      </c>
      <c r="CQ16" s="145">
        <v>33</v>
      </c>
      <c r="CR16" s="145">
        <v>41</v>
      </c>
      <c r="CS16" s="145">
        <v>33</v>
      </c>
      <c r="CT16" s="145">
        <v>41</v>
      </c>
      <c r="CU16" s="145">
        <v>33</v>
      </c>
      <c r="CV16" s="145">
        <v>41</v>
      </c>
      <c r="CW16" s="145">
        <v>33</v>
      </c>
      <c r="CX16" s="145">
        <v>41</v>
      </c>
      <c r="CY16" s="145">
        <v>33</v>
      </c>
      <c r="CZ16" s="145">
        <v>41</v>
      </c>
      <c r="DA16" s="145">
        <v>33</v>
      </c>
      <c r="DB16" s="145">
        <v>41</v>
      </c>
      <c r="DC16" s="145">
        <v>33</v>
      </c>
      <c r="DD16" s="145">
        <v>41</v>
      </c>
      <c r="DE16" s="145">
        <v>33</v>
      </c>
      <c r="DF16" s="108">
        <v>41</v>
      </c>
      <c r="DG16" s="84"/>
      <c r="DH16" s="112">
        <f t="shared" si="3"/>
        <v>0</v>
      </c>
      <c r="DI16" s="138">
        <f t="shared" si="4"/>
        <v>0</v>
      </c>
      <c r="DJ16" s="138">
        <f t="shared" si="5"/>
        <v>0</v>
      </c>
      <c r="DK16" s="138">
        <f t="shared" si="6"/>
        <v>-0.25</v>
      </c>
      <c r="DL16" s="138">
        <f t="shared" si="7"/>
        <v>0</v>
      </c>
      <c r="DM16" s="138">
        <f t="shared" si="8"/>
        <v>0</v>
      </c>
      <c r="DN16" s="138">
        <f t="shared" si="9"/>
        <v>0</v>
      </c>
      <c r="DO16" s="138">
        <f t="shared" si="10"/>
        <v>4</v>
      </c>
      <c r="DP16" s="138">
        <f t="shared" si="11"/>
        <v>0</v>
      </c>
      <c r="DQ16" s="138">
        <f t="shared" si="12"/>
        <v>6</v>
      </c>
      <c r="DR16" s="138">
        <f t="shared" si="13"/>
        <v>0</v>
      </c>
      <c r="DS16" s="138">
        <f t="shared" si="14"/>
        <v>0</v>
      </c>
      <c r="DT16" s="138">
        <f t="shared" si="15"/>
        <v>0</v>
      </c>
      <c r="DU16" s="138">
        <f t="shared" si="16"/>
        <v>0</v>
      </c>
      <c r="DV16" s="138">
        <f t="shared" si="17"/>
        <v>0</v>
      </c>
      <c r="DW16" s="138">
        <f t="shared" si="18"/>
        <v>0</v>
      </c>
      <c r="DX16" s="138">
        <f t="shared" si="19"/>
        <v>0</v>
      </c>
      <c r="DY16" s="138">
        <f t="shared" si="20"/>
        <v>0</v>
      </c>
      <c r="DZ16" s="138">
        <f t="shared" si="21"/>
        <v>0</v>
      </c>
      <c r="EA16" s="138">
        <f t="shared" si="22"/>
        <v>0</v>
      </c>
      <c r="EB16" s="138">
        <f t="shared" si="23"/>
        <v>0</v>
      </c>
      <c r="EC16" s="138">
        <f t="shared" si="24"/>
        <v>0</v>
      </c>
      <c r="ED16" s="138">
        <f t="shared" si="25"/>
        <v>0</v>
      </c>
      <c r="EE16" s="138">
        <f t="shared" si="26"/>
        <v>0</v>
      </c>
      <c r="EF16" s="138">
        <f t="shared" si="27"/>
        <v>0</v>
      </c>
      <c r="EG16" s="138">
        <f t="shared" si="28"/>
        <v>0</v>
      </c>
      <c r="EH16" s="138">
        <f t="shared" si="29"/>
        <v>0</v>
      </c>
      <c r="EI16" s="138">
        <f t="shared" si="30"/>
        <v>0</v>
      </c>
      <c r="EJ16" s="138">
        <f t="shared" si="31"/>
        <v>0</v>
      </c>
      <c r="EK16" s="138">
        <f t="shared" si="32"/>
        <v>0</v>
      </c>
      <c r="EL16" s="138">
        <f t="shared" si="33"/>
        <v>0</v>
      </c>
      <c r="EM16" s="138">
        <f t="shared" si="34"/>
        <v>0</v>
      </c>
      <c r="EN16" s="138">
        <f t="shared" si="35"/>
        <v>0</v>
      </c>
      <c r="EO16" s="138">
        <f t="shared" si="36"/>
        <v>0</v>
      </c>
      <c r="EP16" s="138">
        <f t="shared" si="37"/>
        <v>0</v>
      </c>
      <c r="EQ16" s="138">
        <f t="shared" si="38"/>
        <v>0</v>
      </c>
      <c r="ER16" s="138">
        <f t="shared" si="39"/>
        <v>0</v>
      </c>
      <c r="ES16" s="138">
        <f t="shared" si="40"/>
        <v>0</v>
      </c>
      <c r="ET16" s="138">
        <f t="shared" si="41"/>
        <v>0</v>
      </c>
      <c r="EU16" s="138">
        <f t="shared" si="42"/>
        <v>0</v>
      </c>
      <c r="EV16" s="138">
        <f t="shared" si="43"/>
        <v>0</v>
      </c>
      <c r="EW16" s="138">
        <f t="shared" si="44"/>
        <v>0</v>
      </c>
      <c r="EX16" s="138">
        <f t="shared" si="45"/>
        <v>0</v>
      </c>
      <c r="EY16" s="138">
        <f t="shared" si="46"/>
        <v>0</v>
      </c>
      <c r="EZ16" s="138">
        <f t="shared" si="47"/>
        <v>0</v>
      </c>
      <c r="FA16" s="138">
        <f t="shared" si="48"/>
        <v>0</v>
      </c>
      <c r="FB16" s="138">
        <f t="shared" si="49"/>
        <v>0</v>
      </c>
      <c r="FC16" s="138">
        <f t="shared" si="50"/>
        <v>0</v>
      </c>
      <c r="FD16" s="138">
        <f t="shared" si="51"/>
        <v>0</v>
      </c>
      <c r="FE16" s="138">
        <f t="shared" si="52"/>
        <v>0</v>
      </c>
      <c r="FF16" s="138">
        <f t="shared" si="53"/>
        <v>0</v>
      </c>
      <c r="FG16" s="113">
        <f t="shared" si="54"/>
        <v>0</v>
      </c>
      <c r="FH16" s="113">
        <f t="shared" si="55"/>
        <v>9.75</v>
      </c>
      <c r="FI16" s="35"/>
      <c r="FJ16" s="151" cm="1">
        <f t="array" ref="FJ16">IF($C16="Production",
IFERROR(_xlfn.IFS(AND(DH16&gt;0,DH16+SUM(BF16:BG16)&lt;=$FM$3),DH16,AND(DH16&gt;0,DH16+SUM(BF16:BG16)&gt;$FM$3),$FM$3-SUM(BF16:BG16)),0),
IFERROR(_xlfn.IFS(AND(DH16&gt;0,DH16+BG16&lt;=$FK$3),DH16,AND(DH16&gt;0,DH16+BG16&gt;$FK$3),0),0)
)</f>
        <v>0</v>
      </c>
      <c r="FK16" s="152" cm="1">
        <f t="array" ref="FK16">IF($C16="Production",
IFERROR(_xlfn.IFS(AND(DI16&gt;0,DI16+SUM(BG16:BH16)&lt;=$FM$3),DI16,AND(DI16&gt;0,DI16+SUM(BG16:BH16)&gt;$FM$3),$FM$3-SUM(BG16:BH16)),0),
IFERROR(_xlfn.IFS(AND(DI16&gt;0,DI16+BH16&lt;=$FK$3),DI16,AND(DI16&gt;0,DI16+BH16&gt;$FK$3),0),0)
)</f>
        <v>0</v>
      </c>
      <c r="FL16" s="152" cm="1">
        <f t="array" ref="FL16">IF($C16="Production",
IFERROR(_xlfn.IFS(AND(DJ16&gt;0,DJ16+SUM(BH16:BI16)&lt;=$FM$3),DJ16,AND(DJ16&gt;0,DJ16+SUM(BH16:BI16)&gt;$FM$3),$FM$3-SUM(BH16:BI16)),0),
IFERROR(_xlfn.IFS(AND(DJ16&gt;0,DJ16+BI16&lt;=$FK$3),DJ16,AND(DJ16&gt;0,DJ16+BI16&gt;$FK$3),0),0)
)</f>
        <v>0</v>
      </c>
      <c r="FM16" s="152" cm="1">
        <f t="array" ref="FM16">IF($C16="Production",
IFERROR(_xlfn.IFS(AND(DK16&gt;0,DK16+SUM(BI16:BJ16)&lt;=$FM$3),DK16,AND(DK16&gt;0,DK16+SUM(BI16:BJ16)&gt;$FM$3),$FM$3-SUM(BI16:BJ16)),0),
IFERROR(_xlfn.IFS(AND(DK16&gt;0,DK16+BJ16&lt;=$FK$3),DK16,AND(DK16&gt;0,DK16+BJ16&gt;$FK$3),0),0)
)</f>
        <v>0</v>
      </c>
      <c r="FN16" s="152" cm="1">
        <f t="array" ref="FN16">IF($C16="Production",
IFERROR(_xlfn.IFS(AND(DL16&gt;0,DL16+SUM(BJ16:BK16)&lt;=$FM$3),DL16,AND(DL16&gt;0,DL16+SUM(BJ16:BK16)&gt;$FM$3),$FM$3-SUM(BJ16:BK16)),0),
IFERROR(_xlfn.IFS(AND(DL16&gt;0,DL16+BK16&lt;=$FK$3),DL16,AND(DL16&gt;0,DL16+BK16&gt;$FK$3),0),0)
)</f>
        <v>0</v>
      </c>
      <c r="FO16" s="152" cm="1">
        <f t="array" ref="FO16">IF($C16="Production",
IFERROR(_xlfn.IFS(AND(DM16&gt;0,DM16+SUM(BK16:BL16)&lt;=$FM$3),DM16,AND(DM16&gt;0,DM16+SUM(BK16:BL16)&gt;$FM$3),$FM$3-SUM(BK16:BL16)),0),
IFERROR(_xlfn.IFS(AND(DM16&gt;0,DM16+BL16&lt;=$FK$3),DM16,AND(DM16&gt;0,DM16+BL16&gt;$FK$3),0),0)
)</f>
        <v>0</v>
      </c>
      <c r="FP16" s="152" cm="1">
        <f t="array" ref="FP16">IF($C16="Production",
IFERROR(_xlfn.IFS(AND(DN16&gt;0,DN16+SUM(BL16:BM16)&lt;=$FM$3),DN16,AND(DN16&gt;0,DN16+SUM(BL16:BM16)&gt;$FM$3),$FM$3-SUM(BL16:BM16)),0),
IFERROR(_xlfn.IFS(AND(DN16&gt;0,DN16+BM16&lt;=$FK$3),DN16,AND(DN16&gt;0,DN16+BM16&gt;$FK$3),0),0)
)</f>
        <v>0</v>
      </c>
      <c r="FQ16" s="152" cm="1">
        <f t="array" ref="FQ16">IF($C16="Production",
IFERROR(_xlfn.IFS(AND(DO16&gt;0,DO16+SUM(BM16:BN16)&lt;=$FM$3),DO16,AND(DO16&gt;0,DO16+SUM(BM16:BN16)&gt;$FM$3),$FM$3-SUM(BM16:BN16)),0),
IFERROR(_xlfn.IFS(AND(DO16&gt;0,DO16+BN16&lt;=$FK$3),DO16,AND(DO16&gt;0,DO16+BN16&gt;$FK$3),0),0)
)</f>
        <v>4</v>
      </c>
      <c r="FR16" s="152" cm="1">
        <f t="array" ref="FR16">IF($C16="Production",
IFERROR(_xlfn.IFS(AND(DP16&gt;0,DP16+SUM(BN16:BO16)&lt;=$FM$3),DP16,AND(DP16&gt;0,DP16+SUM(BN16:BO16)&gt;$FM$3),$FM$3-SUM(BN16:BO16)),0),
IFERROR(_xlfn.IFS(AND(DP16&gt;0,DP16+BO16&lt;=$FK$3),DP16,AND(DP16&gt;0,DP16+BO16&gt;$FK$3),0),0)
)</f>
        <v>0</v>
      </c>
      <c r="FS16" s="152" cm="1">
        <f t="array" ref="FS16">IF($C16="Production",
IFERROR(_xlfn.IFS(AND(DQ16&gt;0,DQ16+SUM(BO16:BP16)&lt;=$FM$3),DQ16,AND(DQ16&gt;0,DQ16+SUM(BO16:BP16)&gt;$FM$3),$FM$3-SUM(BO16:BP16)),0),
IFERROR(_xlfn.IFS(AND(DQ16&gt;0,DQ16+BP16&lt;=$FK$3),DQ16,AND(DQ16&gt;0,DQ16+BP16&gt;$FK$3),0),0)
)</f>
        <v>6</v>
      </c>
      <c r="FT16" s="152" cm="1">
        <f t="array" ref="FT16">IF($C16="Production",
IFERROR(_xlfn.IFS(AND(DR16&gt;0,DR16+SUM(BP16:BQ16)&lt;=$FM$3),DR16,AND(DR16&gt;0,DR16+SUM(BP16:BQ16)&gt;$FM$3),$FM$3-SUM(BP16:BQ16)),0),
IFERROR(_xlfn.IFS(AND(DR16&gt;0,DR16+BQ16&lt;=$FK$3),DR16,AND(DR16&gt;0,DR16+BQ16&gt;$FK$3),0),0)
)</f>
        <v>0</v>
      </c>
      <c r="FU16" s="152" cm="1">
        <f t="array" ref="FU16">IF($C16="Production",
IFERROR(_xlfn.IFS(AND(DS16&gt;0,DS16+SUM(BQ16:BR16)&lt;=$FM$3),DS16,AND(DS16&gt;0,DS16+SUM(BQ16:BR16)&gt;$FM$3),$FM$3-SUM(BQ16:BR16)),0),
IFERROR(_xlfn.IFS(AND(DS16&gt;0,DS16+BR16&lt;=$FK$3),DS16,AND(DS16&gt;0,DS16+BR16&gt;$FK$3),0),0)
)</f>
        <v>0</v>
      </c>
      <c r="FV16" s="152" cm="1">
        <f t="array" ref="FV16">IF($C16="Production",
IFERROR(_xlfn.IFS(AND(DT16&gt;0,DT16+SUM(BR16:BS16)&lt;=$FM$3),DT16,AND(DT16&gt;0,DT16+SUM(BR16:BS16)&gt;$FM$3),$FM$3-SUM(BR16:BS16)),0),
IFERROR(_xlfn.IFS(AND(DT16&gt;0,DT16+BS16&lt;=$FK$3),DT16,AND(DT16&gt;0,DT16+BS16&gt;$FK$3),0),0)
)</f>
        <v>0</v>
      </c>
      <c r="FW16" s="152" cm="1">
        <f t="array" ref="FW16">IF($C16="Production",
IFERROR(_xlfn.IFS(AND(DU16&gt;0,DU16+SUM(BS16:BT16)&lt;=$FM$3),DU16,AND(DU16&gt;0,DU16+SUM(BS16:BT16)&gt;$FM$3),$FM$3-SUM(BS16:BT16)),0),
IFERROR(_xlfn.IFS(AND(DU16&gt;0,DU16+BT16&lt;=$FK$3),DU16,AND(DU16&gt;0,DU16+BT16&gt;$FK$3),0),0)
)</f>
        <v>0</v>
      </c>
      <c r="FX16" s="152" cm="1">
        <f t="array" ref="FX16">IF($C16="Production",
IFERROR(_xlfn.IFS(AND(DV16&gt;0,DV16+SUM(BT16:BU16)&lt;=$FM$3),DV16,AND(DV16&gt;0,DV16+SUM(BT16:BU16)&gt;$FM$3),$FM$3-SUM(BT16:BU16)),0),
IFERROR(_xlfn.IFS(AND(DV16&gt;0,DV16+BU16&lt;=$FK$3),DV16,AND(DV16&gt;0,DV16+BU16&gt;$FK$3),0),0)
)</f>
        <v>0</v>
      </c>
      <c r="FY16" s="152" cm="1">
        <f t="array" ref="FY16">IF($C16="Production",
IFERROR(_xlfn.IFS(AND(DW16&gt;0,DW16+SUM(BU16:BV16)&lt;=$FM$3),DW16,AND(DW16&gt;0,DW16+SUM(BU16:BV16)&gt;$FM$3),$FM$3-SUM(BU16:BV16)),0),
IFERROR(_xlfn.IFS(AND(DW16&gt;0,DW16+BV16&lt;=$FK$3),DW16,AND(DW16&gt;0,DW16+BV16&gt;$FK$3),0),0)
)</f>
        <v>0</v>
      </c>
      <c r="FZ16" s="152" cm="1">
        <f t="array" ref="FZ16">IF($C16="Production",
IFERROR(_xlfn.IFS(AND(DX16&gt;0,DX16+SUM(BV16:BW16)&lt;=$FM$3),DX16,AND(DX16&gt;0,DX16+SUM(BV16:BW16)&gt;$FM$3),$FM$3-SUM(BV16:BW16)),0),
IFERROR(_xlfn.IFS(AND(DX16&gt;0,DX16+BW16&lt;=$FK$3),DX16,AND(DX16&gt;0,DX16+BW16&gt;$FK$3),0),0)
)</f>
        <v>0</v>
      </c>
      <c r="GA16" s="152" cm="1">
        <f t="array" ref="GA16">IF($C16="Production",
IFERROR(_xlfn.IFS(AND(DY16&gt;0,DY16+SUM(BW16:BX16)&lt;=$FM$3),DY16,AND(DY16&gt;0,DY16+SUM(BW16:BX16)&gt;$FM$3),$FM$3-SUM(BW16:BX16)),0),
IFERROR(_xlfn.IFS(AND(DY16&gt;0,DY16+BX16&lt;=$FK$3),DY16,AND(DY16&gt;0,DY16+BX16&gt;$FK$3),0),0)
)</f>
        <v>0</v>
      </c>
      <c r="GB16" s="152" cm="1">
        <f t="array" ref="GB16">IF($C16="Production",
IFERROR(_xlfn.IFS(AND(DZ16&gt;0,DZ16+SUM(BX16:BY16)&lt;=$FM$3),DZ16,AND(DZ16&gt;0,DZ16+SUM(BX16:BY16)&gt;$FM$3),$FM$3-SUM(BX16:BY16)),0),
IFERROR(_xlfn.IFS(AND(DZ16&gt;0,DZ16+BY16&lt;=$FK$3),DZ16,AND(DZ16&gt;0,DZ16+BY16&gt;$FK$3),0),0)
)</f>
        <v>0</v>
      </c>
      <c r="GC16" s="152" cm="1">
        <f t="array" ref="GC16">IF($C16="Production",
IFERROR(_xlfn.IFS(AND(EA16&gt;0,EA16+SUM(BY16:BZ16)&lt;=$FM$3),EA16,AND(EA16&gt;0,EA16+SUM(BY16:BZ16)&gt;$FM$3),$FM$3-SUM(BY16:BZ16)),0),
IFERROR(_xlfn.IFS(AND(EA16&gt;0,EA16+BZ16&lt;=$FK$3),EA16,AND(EA16&gt;0,EA16+BZ16&gt;$FK$3),0),0)
)</f>
        <v>0</v>
      </c>
      <c r="GD16" s="152" cm="1">
        <f t="array" ref="GD16">IF($C16="Production",
IFERROR(_xlfn.IFS(AND(EB16&gt;0,EB16+SUM(BZ16:CA16)&lt;=$FM$3),EB16,AND(EB16&gt;0,EB16+SUM(BZ16:CA16)&gt;$FM$3),$FM$3-SUM(BZ16:CA16)),0),
IFERROR(_xlfn.IFS(AND(EB16&gt;0,EB16+CA16&lt;=$FK$3),EB16,AND(EB16&gt;0,EB16+CA16&gt;$FK$3),0),0)
)</f>
        <v>0</v>
      </c>
      <c r="GE16" s="152" cm="1">
        <f t="array" ref="GE16">IF($C16="Production",
IFERROR(_xlfn.IFS(AND(EC16&gt;0,EC16+SUM(CA16:CB16)&lt;=$FM$3),EC16,AND(EC16&gt;0,EC16+SUM(CA16:CB16)&gt;$FM$3),$FM$3-SUM(CA16:CB16)),0),
IFERROR(_xlfn.IFS(AND(EC16&gt;0,EC16+CB16&lt;=$FK$3),EC16,AND(EC16&gt;0,EC16+CB16&gt;$FK$3),0),0)
)</f>
        <v>0</v>
      </c>
      <c r="GF16" s="152" cm="1">
        <f t="array" ref="GF16">IF($C16="Production",
IFERROR(_xlfn.IFS(AND(ED16&gt;0,ED16+SUM(CB16:CC16)&lt;=$FM$3),ED16,AND(ED16&gt;0,ED16+SUM(CB16:CC16)&gt;$FM$3),$FM$3-SUM(CB16:CC16)),0),
IFERROR(_xlfn.IFS(AND(ED16&gt;0,ED16+CC16&lt;=$FK$3),ED16,AND(ED16&gt;0,ED16+CC16&gt;$FK$3),0),0)
)</f>
        <v>0</v>
      </c>
      <c r="GG16" s="152" cm="1">
        <f t="array" ref="GG16">IF($C16="Production",
IFERROR(_xlfn.IFS(AND(EE16&gt;0,EE16+SUM(CC16:CD16)&lt;=$FM$3),EE16,AND(EE16&gt;0,EE16+SUM(CC16:CD16)&gt;$FM$3),$FM$3-SUM(CC16:CD16)),0),
IFERROR(_xlfn.IFS(AND(EE16&gt;0,EE16+CD16&lt;=$FK$3),EE16,AND(EE16&gt;0,EE16+CD16&gt;$FK$3),0),0)
)</f>
        <v>0</v>
      </c>
      <c r="GH16" s="152" cm="1">
        <f t="array" ref="GH16">IF($C16="Production",
IFERROR(_xlfn.IFS(AND(EF16&gt;0,EF16+SUM(CD16:CE16)&lt;=$FM$3),EF16,AND(EF16&gt;0,EF16+SUM(CD16:CE16)&gt;$FM$3),$FM$3-SUM(CD16:CE16)),0),
IFERROR(_xlfn.IFS(AND(EF16&gt;0,EF16+CE16&lt;=$FK$3),EF16,AND(EF16&gt;0,EF16+CE16&gt;$FK$3),0),0)
)</f>
        <v>0</v>
      </c>
      <c r="GI16" s="152" cm="1">
        <f t="array" ref="GI16">IF($C16="Production",
IFERROR(_xlfn.IFS(AND(EG16&gt;0,EG16+SUM(CE16:CF16)&lt;=$FM$3),EG16,AND(EG16&gt;0,EG16+SUM(CE16:CF16)&gt;$FM$3),$FM$3-SUM(CE16:CF16)),0),
IFERROR(_xlfn.IFS(AND(EG16&gt;0,EG16+CF16&lt;=$FK$3),EG16,AND(EG16&gt;0,EG16+CF16&gt;$FK$3),0),0)
)</f>
        <v>0</v>
      </c>
      <c r="GJ16" s="152" cm="1">
        <f t="array" ref="GJ16">IF($C16="Production",
IFERROR(_xlfn.IFS(AND(EH16&gt;0,EH16+SUM(CF16:CG16)&lt;=$FM$3),EH16,AND(EH16&gt;0,EH16+SUM(CF16:CG16)&gt;$FM$3),$FM$3-SUM(CF16:CG16)),0),
IFERROR(_xlfn.IFS(AND(EH16&gt;0,EH16+CG16&lt;=$FK$3),EH16,AND(EH16&gt;0,EH16+CG16&gt;$FK$3),0),0)
)</f>
        <v>0</v>
      </c>
      <c r="GK16" s="152" cm="1">
        <f t="array" ref="GK16">IF($C16="Production",
IFERROR(_xlfn.IFS(AND(EI16&gt;0,EI16+SUM(CG16:CH16)&lt;=$FM$3),EI16,AND(EI16&gt;0,EI16+SUM(CG16:CH16)&gt;$FM$3),$FM$3-SUM(CG16:CH16)),0),
IFERROR(_xlfn.IFS(AND(EI16&gt;0,EI16+CH16&lt;=$FK$3),EI16,AND(EI16&gt;0,EI16+CH16&gt;$FK$3),0),0)
)</f>
        <v>0</v>
      </c>
      <c r="GL16" s="152" cm="1">
        <f t="array" ref="GL16">IF($C16="Production",
IFERROR(_xlfn.IFS(AND(EJ16&gt;0,EJ16+SUM(CH16:CI16)&lt;=$FM$3),EJ16,AND(EJ16&gt;0,EJ16+SUM(CH16:CI16)&gt;$FM$3),$FM$3-SUM(CH16:CI16)),0),
IFERROR(_xlfn.IFS(AND(EJ16&gt;0,EJ16+CI16&lt;=$FK$3),EJ16,AND(EJ16&gt;0,EJ16+CI16&gt;$FK$3),0),0)
)</f>
        <v>0</v>
      </c>
      <c r="GM16" s="152" cm="1">
        <f t="array" ref="GM16">IF($C16="Production",
IFERROR(_xlfn.IFS(AND(EK16&gt;0,EK16+SUM(CI16:CJ16)&lt;=$FM$3),EK16,AND(EK16&gt;0,EK16+SUM(CI16:CJ16)&gt;$FM$3),$FM$3-SUM(CI16:CJ16)),0),
IFERROR(_xlfn.IFS(AND(EK16&gt;0,EK16+CJ16&lt;=$FK$3),EK16,AND(EK16&gt;0,EK16+CJ16&gt;$FK$3),0),0)
)</f>
        <v>0</v>
      </c>
      <c r="GN16" s="152" cm="1">
        <f t="array" ref="GN16">IF($C16="Production",
IFERROR(_xlfn.IFS(AND(EL16&gt;0,EL16+SUM(CJ16:CK16)&lt;=$FM$3),EL16,AND(EL16&gt;0,EL16+SUM(CJ16:CK16)&gt;$FM$3),$FM$3-SUM(CJ16:CK16)),0),
IFERROR(_xlfn.IFS(AND(EL16&gt;0,EL16+CK16&lt;=$FK$3),EL16,AND(EL16&gt;0,EL16+CK16&gt;$FK$3),0),0)
)</f>
        <v>0</v>
      </c>
      <c r="GO16" s="152" cm="1">
        <f t="array" ref="GO16">IF($C16="Production",
IFERROR(_xlfn.IFS(AND(EM16&gt;0,EM16+SUM(CK16:CL16)&lt;=$FM$3),EM16,AND(EM16&gt;0,EM16+SUM(CK16:CL16)&gt;$FM$3),$FM$3-SUM(CK16:CL16)),0),
IFERROR(_xlfn.IFS(AND(EM16&gt;0,EM16+CL16&lt;=$FK$3),EM16,AND(EM16&gt;0,EM16+CL16&gt;$FK$3),0),0)
)</f>
        <v>0</v>
      </c>
      <c r="GP16" s="152" cm="1">
        <f t="array" ref="GP16">IF($C16="Production",
IFERROR(_xlfn.IFS(AND(EN16&gt;0,EN16+SUM(CL16:CM16)&lt;=$FM$3),EN16,AND(EN16&gt;0,EN16+SUM(CL16:CM16)&gt;$FM$3),$FM$3-SUM(CL16:CM16)),0),
IFERROR(_xlfn.IFS(AND(EN16&gt;0,EN16+CM16&lt;=$FK$3),EN16,AND(EN16&gt;0,EN16+CM16&gt;$FK$3),0),0)
)</f>
        <v>0</v>
      </c>
      <c r="GQ16" s="152" cm="1">
        <f t="array" ref="GQ16">IF($C16="Production",
IFERROR(_xlfn.IFS(AND(EO16&gt;0,EO16+SUM(CM16:CN16)&lt;=$FM$3),EO16,AND(EO16&gt;0,EO16+SUM(CM16:CN16)&gt;$FM$3),$FM$3-SUM(CM16:CN16)),0),
IFERROR(_xlfn.IFS(AND(EO16&gt;0,EO16+CN16&lt;=$FK$3),EO16,AND(EO16&gt;0,EO16+CN16&gt;$FK$3),0),0)
)</f>
        <v>0</v>
      </c>
      <c r="GR16" s="152" cm="1">
        <f t="array" ref="GR16">IF($C16="Production",
IFERROR(_xlfn.IFS(AND(EP16&gt;0,EP16+SUM(CN16:CO16)&lt;=$FM$3),EP16,AND(EP16&gt;0,EP16+SUM(CN16:CO16)&gt;$FM$3),$FM$3-SUM(CN16:CO16)),0),
IFERROR(_xlfn.IFS(AND(EP16&gt;0,EP16+CO16&lt;=$FK$3),EP16,AND(EP16&gt;0,EP16+CO16&gt;$FK$3),0),0)
)</f>
        <v>0</v>
      </c>
      <c r="GS16" s="152" cm="1">
        <f t="array" ref="GS16">IF($C16="Production",
IFERROR(_xlfn.IFS(AND(EQ16&gt;0,EQ16+SUM(CO16:CP16)&lt;=$FM$3),EQ16,AND(EQ16&gt;0,EQ16+SUM(CO16:CP16)&gt;$FM$3),$FM$3-SUM(CO16:CP16)),0),
IFERROR(_xlfn.IFS(AND(EQ16&gt;0,EQ16+CP16&lt;=$FK$3),EQ16,AND(EQ16&gt;0,EQ16+CP16&gt;$FK$3),0),0)
)</f>
        <v>0</v>
      </c>
      <c r="GT16" s="152" cm="1">
        <f t="array" ref="GT16">IF($C16="Production",
IFERROR(_xlfn.IFS(AND(ER16&gt;0,ER16+SUM(CP16:CQ16)&lt;=$FM$3),ER16,AND(ER16&gt;0,ER16+SUM(CP16:CQ16)&gt;$FM$3),$FM$3-SUM(CP16:CQ16)),0),
IFERROR(_xlfn.IFS(AND(ER16&gt;0,ER16+CQ16&lt;=$FK$3),ER16,AND(ER16&gt;0,ER16+CQ16&gt;$FK$3),0),0)
)</f>
        <v>0</v>
      </c>
      <c r="GU16" s="152" cm="1">
        <f t="array" ref="GU16">IF($C16="Production",
IFERROR(_xlfn.IFS(AND(ES16&gt;0,ES16+SUM(CQ16:CR16)&lt;=$FM$3),ES16,AND(ES16&gt;0,ES16+SUM(CQ16:CR16)&gt;$FM$3),$FM$3-SUM(CQ16:CR16)),0),
IFERROR(_xlfn.IFS(AND(ES16&gt;0,ES16+CR16&lt;=$FK$3),ES16,AND(ES16&gt;0,ES16+CR16&gt;$FK$3),0),0)
)</f>
        <v>0</v>
      </c>
      <c r="GV16" s="152" cm="1">
        <f t="array" ref="GV16">IF($C16="Production",
IFERROR(_xlfn.IFS(AND(ET16&gt;0,ET16+SUM(CR16:CS16)&lt;=$FM$3),ET16,AND(ET16&gt;0,ET16+SUM(CR16:CS16)&gt;$FM$3),$FM$3-SUM(CR16:CS16)),0),
IFERROR(_xlfn.IFS(AND(ET16&gt;0,ET16+CS16&lt;=$FK$3),ET16,AND(ET16&gt;0,ET16+CS16&gt;$FK$3),0),0)
)</f>
        <v>0</v>
      </c>
      <c r="GW16" s="152" cm="1">
        <f t="array" ref="GW16">IF($C16="Production",
IFERROR(_xlfn.IFS(AND(EU16&gt;0,EU16+SUM(CS16:CT16)&lt;=$FM$3),EU16,AND(EU16&gt;0,EU16+SUM(CS16:CT16)&gt;$FM$3),$FM$3-SUM(CS16:CT16)),0),
IFERROR(_xlfn.IFS(AND(EU16&gt;0,EU16+CT16&lt;=$FK$3),EU16,AND(EU16&gt;0,EU16+CT16&gt;$FK$3),0),0)
)</f>
        <v>0</v>
      </c>
      <c r="GX16" s="152" cm="1">
        <f t="array" ref="GX16">IF($C16="Production",
IFERROR(_xlfn.IFS(AND(EV16&gt;0,EV16+SUM(CT16:CU16)&lt;=$FM$3),EV16,AND(EV16&gt;0,EV16+SUM(CT16:CU16)&gt;$FM$3),$FM$3-SUM(CT16:CU16)),0),
IFERROR(_xlfn.IFS(AND(EV16&gt;0,EV16+CU16&lt;=$FK$3),EV16,AND(EV16&gt;0,EV16+CU16&gt;$FK$3),0),0)
)</f>
        <v>0</v>
      </c>
      <c r="GY16" s="152" cm="1">
        <f t="array" ref="GY16">IF($C16="Production",
IFERROR(_xlfn.IFS(AND(EW16&gt;0,EW16+SUM(CU16:CV16)&lt;=$FM$3),EW16,AND(EW16&gt;0,EW16+SUM(CU16:CV16)&gt;$FM$3),$FM$3-SUM(CU16:CV16)),0),
IFERROR(_xlfn.IFS(AND(EW16&gt;0,EW16+CV16&lt;=$FK$3),EW16,AND(EW16&gt;0,EW16+CV16&gt;$FK$3),0),0)
)</f>
        <v>0</v>
      </c>
      <c r="GZ16" s="152" cm="1">
        <f t="array" ref="GZ16">IF($C16="Production",
IFERROR(_xlfn.IFS(AND(EX16&gt;0,EX16+SUM(CV16:CW16)&lt;=$FM$3),EX16,AND(EX16&gt;0,EX16+SUM(CV16:CW16)&gt;$FM$3),$FM$3-SUM(CV16:CW16)),0),
IFERROR(_xlfn.IFS(AND(EX16&gt;0,EX16+CW16&lt;=$FK$3),EX16,AND(EX16&gt;0,EX16+CW16&gt;$FK$3),0),0)
)</f>
        <v>0</v>
      </c>
      <c r="HA16" s="152" cm="1">
        <f t="array" ref="HA16">IF($C16="Production",
IFERROR(_xlfn.IFS(AND(EY16&gt;0,EY16+SUM(CW16:CX16)&lt;=$FM$3),EY16,AND(EY16&gt;0,EY16+SUM(CW16:CX16)&gt;$FM$3),$FM$3-SUM(CW16:CX16)),0),
IFERROR(_xlfn.IFS(AND(EY16&gt;0,EY16+CX16&lt;=$FK$3),EY16,AND(EY16&gt;0,EY16+CX16&gt;$FK$3),0),0)
)</f>
        <v>0</v>
      </c>
      <c r="HB16" s="152" cm="1">
        <f t="array" ref="HB16">IF($C16="Production",
IFERROR(_xlfn.IFS(AND(EZ16&gt;0,EZ16+SUM(CX16:CY16)&lt;=$FM$3),EZ16,AND(EZ16&gt;0,EZ16+SUM(CX16:CY16)&gt;$FM$3),$FM$3-SUM(CX16:CY16)),0),
IFERROR(_xlfn.IFS(AND(EZ16&gt;0,EZ16+CY16&lt;=$FK$3),EZ16,AND(EZ16&gt;0,EZ16+CY16&gt;$FK$3),0),0)
)</f>
        <v>0</v>
      </c>
      <c r="HC16" s="152" cm="1">
        <f t="array" ref="HC16">IF($C16="Production",
IFERROR(_xlfn.IFS(AND(FA16&gt;0,FA16+SUM(CY16:CZ16)&lt;=$FM$3),FA16,AND(FA16&gt;0,FA16+SUM(CY16:CZ16)&gt;$FM$3),$FM$3-SUM(CY16:CZ16)),0),
IFERROR(_xlfn.IFS(AND(FA16&gt;0,FA16+CZ16&lt;=$FK$3),FA16,AND(FA16&gt;0,FA16+CZ16&gt;$FK$3),0),0)
)</f>
        <v>0</v>
      </c>
      <c r="HD16" s="152" cm="1">
        <f t="array" ref="HD16">IF($C16="Production",
IFERROR(_xlfn.IFS(AND(FB16&gt;0,FB16+SUM(CZ16:DA16)&lt;=$FM$3),FB16,AND(FB16&gt;0,FB16+SUM(CZ16:DA16)&gt;$FM$3),$FM$3-SUM(CZ16:DA16)),0),
IFERROR(_xlfn.IFS(AND(FB16&gt;0,FB16+DA16&lt;=$FK$3),FB16,AND(FB16&gt;0,FB16+DA16&gt;$FK$3),0),0)
)</f>
        <v>0</v>
      </c>
      <c r="HE16" s="152" cm="1">
        <f t="array" ref="HE16">IF($C16="Production",
IFERROR(_xlfn.IFS(AND(FC16&gt;0,FC16+SUM(DA16:DB16)&lt;=$FM$3),FC16,AND(FC16&gt;0,FC16+SUM(DA16:DB16)&gt;$FM$3),$FM$3-SUM(DA16:DB16)),0),
IFERROR(_xlfn.IFS(AND(FC16&gt;0,FC16+DB16&lt;=$FK$3),FC16,AND(FC16&gt;0,FC16+DB16&gt;$FK$3),0),0)
)</f>
        <v>0</v>
      </c>
      <c r="HF16" s="152" cm="1">
        <f t="array" ref="HF16">IF($C16="Production",
IFERROR(_xlfn.IFS(AND(FD16&gt;0,FD16+SUM(DB16:DC16)&lt;=$FM$3),FD16,AND(FD16&gt;0,FD16+SUM(DB16:DC16)&gt;$FM$3),$FM$3-SUM(DB16:DC16)),0),
IFERROR(_xlfn.IFS(AND(FD16&gt;0,FD16+DC16&lt;=$FK$3),FD16,AND(FD16&gt;0,FD16+DC16&gt;$FK$3),0),0)
)</f>
        <v>0</v>
      </c>
      <c r="HG16" s="152" cm="1">
        <f t="array" ref="HG16">IF($C16="Production",
IFERROR(_xlfn.IFS(AND(FE16&gt;0,FE16+SUM(DC16:DD16)&lt;=$FM$3),FE16,AND(FE16&gt;0,FE16+SUM(DC16:DD16)&gt;$FM$3),$FM$3-SUM(DC16:DD16)),0),
IFERROR(_xlfn.IFS(AND(FE16&gt;0,FE16+DD16&lt;=$FK$3),FE16,AND(FE16&gt;0,FE16+DD16&gt;$FK$3),0),0)
)</f>
        <v>0</v>
      </c>
      <c r="HH16" s="152" cm="1">
        <f t="array" ref="HH16">IF($C16="Production",
IFERROR(_xlfn.IFS(AND(FF16&gt;0,FF16+SUM(DD16:DE16)&lt;=$FM$3),FF16,AND(FF16&gt;0,FF16+SUM(DD16:DE16)&gt;$FM$3),$FM$3-SUM(DD16:DE16)),0),
IFERROR(_xlfn.IFS(AND(FF16&gt;0,FF16+DE16&lt;=$FK$3),FF16,AND(FF16&gt;0,FF16+DE16&gt;$FK$3),0),0)
)</f>
        <v>0</v>
      </c>
      <c r="HI16" s="156" cm="1">
        <f t="array" ref="HI16">IF($C16="Production",
IFERROR(_xlfn.IFS(AND(FG16&gt;0,FG16+SUM(DE16:DF16)&lt;=$FM$3),FG16,AND(FG16&gt;0,FG16+SUM(DE16:DF16)&gt;$FM$3),$FM$3-SUM(DE16:DF16)),0),
IFERROR(_xlfn.IFS(AND(FG16&gt;0,FG16+DF16&lt;=$FK$3),FG16,AND(FG16&gt;0,FG16+DF16&gt;$FK$3),0),0)
)</f>
        <v>0</v>
      </c>
      <c r="HJ16" s="113">
        <f t="shared" si="110"/>
        <v>10</v>
      </c>
      <c r="HK16" s="80"/>
      <c r="HL16" s="112">
        <f t="shared" si="56"/>
        <v>0</v>
      </c>
      <c r="HM16" s="138">
        <f t="shared" si="57"/>
        <v>0</v>
      </c>
      <c r="HN16" s="138">
        <f t="shared" si="58"/>
        <v>0</v>
      </c>
      <c r="HO16" s="138">
        <f t="shared" si="59"/>
        <v>0</v>
      </c>
      <c r="HP16" s="138">
        <f t="shared" si="60"/>
        <v>0</v>
      </c>
      <c r="HQ16" s="138">
        <f t="shared" si="61"/>
        <v>0</v>
      </c>
      <c r="HR16" s="138">
        <f t="shared" si="62"/>
        <v>0</v>
      </c>
      <c r="HS16" s="138">
        <f t="shared" si="63"/>
        <v>0</v>
      </c>
      <c r="HT16" s="138">
        <f t="shared" si="64"/>
        <v>0</v>
      </c>
      <c r="HU16" s="138">
        <f t="shared" si="65"/>
        <v>0</v>
      </c>
      <c r="HV16" s="138">
        <f t="shared" si="66"/>
        <v>0</v>
      </c>
      <c r="HW16" s="138">
        <f t="shared" si="67"/>
        <v>0</v>
      </c>
      <c r="HX16" s="138">
        <f t="shared" si="68"/>
        <v>0</v>
      </c>
      <c r="HY16" s="138">
        <f t="shared" si="69"/>
        <v>0</v>
      </c>
      <c r="HZ16" s="138">
        <f t="shared" si="70"/>
        <v>0</v>
      </c>
      <c r="IA16" s="138">
        <f t="shared" si="71"/>
        <v>0</v>
      </c>
      <c r="IB16" s="138">
        <f t="shared" si="72"/>
        <v>0</v>
      </c>
      <c r="IC16" s="138">
        <f t="shared" si="73"/>
        <v>0</v>
      </c>
      <c r="ID16" s="138">
        <f t="shared" si="74"/>
        <v>0</v>
      </c>
      <c r="IE16" s="138">
        <f t="shared" si="75"/>
        <v>0</v>
      </c>
      <c r="IF16" s="138">
        <f t="shared" si="76"/>
        <v>0</v>
      </c>
      <c r="IG16" s="138">
        <f t="shared" si="77"/>
        <v>0</v>
      </c>
      <c r="IH16" s="138">
        <f t="shared" si="78"/>
        <v>0</v>
      </c>
      <c r="II16" s="138">
        <f t="shared" si="79"/>
        <v>0</v>
      </c>
      <c r="IJ16" s="138">
        <f t="shared" si="80"/>
        <v>0</v>
      </c>
      <c r="IK16" s="138">
        <f t="shared" si="81"/>
        <v>0</v>
      </c>
      <c r="IL16" s="138">
        <f t="shared" si="82"/>
        <v>0</v>
      </c>
      <c r="IM16" s="138">
        <f t="shared" si="83"/>
        <v>0</v>
      </c>
      <c r="IN16" s="138">
        <f t="shared" si="84"/>
        <v>0</v>
      </c>
      <c r="IO16" s="138">
        <f t="shared" si="85"/>
        <v>0</v>
      </c>
      <c r="IP16" s="138">
        <f t="shared" si="86"/>
        <v>0</v>
      </c>
      <c r="IQ16" s="138">
        <f t="shared" si="87"/>
        <v>0</v>
      </c>
      <c r="IR16" s="138">
        <f t="shared" si="88"/>
        <v>0</v>
      </c>
      <c r="IS16" s="138">
        <f t="shared" si="89"/>
        <v>0</v>
      </c>
      <c r="IT16" s="138">
        <f t="shared" si="90"/>
        <v>0</v>
      </c>
      <c r="IU16" s="138">
        <f t="shared" si="91"/>
        <v>0</v>
      </c>
      <c r="IV16" s="138">
        <f t="shared" si="92"/>
        <v>0</v>
      </c>
      <c r="IW16" s="138">
        <f t="shared" si="93"/>
        <v>0</v>
      </c>
      <c r="IX16" s="138">
        <f t="shared" si="94"/>
        <v>0</v>
      </c>
      <c r="IY16" s="138">
        <f t="shared" si="95"/>
        <v>0</v>
      </c>
      <c r="IZ16" s="138">
        <f t="shared" si="96"/>
        <v>0</v>
      </c>
      <c r="JA16" s="138">
        <f t="shared" si="97"/>
        <v>0</v>
      </c>
      <c r="JB16" s="138">
        <f t="shared" si="98"/>
        <v>0</v>
      </c>
      <c r="JC16" s="138">
        <f t="shared" si="99"/>
        <v>0</v>
      </c>
      <c r="JD16" s="138">
        <f t="shared" si="100"/>
        <v>0</v>
      </c>
      <c r="JE16" s="138">
        <f t="shared" si="101"/>
        <v>0</v>
      </c>
      <c r="JF16" s="138">
        <f t="shared" si="102"/>
        <v>0</v>
      </c>
      <c r="JG16" s="138">
        <f t="shared" si="103"/>
        <v>0</v>
      </c>
      <c r="JH16" s="138">
        <f t="shared" si="104"/>
        <v>0</v>
      </c>
      <c r="JI16" s="138">
        <f t="shared" si="105"/>
        <v>0</v>
      </c>
      <c r="JJ16" s="138">
        <f t="shared" si="106"/>
        <v>0</v>
      </c>
      <c r="JK16" s="138">
        <f t="shared" si="107"/>
        <v>0</v>
      </c>
      <c r="JL16" s="118">
        <f t="shared" si="111"/>
        <v>0</v>
      </c>
      <c r="JO16" s="90">
        <f t="shared" si="112"/>
        <v>10</v>
      </c>
      <c r="JP16" s="79">
        <f t="shared" si="108"/>
        <v>0</v>
      </c>
      <c r="JQ16" s="91">
        <f t="shared" si="2"/>
        <v>12.5</v>
      </c>
      <c r="JS16" s="123">
        <f t="shared" si="109"/>
        <v>-0.25</v>
      </c>
      <c r="JU16" s="123">
        <f t="shared" si="113"/>
        <v>12.25</v>
      </c>
    </row>
    <row r="17" spans="2:281" x14ac:dyDescent="0.15">
      <c r="B17" s="82" t="str">
        <f>'MODU 2025'!B20</f>
        <v>CORTOT Catherine</v>
      </c>
      <c r="C17" s="82" t="str">
        <f>'MODU 2025'!C20</f>
        <v>Production</v>
      </c>
      <c r="D17" s="82">
        <f>'MODU 2025'!D20</f>
        <v>37</v>
      </c>
      <c r="E17" s="82"/>
      <c r="F17" s="133">
        <f>'MODU 2025'!G20</f>
        <v>33</v>
      </c>
      <c r="G17" s="140">
        <f>'MODU 2025'!H20</f>
        <v>41</v>
      </c>
      <c r="H17" s="140">
        <f>'MODU 2025'!I20</f>
        <v>33</v>
      </c>
      <c r="I17" s="140">
        <f>'MODU 2025'!J20</f>
        <v>41</v>
      </c>
      <c r="J17" s="140">
        <f>'MODU 2025'!K20</f>
        <v>33</v>
      </c>
      <c r="K17" s="140">
        <f>'MODU 2025'!L20</f>
        <v>41</v>
      </c>
      <c r="L17" s="140">
        <f>'MODU 2025'!M20</f>
        <v>33</v>
      </c>
      <c r="M17" s="140">
        <f>'MODU 2025'!N20</f>
        <v>41</v>
      </c>
      <c r="N17" s="140">
        <f>'MODU 2025'!O20</f>
        <v>33.5</v>
      </c>
      <c r="O17" s="140">
        <f>'MODU 2025'!P20</f>
        <v>41</v>
      </c>
      <c r="P17" s="140">
        <f>'MODU 2025'!Q20</f>
        <v>33</v>
      </c>
      <c r="Q17" s="140">
        <f>'MODU 2025'!R20</f>
        <v>41</v>
      </c>
      <c r="R17" s="140">
        <f>'MODU 2025'!S20</f>
        <v>33</v>
      </c>
      <c r="S17" s="140">
        <f>'MODU 2025'!T20</f>
        <v>41</v>
      </c>
      <c r="T17" s="140">
        <f>'MODU 2025'!U20</f>
        <v>33</v>
      </c>
      <c r="U17" s="140">
        <f>'MODU 2025'!V20</f>
        <v>41</v>
      </c>
      <c r="V17" s="140">
        <f>'MODU 2025'!W20</f>
        <v>33</v>
      </c>
      <c r="W17" s="140">
        <f>'MODU 2025'!X20</f>
        <v>41</v>
      </c>
      <c r="X17" s="140">
        <f>'MODU 2025'!Y20</f>
        <v>33</v>
      </c>
      <c r="Y17" s="140">
        <f>'MODU 2025'!Z20</f>
        <v>41</v>
      </c>
      <c r="Z17" s="140">
        <f>'MODU 2025'!AA20</f>
        <v>33</v>
      </c>
      <c r="AA17" s="140">
        <f>'MODU 2025'!AB20</f>
        <v>41</v>
      </c>
      <c r="AB17" s="140">
        <f>'MODU 2025'!AC20</f>
        <v>33</v>
      </c>
      <c r="AC17" s="140">
        <f>'MODU 2025'!AD20</f>
        <v>41</v>
      </c>
      <c r="AD17" s="140">
        <f>'MODU 2025'!AE20</f>
        <v>33</v>
      </c>
      <c r="AE17" s="140">
        <f>'MODU 2025'!AF20</f>
        <v>41</v>
      </c>
      <c r="AF17" s="140">
        <f>'MODU 2025'!AG20</f>
        <v>33</v>
      </c>
      <c r="AG17" s="140">
        <f>'MODU 2025'!AH20</f>
        <v>41</v>
      </c>
      <c r="AH17" s="140">
        <f>'MODU 2025'!AI20</f>
        <v>33</v>
      </c>
      <c r="AI17" s="140">
        <f>'MODU 2025'!AJ20</f>
        <v>41</v>
      </c>
      <c r="AJ17" s="140">
        <f>'MODU 2025'!AK20</f>
        <v>33</v>
      </c>
      <c r="AK17" s="140">
        <f>'MODU 2025'!AL20</f>
        <v>41</v>
      </c>
      <c r="AL17" s="140">
        <f>'MODU 2025'!AM20</f>
        <v>33</v>
      </c>
      <c r="AM17" s="140">
        <f>'MODU 2025'!AN20</f>
        <v>41</v>
      </c>
      <c r="AN17" s="140">
        <f>'MODU 2025'!AO20</f>
        <v>33</v>
      </c>
      <c r="AO17" s="140">
        <f>'MODU 2025'!AP20</f>
        <v>41</v>
      </c>
      <c r="AP17" s="140">
        <f>'MODU 2025'!AQ20</f>
        <v>33</v>
      </c>
      <c r="AQ17" s="140">
        <f>'MODU 2025'!AR20</f>
        <v>41</v>
      </c>
      <c r="AR17" s="140">
        <f>'MODU 2025'!AS20</f>
        <v>33</v>
      </c>
      <c r="AS17" s="140">
        <f>'MODU 2025'!AT20</f>
        <v>41</v>
      </c>
      <c r="AT17" s="140">
        <f>'MODU 2025'!AU20</f>
        <v>33</v>
      </c>
      <c r="AU17" s="140">
        <f>'MODU 2025'!AV20</f>
        <v>41</v>
      </c>
      <c r="AV17" s="140">
        <f>'MODU 2025'!AW20</f>
        <v>33</v>
      </c>
      <c r="AW17" s="140">
        <f>'MODU 2025'!AX20</f>
        <v>41</v>
      </c>
      <c r="AX17" s="140">
        <f>'MODU 2025'!AY20</f>
        <v>33</v>
      </c>
      <c r="AY17" s="140">
        <f>'MODU 2025'!AZ20</f>
        <v>41</v>
      </c>
      <c r="AZ17" s="140">
        <f>'MODU 2025'!BA20</f>
        <v>33</v>
      </c>
      <c r="BA17" s="140">
        <f>'MODU 2025'!BB20</f>
        <v>41</v>
      </c>
      <c r="BB17" s="140">
        <f>'MODU 2025'!BC20</f>
        <v>33</v>
      </c>
      <c r="BC17" s="140">
        <f>'MODU 2025'!BD20</f>
        <v>41</v>
      </c>
      <c r="BD17" s="140">
        <f>'MODU 2025'!BE20</f>
        <v>33</v>
      </c>
      <c r="BE17" s="134">
        <f>'MODU 2025'!BF20</f>
        <v>41</v>
      </c>
      <c r="BF17" s="82"/>
      <c r="BG17" s="107">
        <v>33</v>
      </c>
      <c r="BH17" s="145">
        <v>41</v>
      </c>
      <c r="BI17" s="145">
        <v>33</v>
      </c>
      <c r="BJ17" s="145">
        <v>41</v>
      </c>
      <c r="BK17" s="145">
        <v>33</v>
      </c>
      <c r="BL17" s="145">
        <v>41</v>
      </c>
      <c r="BM17" s="145">
        <v>33</v>
      </c>
      <c r="BN17" s="145">
        <v>41</v>
      </c>
      <c r="BO17" s="145">
        <v>33</v>
      </c>
      <c r="BP17" s="145">
        <v>41</v>
      </c>
      <c r="BQ17" s="145">
        <v>33</v>
      </c>
      <c r="BR17" s="145">
        <v>41</v>
      </c>
      <c r="BS17" s="145">
        <v>33</v>
      </c>
      <c r="BT17" s="145">
        <v>41</v>
      </c>
      <c r="BU17" s="145">
        <v>33</v>
      </c>
      <c r="BV17" s="145">
        <v>41</v>
      </c>
      <c r="BW17" s="145">
        <v>33</v>
      </c>
      <c r="BX17" s="145">
        <v>41</v>
      </c>
      <c r="BY17" s="145">
        <v>33</v>
      </c>
      <c r="BZ17" s="145">
        <v>41</v>
      </c>
      <c r="CA17" s="145">
        <v>33</v>
      </c>
      <c r="CB17" s="145">
        <v>41</v>
      </c>
      <c r="CC17" s="145">
        <v>33</v>
      </c>
      <c r="CD17" s="145">
        <v>41</v>
      </c>
      <c r="CE17" s="145">
        <v>33</v>
      </c>
      <c r="CF17" s="145">
        <v>41</v>
      </c>
      <c r="CG17" s="145">
        <v>33</v>
      </c>
      <c r="CH17" s="145">
        <v>41</v>
      </c>
      <c r="CI17" s="145">
        <v>33</v>
      </c>
      <c r="CJ17" s="145">
        <v>41</v>
      </c>
      <c r="CK17" s="145">
        <v>33</v>
      </c>
      <c r="CL17" s="145">
        <v>41</v>
      </c>
      <c r="CM17" s="145">
        <v>33</v>
      </c>
      <c r="CN17" s="145">
        <v>41</v>
      </c>
      <c r="CO17" s="145">
        <v>33</v>
      </c>
      <c r="CP17" s="145">
        <v>41</v>
      </c>
      <c r="CQ17" s="145">
        <v>33</v>
      </c>
      <c r="CR17" s="145">
        <v>41</v>
      </c>
      <c r="CS17" s="145">
        <v>33</v>
      </c>
      <c r="CT17" s="145">
        <v>41</v>
      </c>
      <c r="CU17" s="145">
        <v>33</v>
      </c>
      <c r="CV17" s="145">
        <v>41</v>
      </c>
      <c r="CW17" s="145">
        <v>33</v>
      </c>
      <c r="CX17" s="145">
        <v>41</v>
      </c>
      <c r="CY17" s="145">
        <v>33</v>
      </c>
      <c r="CZ17" s="145">
        <v>41</v>
      </c>
      <c r="DA17" s="145">
        <v>33</v>
      </c>
      <c r="DB17" s="145">
        <v>41</v>
      </c>
      <c r="DC17" s="145">
        <v>33</v>
      </c>
      <c r="DD17" s="145">
        <v>41</v>
      </c>
      <c r="DE17" s="145">
        <v>33</v>
      </c>
      <c r="DF17" s="108">
        <v>41</v>
      </c>
      <c r="DG17" s="84"/>
      <c r="DH17" s="112">
        <f t="shared" si="3"/>
        <v>0</v>
      </c>
      <c r="DI17" s="138">
        <f t="shared" si="4"/>
        <v>0</v>
      </c>
      <c r="DJ17" s="138">
        <f t="shared" si="5"/>
        <v>0</v>
      </c>
      <c r="DK17" s="138">
        <f t="shared" si="6"/>
        <v>0</v>
      </c>
      <c r="DL17" s="138">
        <f t="shared" si="7"/>
        <v>0</v>
      </c>
      <c r="DM17" s="138">
        <f t="shared" si="8"/>
        <v>0</v>
      </c>
      <c r="DN17" s="138">
        <f t="shared" si="9"/>
        <v>0</v>
      </c>
      <c r="DO17" s="138">
        <f t="shared" si="10"/>
        <v>0</v>
      </c>
      <c r="DP17" s="138">
        <f t="shared" si="11"/>
        <v>0</v>
      </c>
      <c r="DQ17" s="138">
        <f t="shared" si="12"/>
        <v>0.5</v>
      </c>
      <c r="DR17" s="138">
        <f t="shared" si="13"/>
        <v>0</v>
      </c>
      <c r="DS17" s="138">
        <f t="shared" si="14"/>
        <v>0</v>
      </c>
      <c r="DT17" s="138">
        <f t="shared" si="15"/>
        <v>0</v>
      </c>
      <c r="DU17" s="138">
        <f t="shared" si="16"/>
        <v>0</v>
      </c>
      <c r="DV17" s="138">
        <f t="shared" si="17"/>
        <v>0</v>
      </c>
      <c r="DW17" s="138">
        <f t="shared" si="18"/>
        <v>0</v>
      </c>
      <c r="DX17" s="138">
        <f t="shared" si="19"/>
        <v>0</v>
      </c>
      <c r="DY17" s="138">
        <f t="shared" si="20"/>
        <v>0</v>
      </c>
      <c r="DZ17" s="138">
        <f t="shared" si="21"/>
        <v>0</v>
      </c>
      <c r="EA17" s="138">
        <f t="shared" si="22"/>
        <v>0</v>
      </c>
      <c r="EB17" s="138">
        <f t="shared" si="23"/>
        <v>0</v>
      </c>
      <c r="EC17" s="138">
        <f t="shared" si="24"/>
        <v>0</v>
      </c>
      <c r="ED17" s="138">
        <f t="shared" si="25"/>
        <v>0</v>
      </c>
      <c r="EE17" s="138">
        <f t="shared" si="26"/>
        <v>0</v>
      </c>
      <c r="EF17" s="138">
        <f t="shared" si="27"/>
        <v>0</v>
      </c>
      <c r="EG17" s="138">
        <f t="shared" si="28"/>
        <v>0</v>
      </c>
      <c r="EH17" s="138">
        <f t="shared" si="29"/>
        <v>0</v>
      </c>
      <c r="EI17" s="138">
        <f t="shared" si="30"/>
        <v>0</v>
      </c>
      <c r="EJ17" s="138">
        <f t="shared" si="31"/>
        <v>0</v>
      </c>
      <c r="EK17" s="138">
        <f t="shared" si="32"/>
        <v>0</v>
      </c>
      <c r="EL17" s="138">
        <f t="shared" si="33"/>
        <v>0</v>
      </c>
      <c r="EM17" s="138">
        <f t="shared" si="34"/>
        <v>0</v>
      </c>
      <c r="EN17" s="138">
        <f t="shared" si="35"/>
        <v>0</v>
      </c>
      <c r="EO17" s="138">
        <f t="shared" si="36"/>
        <v>0</v>
      </c>
      <c r="EP17" s="138">
        <f t="shared" si="37"/>
        <v>0</v>
      </c>
      <c r="EQ17" s="138">
        <f t="shared" si="38"/>
        <v>0</v>
      </c>
      <c r="ER17" s="138">
        <f t="shared" si="39"/>
        <v>0</v>
      </c>
      <c r="ES17" s="138">
        <f t="shared" si="40"/>
        <v>0</v>
      </c>
      <c r="ET17" s="138">
        <f t="shared" si="41"/>
        <v>0</v>
      </c>
      <c r="EU17" s="138">
        <f t="shared" si="42"/>
        <v>0</v>
      </c>
      <c r="EV17" s="138">
        <f t="shared" si="43"/>
        <v>0</v>
      </c>
      <c r="EW17" s="138">
        <f t="shared" si="44"/>
        <v>0</v>
      </c>
      <c r="EX17" s="138">
        <f t="shared" si="45"/>
        <v>0</v>
      </c>
      <c r="EY17" s="138">
        <f t="shared" si="46"/>
        <v>0</v>
      </c>
      <c r="EZ17" s="138">
        <f t="shared" si="47"/>
        <v>0</v>
      </c>
      <c r="FA17" s="138">
        <f t="shared" si="48"/>
        <v>0</v>
      </c>
      <c r="FB17" s="138">
        <f t="shared" si="49"/>
        <v>0</v>
      </c>
      <c r="FC17" s="138">
        <f t="shared" si="50"/>
        <v>0</v>
      </c>
      <c r="FD17" s="138">
        <f t="shared" si="51"/>
        <v>0</v>
      </c>
      <c r="FE17" s="138">
        <f t="shared" si="52"/>
        <v>0</v>
      </c>
      <c r="FF17" s="138">
        <f t="shared" si="53"/>
        <v>0</v>
      </c>
      <c r="FG17" s="113">
        <f t="shared" si="54"/>
        <v>0</v>
      </c>
      <c r="FH17" s="113">
        <f t="shared" si="55"/>
        <v>0.5</v>
      </c>
      <c r="FI17" s="35"/>
      <c r="FJ17" s="151" cm="1">
        <f t="array" ref="FJ17">IF($C17="Production",
IFERROR(_xlfn.IFS(AND(DH17&gt;0,DH17+SUM(BF17:BG17)&lt;=$FM$3),DH17,AND(DH17&gt;0,DH17+SUM(BF17:BG17)&gt;$FM$3),$FM$3-SUM(BF17:BG17)),0),
IFERROR(_xlfn.IFS(AND(DH17&gt;0,DH17+BG17&lt;=$FK$3),DH17,AND(DH17&gt;0,DH17+BG17&gt;$FK$3),0),0)
)</f>
        <v>0</v>
      </c>
      <c r="FK17" s="152" cm="1">
        <f t="array" ref="FK17">IF($C17="Production",
IFERROR(_xlfn.IFS(AND(DI17&gt;0,DI17+SUM(BG17:BH17)&lt;=$FM$3),DI17,AND(DI17&gt;0,DI17+SUM(BG17:BH17)&gt;$FM$3),$FM$3-SUM(BG17:BH17)),0),
IFERROR(_xlfn.IFS(AND(DI17&gt;0,DI17+BH17&lt;=$FK$3),DI17,AND(DI17&gt;0,DI17+BH17&gt;$FK$3),0),0)
)</f>
        <v>0</v>
      </c>
      <c r="FL17" s="152" cm="1">
        <f t="array" ref="FL17">IF($C17="Production",
IFERROR(_xlfn.IFS(AND(DJ17&gt;0,DJ17+SUM(BH17:BI17)&lt;=$FM$3),DJ17,AND(DJ17&gt;0,DJ17+SUM(BH17:BI17)&gt;$FM$3),$FM$3-SUM(BH17:BI17)),0),
IFERROR(_xlfn.IFS(AND(DJ17&gt;0,DJ17+BI17&lt;=$FK$3),DJ17,AND(DJ17&gt;0,DJ17+BI17&gt;$FK$3),0),0)
)</f>
        <v>0</v>
      </c>
      <c r="FM17" s="152" cm="1">
        <f t="array" ref="FM17">IF($C17="Production",
IFERROR(_xlfn.IFS(AND(DK17&gt;0,DK17+SUM(BI17:BJ17)&lt;=$FM$3),DK17,AND(DK17&gt;0,DK17+SUM(BI17:BJ17)&gt;$FM$3),$FM$3-SUM(BI17:BJ17)),0),
IFERROR(_xlfn.IFS(AND(DK17&gt;0,DK17+BJ17&lt;=$FK$3),DK17,AND(DK17&gt;0,DK17+BJ17&gt;$FK$3),0),0)
)</f>
        <v>0</v>
      </c>
      <c r="FN17" s="152" cm="1">
        <f t="array" ref="FN17">IF($C17="Production",
IFERROR(_xlfn.IFS(AND(DL17&gt;0,DL17+SUM(BJ17:BK17)&lt;=$FM$3),DL17,AND(DL17&gt;0,DL17+SUM(BJ17:BK17)&gt;$FM$3),$FM$3-SUM(BJ17:BK17)),0),
IFERROR(_xlfn.IFS(AND(DL17&gt;0,DL17+BK17&lt;=$FK$3),DL17,AND(DL17&gt;0,DL17+BK17&gt;$FK$3),0),0)
)</f>
        <v>0</v>
      </c>
      <c r="FO17" s="152" cm="1">
        <f t="array" ref="FO17">IF($C17="Production",
IFERROR(_xlfn.IFS(AND(DM17&gt;0,DM17+SUM(BK17:BL17)&lt;=$FM$3),DM17,AND(DM17&gt;0,DM17+SUM(BK17:BL17)&gt;$FM$3),$FM$3-SUM(BK17:BL17)),0),
IFERROR(_xlfn.IFS(AND(DM17&gt;0,DM17+BL17&lt;=$FK$3),DM17,AND(DM17&gt;0,DM17+BL17&gt;$FK$3),0),0)
)</f>
        <v>0</v>
      </c>
      <c r="FP17" s="152" cm="1">
        <f t="array" ref="FP17">IF($C17="Production",
IFERROR(_xlfn.IFS(AND(DN17&gt;0,DN17+SUM(BL17:BM17)&lt;=$FM$3),DN17,AND(DN17&gt;0,DN17+SUM(BL17:BM17)&gt;$FM$3),$FM$3-SUM(BL17:BM17)),0),
IFERROR(_xlfn.IFS(AND(DN17&gt;0,DN17+BM17&lt;=$FK$3),DN17,AND(DN17&gt;0,DN17+BM17&gt;$FK$3),0),0)
)</f>
        <v>0</v>
      </c>
      <c r="FQ17" s="152" cm="1">
        <f t="array" ref="FQ17">IF($C17="Production",
IFERROR(_xlfn.IFS(AND(DO17&gt;0,DO17+SUM(BM17:BN17)&lt;=$FM$3),DO17,AND(DO17&gt;0,DO17+SUM(BM17:BN17)&gt;$FM$3),$FM$3-SUM(BM17:BN17)),0),
IFERROR(_xlfn.IFS(AND(DO17&gt;0,DO17+BN17&lt;=$FK$3),DO17,AND(DO17&gt;0,DO17+BN17&gt;$FK$3),0),0)
)</f>
        <v>0</v>
      </c>
      <c r="FR17" s="152" cm="1">
        <f t="array" ref="FR17">IF($C17="Production",
IFERROR(_xlfn.IFS(AND(DP17&gt;0,DP17+SUM(BN17:BO17)&lt;=$FM$3),DP17,AND(DP17&gt;0,DP17+SUM(BN17:BO17)&gt;$FM$3),$FM$3-SUM(BN17:BO17)),0),
IFERROR(_xlfn.IFS(AND(DP17&gt;0,DP17+BO17&lt;=$FK$3),DP17,AND(DP17&gt;0,DP17+BO17&gt;$FK$3),0),0)
)</f>
        <v>0</v>
      </c>
      <c r="FS17" s="152" cm="1">
        <f t="array" ref="FS17">IF($C17="Production",
IFERROR(_xlfn.IFS(AND(DQ17&gt;0,DQ17+SUM(BO17:BP17)&lt;=$FM$3),DQ17,AND(DQ17&gt;0,DQ17+SUM(BO17:BP17)&gt;$FM$3),$FM$3-SUM(BO17:BP17)),0),
IFERROR(_xlfn.IFS(AND(DQ17&gt;0,DQ17+BP17&lt;=$FK$3),DQ17,AND(DQ17&gt;0,DQ17+BP17&gt;$FK$3),0),0)
)</f>
        <v>0.5</v>
      </c>
      <c r="FT17" s="152" cm="1">
        <f t="array" ref="FT17">IF($C17="Production",
IFERROR(_xlfn.IFS(AND(DR17&gt;0,DR17+SUM(BP17:BQ17)&lt;=$FM$3),DR17,AND(DR17&gt;0,DR17+SUM(BP17:BQ17)&gt;$FM$3),$FM$3-SUM(BP17:BQ17)),0),
IFERROR(_xlfn.IFS(AND(DR17&gt;0,DR17+BQ17&lt;=$FK$3),DR17,AND(DR17&gt;0,DR17+BQ17&gt;$FK$3),0),0)
)</f>
        <v>0</v>
      </c>
      <c r="FU17" s="152" cm="1">
        <f t="array" ref="FU17">IF($C17="Production",
IFERROR(_xlfn.IFS(AND(DS17&gt;0,DS17+SUM(BQ17:BR17)&lt;=$FM$3),DS17,AND(DS17&gt;0,DS17+SUM(BQ17:BR17)&gt;$FM$3),$FM$3-SUM(BQ17:BR17)),0),
IFERROR(_xlfn.IFS(AND(DS17&gt;0,DS17+BR17&lt;=$FK$3),DS17,AND(DS17&gt;0,DS17+BR17&gt;$FK$3),0),0)
)</f>
        <v>0</v>
      </c>
      <c r="FV17" s="152" cm="1">
        <f t="array" ref="FV17">IF($C17="Production",
IFERROR(_xlfn.IFS(AND(DT17&gt;0,DT17+SUM(BR17:BS17)&lt;=$FM$3),DT17,AND(DT17&gt;0,DT17+SUM(BR17:BS17)&gt;$FM$3),$FM$3-SUM(BR17:BS17)),0),
IFERROR(_xlfn.IFS(AND(DT17&gt;0,DT17+BS17&lt;=$FK$3),DT17,AND(DT17&gt;0,DT17+BS17&gt;$FK$3),0),0)
)</f>
        <v>0</v>
      </c>
      <c r="FW17" s="152" cm="1">
        <f t="array" ref="FW17">IF($C17="Production",
IFERROR(_xlfn.IFS(AND(DU17&gt;0,DU17+SUM(BS17:BT17)&lt;=$FM$3),DU17,AND(DU17&gt;0,DU17+SUM(BS17:BT17)&gt;$FM$3),$FM$3-SUM(BS17:BT17)),0),
IFERROR(_xlfn.IFS(AND(DU17&gt;0,DU17+BT17&lt;=$FK$3),DU17,AND(DU17&gt;0,DU17+BT17&gt;$FK$3),0),0)
)</f>
        <v>0</v>
      </c>
      <c r="FX17" s="152" cm="1">
        <f t="array" ref="FX17">IF($C17="Production",
IFERROR(_xlfn.IFS(AND(DV17&gt;0,DV17+SUM(BT17:BU17)&lt;=$FM$3),DV17,AND(DV17&gt;0,DV17+SUM(BT17:BU17)&gt;$FM$3),$FM$3-SUM(BT17:BU17)),0),
IFERROR(_xlfn.IFS(AND(DV17&gt;0,DV17+BU17&lt;=$FK$3),DV17,AND(DV17&gt;0,DV17+BU17&gt;$FK$3),0),0)
)</f>
        <v>0</v>
      </c>
      <c r="FY17" s="152" cm="1">
        <f t="array" ref="FY17">IF($C17="Production",
IFERROR(_xlfn.IFS(AND(DW17&gt;0,DW17+SUM(BU17:BV17)&lt;=$FM$3),DW17,AND(DW17&gt;0,DW17+SUM(BU17:BV17)&gt;$FM$3),$FM$3-SUM(BU17:BV17)),0),
IFERROR(_xlfn.IFS(AND(DW17&gt;0,DW17+BV17&lt;=$FK$3),DW17,AND(DW17&gt;0,DW17+BV17&gt;$FK$3),0),0)
)</f>
        <v>0</v>
      </c>
      <c r="FZ17" s="152" cm="1">
        <f t="array" ref="FZ17">IF($C17="Production",
IFERROR(_xlfn.IFS(AND(DX17&gt;0,DX17+SUM(BV17:BW17)&lt;=$FM$3),DX17,AND(DX17&gt;0,DX17+SUM(BV17:BW17)&gt;$FM$3),$FM$3-SUM(BV17:BW17)),0),
IFERROR(_xlfn.IFS(AND(DX17&gt;0,DX17+BW17&lt;=$FK$3),DX17,AND(DX17&gt;0,DX17+BW17&gt;$FK$3),0),0)
)</f>
        <v>0</v>
      </c>
      <c r="GA17" s="152" cm="1">
        <f t="array" ref="GA17">IF($C17="Production",
IFERROR(_xlfn.IFS(AND(DY17&gt;0,DY17+SUM(BW17:BX17)&lt;=$FM$3),DY17,AND(DY17&gt;0,DY17+SUM(BW17:BX17)&gt;$FM$3),$FM$3-SUM(BW17:BX17)),0),
IFERROR(_xlfn.IFS(AND(DY17&gt;0,DY17+BX17&lt;=$FK$3),DY17,AND(DY17&gt;0,DY17+BX17&gt;$FK$3),0),0)
)</f>
        <v>0</v>
      </c>
      <c r="GB17" s="152" cm="1">
        <f t="array" ref="GB17">IF($C17="Production",
IFERROR(_xlfn.IFS(AND(DZ17&gt;0,DZ17+SUM(BX17:BY17)&lt;=$FM$3),DZ17,AND(DZ17&gt;0,DZ17+SUM(BX17:BY17)&gt;$FM$3),$FM$3-SUM(BX17:BY17)),0),
IFERROR(_xlfn.IFS(AND(DZ17&gt;0,DZ17+BY17&lt;=$FK$3),DZ17,AND(DZ17&gt;0,DZ17+BY17&gt;$FK$3),0),0)
)</f>
        <v>0</v>
      </c>
      <c r="GC17" s="152" cm="1">
        <f t="array" ref="GC17">IF($C17="Production",
IFERROR(_xlfn.IFS(AND(EA17&gt;0,EA17+SUM(BY17:BZ17)&lt;=$FM$3),EA17,AND(EA17&gt;0,EA17+SUM(BY17:BZ17)&gt;$FM$3),$FM$3-SUM(BY17:BZ17)),0),
IFERROR(_xlfn.IFS(AND(EA17&gt;0,EA17+BZ17&lt;=$FK$3),EA17,AND(EA17&gt;0,EA17+BZ17&gt;$FK$3),0),0)
)</f>
        <v>0</v>
      </c>
      <c r="GD17" s="152" cm="1">
        <f t="array" ref="GD17">IF($C17="Production",
IFERROR(_xlfn.IFS(AND(EB17&gt;0,EB17+SUM(BZ17:CA17)&lt;=$FM$3),EB17,AND(EB17&gt;0,EB17+SUM(BZ17:CA17)&gt;$FM$3),$FM$3-SUM(BZ17:CA17)),0),
IFERROR(_xlfn.IFS(AND(EB17&gt;0,EB17+CA17&lt;=$FK$3),EB17,AND(EB17&gt;0,EB17+CA17&gt;$FK$3),0),0)
)</f>
        <v>0</v>
      </c>
      <c r="GE17" s="152" cm="1">
        <f t="array" ref="GE17">IF($C17="Production",
IFERROR(_xlfn.IFS(AND(EC17&gt;0,EC17+SUM(CA17:CB17)&lt;=$FM$3),EC17,AND(EC17&gt;0,EC17+SUM(CA17:CB17)&gt;$FM$3),$FM$3-SUM(CA17:CB17)),0),
IFERROR(_xlfn.IFS(AND(EC17&gt;0,EC17+CB17&lt;=$FK$3),EC17,AND(EC17&gt;0,EC17+CB17&gt;$FK$3),0),0)
)</f>
        <v>0</v>
      </c>
      <c r="GF17" s="152" cm="1">
        <f t="array" ref="GF17">IF($C17="Production",
IFERROR(_xlfn.IFS(AND(ED17&gt;0,ED17+SUM(CB17:CC17)&lt;=$FM$3),ED17,AND(ED17&gt;0,ED17+SUM(CB17:CC17)&gt;$FM$3),$FM$3-SUM(CB17:CC17)),0),
IFERROR(_xlfn.IFS(AND(ED17&gt;0,ED17+CC17&lt;=$FK$3),ED17,AND(ED17&gt;0,ED17+CC17&gt;$FK$3),0),0)
)</f>
        <v>0</v>
      </c>
      <c r="GG17" s="152" cm="1">
        <f t="array" ref="GG17">IF($C17="Production",
IFERROR(_xlfn.IFS(AND(EE17&gt;0,EE17+SUM(CC17:CD17)&lt;=$FM$3),EE17,AND(EE17&gt;0,EE17+SUM(CC17:CD17)&gt;$FM$3),$FM$3-SUM(CC17:CD17)),0),
IFERROR(_xlfn.IFS(AND(EE17&gt;0,EE17+CD17&lt;=$FK$3),EE17,AND(EE17&gt;0,EE17+CD17&gt;$FK$3),0),0)
)</f>
        <v>0</v>
      </c>
      <c r="GH17" s="152" cm="1">
        <f t="array" ref="GH17">IF($C17="Production",
IFERROR(_xlfn.IFS(AND(EF17&gt;0,EF17+SUM(CD17:CE17)&lt;=$FM$3),EF17,AND(EF17&gt;0,EF17+SUM(CD17:CE17)&gt;$FM$3),$FM$3-SUM(CD17:CE17)),0),
IFERROR(_xlfn.IFS(AND(EF17&gt;0,EF17+CE17&lt;=$FK$3),EF17,AND(EF17&gt;0,EF17+CE17&gt;$FK$3),0),0)
)</f>
        <v>0</v>
      </c>
      <c r="GI17" s="152" cm="1">
        <f t="array" ref="GI17">IF($C17="Production",
IFERROR(_xlfn.IFS(AND(EG17&gt;0,EG17+SUM(CE17:CF17)&lt;=$FM$3),EG17,AND(EG17&gt;0,EG17+SUM(CE17:CF17)&gt;$FM$3),$FM$3-SUM(CE17:CF17)),0),
IFERROR(_xlfn.IFS(AND(EG17&gt;0,EG17+CF17&lt;=$FK$3),EG17,AND(EG17&gt;0,EG17+CF17&gt;$FK$3),0),0)
)</f>
        <v>0</v>
      </c>
      <c r="GJ17" s="152" cm="1">
        <f t="array" ref="GJ17">IF($C17="Production",
IFERROR(_xlfn.IFS(AND(EH17&gt;0,EH17+SUM(CF17:CG17)&lt;=$FM$3),EH17,AND(EH17&gt;0,EH17+SUM(CF17:CG17)&gt;$FM$3),$FM$3-SUM(CF17:CG17)),0),
IFERROR(_xlfn.IFS(AND(EH17&gt;0,EH17+CG17&lt;=$FK$3),EH17,AND(EH17&gt;0,EH17+CG17&gt;$FK$3),0),0)
)</f>
        <v>0</v>
      </c>
      <c r="GK17" s="152" cm="1">
        <f t="array" ref="GK17">IF($C17="Production",
IFERROR(_xlfn.IFS(AND(EI17&gt;0,EI17+SUM(CG17:CH17)&lt;=$FM$3),EI17,AND(EI17&gt;0,EI17+SUM(CG17:CH17)&gt;$FM$3),$FM$3-SUM(CG17:CH17)),0),
IFERROR(_xlfn.IFS(AND(EI17&gt;0,EI17+CH17&lt;=$FK$3),EI17,AND(EI17&gt;0,EI17+CH17&gt;$FK$3),0),0)
)</f>
        <v>0</v>
      </c>
      <c r="GL17" s="152" cm="1">
        <f t="array" ref="GL17">IF($C17="Production",
IFERROR(_xlfn.IFS(AND(EJ17&gt;0,EJ17+SUM(CH17:CI17)&lt;=$FM$3),EJ17,AND(EJ17&gt;0,EJ17+SUM(CH17:CI17)&gt;$FM$3),$FM$3-SUM(CH17:CI17)),0),
IFERROR(_xlfn.IFS(AND(EJ17&gt;0,EJ17+CI17&lt;=$FK$3),EJ17,AND(EJ17&gt;0,EJ17+CI17&gt;$FK$3),0),0)
)</f>
        <v>0</v>
      </c>
      <c r="GM17" s="152" cm="1">
        <f t="array" ref="GM17">IF($C17="Production",
IFERROR(_xlfn.IFS(AND(EK17&gt;0,EK17+SUM(CI17:CJ17)&lt;=$FM$3),EK17,AND(EK17&gt;0,EK17+SUM(CI17:CJ17)&gt;$FM$3),$FM$3-SUM(CI17:CJ17)),0),
IFERROR(_xlfn.IFS(AND(EK17&gt;0,EK17+CJ17&lt;=$FK$3),EK17,AND(EK17&gt;0,EK17+CJ17&gt;$FK$3),0),0)
)</f>
        <v>0</v>
      </c>
      <c r="GN17" s="152" cm="1">
        <f t="array" ref="GN17">IF($C17="Production",
IFERROR(_xlfn.IFS(AND(EL17&gt;0,EL17+SUM(CJ17:CK17)&lt;=$FM$3),EL17,AND(EL17&gt;0,EL17+SUM(CJ17:CK17)&gt;$FM$3),$FM$3-SUM(CJ17:CK17)),0),
IFERROR(_xlfn.IFS(AND(EL17&gt;0,EL17+CK17&lt;=$FK$3),EL17,AND(EL17&gt;0,EL17+CK17&gt;$FK$3),0),0)
)</f>
        <v>0</v>
      </c>
      <c r="GO17" s="152" cm="1">
        <f t="array" ref="GO17">IF($C17="Production",
IFERROR(_xlfn.IFS(AND(EM17&gt;0,EM17+SUM(CK17:CL17)&lt;=$FM$3),EM17,AND(EM17&gt;0,EM17+SUM(CK17:CL17)&gt;$FM$3),$FM$3-SUM(CK17:CL17)),0),
IFERROR(_xlfn.IFS(AND(EM17&gt;0,EM17+CL17&lt;=$FK$3),EM17,AND(EM17&gt;0,EM17+CL17&gt;$FK$3),0),0)
)</f>
        <v>0</v>
      </c>
      <c r="GP17" s="152" cm="1">
        <f t="array" ref="GP17">IF($C17="Production",
IFERROR(_xlfn.IFS(AND(EN17&gt;0,EN17+SUM(CL17:CM17)&lt;=$FM$3),EN17,AND(EN17&gt;0,EN17+SUM(CL17:CM17)&gt;$FM$3),$FM$3-SUM(CL17:CM17)),0),
IFERROR(_xlfn.IFS(AND(EN17&gt;0,EN17+CM17&lt;=$FK$3),EN17,AND(EN17&gt;0,EN17+CM17&gt;$FK$3),0),0)
)</f>
        <v>0</v>
      </c>
      <c r="GQ17" s="152" cm="1">
        <f t="array" ref="GQ17">IF($C17="Production",
IFERROR(_xlfn.IFS(AND(EO17&gt;0,EO17+SUM(CM17:CN17)&lt;=$FM$3),EO17,AND(EO17&gt;0,EO17+SUM(CM17:CN17)&gt;$FM$3),$FM$3-SUM(CM17:CN17)),0),
IFERROR(_xlfn.IFS(AND(EO17&gt;0,EO17+CN17&lt;=$FK$3),EO17,AND(EO17&gt;0,EO17+CN17&gt;$FK$3),0),0)
)</f>
        <v>0</v>
      </c>
      <c r="GR17" s="152" cm="1">
        <f t="array" ref="GR17">IF($C17="Production",
IFERROR(_xlfn.IFS(AND(EP17&gt;0,EP17+SUM(CN17:CO17)&lt;=$FM$3),EP17,AND(EP17&gt;0,EP17+SUM(CN17:CO17)&gt;$FM$3),$FM$3-SUM(CN17:CO17)),0),
IFERROR(_xlfn.IFS(AND(EP17&gt;0,EP17+CO17&lt;=$FK$3),EP17,AND(EP17&gt;0,EP17+CO17&gt;$FK$3),0),0)
)</f>
        <v>0</v>
      </c>
      <c r="GS17" s="152" cm="1">
        <f t="array" ref="GS17">IF($C17="Production",
IFERROR(_xlfn.IFS(AND(EQ17&gt;0,EQ17+SUM(CO17:CP17)&lt;=$FM$3),EQ17,AND(EQ17&gt;0,EQ17+SUM(CO17:CP17)&gt;$FM$3),$FM$3-SUM(CO17:CP17)),0),
IFERROR(_xlfn.IFS(AND(EQ17&gt;0,EQ17+CP17&lt;=$FK$3),EQ17,AND(EQ17&gt;0,EQ17+CP17&gt;$FK$3),0),0)
)</f>
        <v>0</v>
      </c>
      <c r="GT17" s="152" cm="1">
        <f t="array" ref="GT17">IF($C17="Production",
IFERROR(_xlfn.IFS(AND(ER17&gt;0,ER17+SUM(CP17:CQ17)&lt;=$FM$3),ER17,AND(ER17&gt;0,ER17+SUM(CP17:CQ17)&gt;$FM$3),$FM$3-SUM(CP17:CQ17)),0),
IFERROR(_xlfn.IFS(AND(ER17&gt;0,ER17+CQ17&lt;=$FK$3),ER17,AND(ER17&gt;0,ER17+CQ17&gt;$FK$3),0),0)
)</f>
        <v>0</v>
      </c>
      <c r="GU17" s="152" cm="1">
        <f t="array" ref="GU17">IF($C17="Production",
IFERROR(_xlfn.IFS(AND(ES17&gt;0,ES17+SUM(CQ17:CR17)&lt;=$FM$3),ES17,AND(ES17&gt;0,ES17+SUM(CQ17:CR17)&gt;$FM$3),$FM$3-SUM(CQ17:CR17)),0),
IFERROR(_xlfn.IFS(AND(ES17&gt;0,ES17+CR17&lt;=$FK$3),ES17,AND(ES17&gt;0,ES17+CR17&gt;$FK$3),0),0)
)</f>
        <v>0</v>
      </c>
      <c r="GV17" s="152" cm="1">
        <f t="array" ref="GV17">IF($C17="Production",
IFERROR(_xlfn.IFS(AND(ET17&gt;0,ET17+SUM(CR17:CS17)&lt;=$FM$3),ET17,AND(ET17&gt;0,ET17+SUM(CR17:CS17)&gt;$FM$3),$FM$3-SUM(CR17:CS17)),0),
IFERROR(_xlfn.IFS(AND(ET17&gt;0,ET17+CS17&lt;=$FK$3),ET17,AND(ET17&gt;0,ET17+CS17&gt;$FK$3),0),0)
)</f>
        <v>0</v>
      </c>
      <c r="GW17" s="152" cm="1">
        <f t="array" ref="GW17">IF($C17="Production",
IFERROR(_xlfn.IFS(AND(EU17&gt;0,EU17+SUM(CS17:CT17)&lt;=$FM$3),EU17,AND(EU17&gt;0,EU17+SUM(CS17:CT17)&gt;$FM$3),$FM$3-SUM(CS17:CT17)),0),
IFERROR(_xlfn.IFS(AND(EU17&gt;0,EU17+CT17&lt;=$FK$3),EU17,AND(EU17&gt;0,EU17+CT17&gt;$FK$3),0),0)
)</f>
        <v>0</v>
      </c>
      <c r="GX17" s="152" cm="1">
        <f t="array" ref="GX17">IF($C17="Production",
IFERROR(_xlfn.IFS(AND(EV17&gt;0,EV17+SUM(CT17:CU17)&lt;=$FM$3),EV17,AND(EV17&gt;0,EV17+SUM(CT17:CU17)&gt;$FM$3),$FM$3-SUM(CT17:CU17)),0),
IFERROR(_xlfn.IFS(AND(EV17&gt;0,EV17+CU17&lt;=$FK$3),EV17,AND(EV17&gt;0,EV17+CU17&gt;$FK$3),0),0)
)</f>
        <v>0</v>
      </c>
      <c r="GY17" s="152" cm="1">
        <f t="array" ref="GY17">IF($C17="Production",
IFERROR(_xlfn.IFS(AND(EW17&gt;0,EW17+SUM(CU17:CV17)&lt;=$FM$3),EW17,AND(EW17&gt;0,EW17+SUM(CU17:CV17)&gt;$FM$3),$FM$3-SUM(CU17:CV17)),0),
IFERROR(_xlfn.IFS(AND(EW17&gt;0,EW17+CV17&lt;=$FK$3),EW17,AND(EW17&gt;0,EW17+CV17&gt;$FK$3),0),0)
)</f>
        <v>0</v>
      </c>
      <c r="GZ17" s="152" cm="1">
        <f t="array" ref="GZ17">IF($C17="Production",
IFERROR(_xlfn.IFS(AND(EX17&gt;0,EX17+SUM(CV17:CW17)&lt;=$FM$3),EX17,AND(EX17&gt;0,EX17+SUM(CV17:CW17)&gt;$FM$3),$FM$3-SUM(CV17:CW17)),0),
IFERROR(_xlfn.IFS(AND(EX17&gt;0,EX17+CW17&lt;=$FK$3),EX17,AND(EX17&gt;0,EX17+CW17&gt;$FK$3),0),0)
)</f>
        <v>0</v>
      </c>
      <c r="HA17" s="152" cm="1">
        <f t="array" ref="HA17">IF($C17="Production",
IFERROR(_xlfn.IFS(AND(EY17&gt;0,EY17+SUM(CW17:CX17)&lt;=$FM$3),EY17,AND(EY17&gt;0,EY17+SUM(CW17:CX17)&gt;$FM$3),$FM$3-SUM(CW17:CX17)),0),
IFERROR(_xlfn.IFS(AND(EY17&gt;0,EY17+CX17&lt;=$FK$3),EY17,AND(EY17&gt;0,EY17+CX17&gt;$FK$3),0),0)
)</f>
        <v>0</v>
      </c>
      <c r="HB17" s="152" cm="1">
        <f t="array" ref="HB17">IF($C17="Production",
IFERROR(_xlfn.IFS(AND(EZ17&gt;0,EZ17+SUM(CX17:CY17)&lt;=$FM$3),EZ17,AND(EZ17&gt;0,EZ17+SUM(CX17:CY17)&gt;$FM$3),$FM$3-SUM(CX17:CY17)),0),
IFERROR(_xlfn.IFS(AND(EZ17&gt;0,EZ17+CY17&lt;=$FK$3),EZ17,AND(EZ17&gt;0,EZ17+CY17&gt;$FK$3),0),0)
)</f>
        <v>0</v>
      </c>
      <c r="HC17" s="152" cm="1">
        <f t="array" ref="HC17">IF($C17="Production",
IFERROR(_xlfn.IFS(AND(FA17&gt;0,FA17+SUM(CY17:CZ17)&lt;=$FM$3),FA17,AND(FA17&gt;0,FA17+SUM(CY17:CZ17)&gt;$FM$3),$FM$3-SUM(CY17:CZ17)),0),
IFERROR(_xlfn.IFS(AND(FA17&gt;0,FA17+CZ17&lt;=$FK$3),FA17,AND(FA17&gt;0,FA17+CZ17&gt;$FK$3),0),0)
)</f>
        <v>0</v>
      </c>
      <c r="HD17" s="152" cm="1">
        <f t="array" ref="HD17">IF($C17="Production",
IFERROR(_xlfn.IFS(AND(FB17&gt;0,FB17+SUM(CZ17:DA17)&lt;=$FM$3),FB17,AND(FB17&gt;0,FB17+SUM(CZ17:DA17)&gt;$FM$3),$FM$3-SUM(CZ17:DA17)),0),
IFERROR(_xlfn.IFS(AND(FB17&gt;0,FB17+DA17&lt;=$FK$3),FB17,AND(FB17&gt;0,FB17+DA17&gt;$FK$3),0),0)
)</f>
        <v>0</v>
      </c>
      <c r="HE17" s="152" cm="1">
        <f t="array" ref="HE17">IF($C17="Production",
IFERROR(_xlfn.IFS(AND(FC17&gt;0,FC17+SUM(DA17:DB17)&lt;=$FM$3),FC17,AND(FC17&gt;0,FC17+SUM(DA17:DB17)&gt;$FM$3),$FM$3-SUM(DA17:DB17)),0),
IFERROR(_xlfn.IFS(AND(FC17&gt;0,FC17+DB17&lt;=$FK$3),FC17,AND(FC17&gt;0,FC17+DB17&gt;$FK$3),0),0)
)</f>
        <v>0</v>
      </c>
      <c r="HF17" s="152" cm="1">
        <f t="array" ref="HF17">IF($C17="Production",
IFERROR(_xlfn.IFS(AND(FD17&gt;0,FD17+SUM(DB17:DC17)&lt;=$FM$3),FD17,AND(FD17&gt;0,FD17+SUM(DB17:DC17)&gt;$FM$3),$FM$3-SUM(DB17:DC17)),0),
IFERROR(_xlfn.IFS(AND(FD17&gt;0,FD17+DC17&lt;=$FK$3),FD17,AND(FD17&gt;0,FD17+DC17&gt;$FK$3),0),0)
)</f>
        <v>0</v>
      </c>
      <c r="HG17" s="152" cm="1">
        <f t="array" ref="HG17">IF($C17="Production",
IFERROR(_xlfn.IFS(AND(FE17&gt;0,FE17+SUM(DC17:DD17)&lt;=$FM$3),FE17,AND(FE17&gt;0,FE17+SUM(DC17:DD17)&gt;$FM$3),$FM$3-SUM(DC17:DD17)),0),
IFERROR(_xlfn.IFS(AND(FE17&gt;0,FE17+DD17&lt;=$FK$3),FE17,AND(FE17&gt;0,FE17+DD17&gt;$FK$3),0),0)
)</f>
        <v>0</v>
      </c>
      <c r="HH17" s="152" cm="1">
        <f t="array" ref="HH17">IF($C17="Production",
IFERROR(_xlfn.IFS(AND(FF17&gt;0,FF17+SUM(DD17:DE17)&lt;=$FM$3),FF17,AND(FF17&gt;0,FF17+SUM(DD17:DE17)&gt;$FM$3),$FM$3-SUM(DD17:DE17)),0),
IFERROR(_xlfn.IFS(AND(FF17&gt;0,FF17+DE17&lt;=$FK$3),FF17,AND(FF17&gt;0,FF17+DE17&gt;$FK$3),0),0)
)</f>
        <v>0</v>
      </c>
      <c r="HI17" s="156" cm="1">
        <f t="array" ref="HI17">IF($C17="Production",
IFERROR(_xlfn.IFS(AND(FG17&gt;0,FG17+SUM(DE17:DF17)&lt;=$FM$3),FG17,AND(FG17&gt;0,FG17+SUM(DE17:DF17)&gt;$FM$3),$FM$3-SUM(DE17:DF17)),0),
IFERROR(_xlfn.IFS(AND(FG17&gt;0,FG17+DF17&lt;=$FK$3),FG17,AND(FG17&gt;0,FG17+DF17&gt;$FK$3),0),0)
)</f>
        <v>0</v>
      </c>
      <c r="HJ17" s="113">
        <f t="shared" si="110"/>
        <v>0.5</v>
      </c>
      <c r="HK17" s="80"/>
      <c r="HL17" s="112">
        <f t="shared" si="56"/>
        <v>0</v>
      </c>
      <c r="HM17" s="138">
        <f t="shared" si="57"/>
        <v>0</v>
      </c>
      <c r="HN17" s="138">
        <f t="shared" si="58"/>
        <v>0</v>
      </c>
      <c r="HO17" s="138">
        <f t="shared" si="59"/>
        <v>0</v>
      </c>
      <c r="HP17" s="138">
        <f t="shared" si="60"/>
        <v>0</v>
      </c>
      <c r="HQ17" s="138">
        <f t="shared" si="61"/>
        <v>0</v>
      </c>
      <c r="HR17" s="138">
        <f t="shared" si="62"/>
        <v>0</v>
      </c>
      <c r="HS17" s="138">
        <f t="shared" si="63"/>
        <v>0</v>
      </c>
      <c r="HT17" s="138">
        <f t="shared" si="64"/>
        <v>0</v>
      </c>
      <c r="HU17" s="138">
        <f t="shared" si="65"/>
        <v>0</v>
      </c>
      <c r="HV17" s="138">
        <f t="shared" si="66"/>
        <v>0</v>
      </c>
      <c r="HW17" s="138">
        <f t="shared" si="67"/>
        <v>0</v>
      </c>
      <c r="HX17" s="138">
        <f t="shared" si="68"/>
        <v>0</v>
      </c>
      <c r="HY17" s="138">
        <f t="shared" si="69"/>
        <v>0</v>
      </c>
      <c r="HZ17" s="138">
        <f t="shared" si="70"/>
        <v>0</v>
      </c>
      <c r="IA17" s="138">
        <f t="shared" si="71"/>
        <v>0</v>
      </c>
      <c r="IB17" s="138">
        <f t="shared" si="72"/>
        <v>0</v>
      </c>
      <c r="IC17" s="138">
        <f t="shared" si="73"/>
        <v>0</v>
      </c>
      <c r="ID17" s="138">
        <f t="shared" si="74"/>
        <v>0</v>
      </c>
      <c r="IE17" s="138">
        <f t="shared" si="75"/>
        <v>0</v>
      </c>
      <c r="IF17" s="138">
        <f t="shared" si="76"/>
        <v>0</v>
      </c>
      <c r="IG17" s="138">
        <f t="shared" si="77"/>
        <v>0</v>
      </c>
      <c r="IH17" s="138">
        <f t="shared" si="78"/>
        <v>0</v>
      </c>
      <c r="II17" s="138">
        <f t="shared" si="79"/>
        <v>0</v>
      </c>
      <c r="IJ17" s="138">
        <f t="shared" si="80"/>
        <v>0</v>
      </c>
      <c r="IK17" s="138">
        <f t="shared" si="81"/>
        <v>0</v>
      </c>
      <c r="IL17" s="138">
        <f t="shared" si="82"/>
        <v>0</v>
      </c>
      <c r="IM17" s="138">
        <f t="shared" si="83"/>
        <v>0</v>
      </c>
      <c r="IN17" s="138">
        <f t="shared" si="84"/>
        <v>0</v>
      </c>
      <c r="IO17" s="138">
        <f t="shared" si="85"/>
        <v>0</v>
      </c>
      <c r="IP17" s="138">
        <f t="shared" si="86"/>
        <v>0</v>
      </c>
      <c r="IQ17" s="138">
        <f t="shared" si="87"/>
        <v>0</v>
      </c>
      <c r="IR17" s="138">
        <f t="shared" si="88"/>
        <v>0</v>
      </c>
      <c r="IS17" s="138">
        <f t="shared" si="89"/>
        <v>0</v>
      </c>
      <c r="IT17" s="138">
        <f t="shared" si="90"/>
        <v>0</v>
      </c>
      <c r="IU17" s="138">
        <f t="shared" si="91"/>
        <v>0</v>
      </c>
      <c r="IV17" s="138">
        <f t="shared" si="92"/>
        <v>0</v>
      </c>
      <c r="IW17" s="138">
        <f t="shared" si="93"/>
        <v>0</v>
      </c>
      <c r="IX17" s="138">
        <f t="shared" si="94"/>
        <v>0</v>
      </c>
      <c r="IY17" s="138">
        <f t="shared" si="95"/>
        <v>0</v>
      </c>
      <c r="IZ17" s="138">
        <f t="shared" si="96"/>
        <v>0</v>
      </c>
      <c r="JA17" s="138">
        <f t="shared" si="97"/>
        <v>0</v>
      </c>
      <c r="JB17" s="138">
        <f t="shared" si="98"/>
        <v>0</v>
      </c>
      <c r="JC17" s="138">
        <f t="shared" si="99"/>
        <v>0</v>
      </c>
      <c r="JD17" s="138">
        <f t="shared" si="100"/>
        <v>0</v>
      </c>
      <c r="JE17" s="138">
        <f t="shared" si="101"/>
        <v>0</v>
      </c>
      <c r="JF17" s="138">
        <f t="shared" si="102"/>
        <v>0</v>
      </c>
      <c r="JG17" s="138">
        <f t="shared" si="103"/>
        <v>0</v>
      </c>
      <c r="JH17" s="138">
        <f t="shared" si="104"/>
        <v>0</v>
      </c>
      <c r="JI17" s="138">
        <f t="shared" si="105"/>
        <v>0</v>
      </c>
      <c r="JJ17" s="138">
        <f t="shared" si="106"/>
        <v>0</v>
      </c>
      <c r="JK17" s="138">
        <f t="shared" si="107"/>
        <v>0</v>
      </c>
      <c r="JL17" s="118">
        <f t="shared" si="111"/>
        <v>0</v>
      </c>
      <c r="JO17" s="90">
        <f t="shared" si="112"/>
        <v>0.5</v>
      </c>
      <c r="JP17" s="79">
        <f t="shared" si="108"/>
        <v>0</v>
      </c>
      <c r="JQ17" s="91">
        <f t="shared" si="2"/>
        <v>0.625</v>
      </c>
      <c r="JS17" s="123">
        <f t="shared" si="109"/>
        <v>0</v>
      </c>
      <c r="JU17" s="123">
        <f t="shared" si="113"/>
        <v>0.625</v>
      </c>
    </row>
    <row r="18" spans="2:281" x14ac:dyDescent="0.15">
      <c r="B18" s="82" t="str">
        <f>'MODU 2025'!B21</f>
        <v>DUCERF Norbert</v>
      </c>
      <c r="C18" s="82" t="str">
        <f>'MODU 2025'!C21</f>
        <v>Logistique</v>
      </c>
      <c r="D18" s="82">
        <f>'MODU 2025'!D21</f>
        <v>39</v>
      </c>
      <c r="E18" s="82"/>
      <c r="F18" s="133">
        <f>'MODU 2025'!G21</f>
        <v>39</v>
      </c>
      <c r="G18" s="140">
        <f>'MODU 2025'!H21</f>
        <v>39</v>
      </c>
      <c r="H18" s="140">
        <f>'MODU 2025'!I21</f>
        <v>40</v>
      </c>
      <c r="I18" s="140">
        <f>'MODU 2025'!J21</f>
        <v>39</v>
      </c>
      <c r="J18" s="140">
        <f>'MODU 2025'!K21</f>
        <v>40.25</v>
      </c>
      <c r="K18" s="140">
        <f>'MODU 2025'!L21</f>
        <v>39.75</v>
      </c>
      <c r="L18" s="140">
        <f>'MODU 2025'!M21</f>
        <v>39.75</v>
      </c>
      <c r="M18" s="140">
        <f>'MODU 2025'!N21</f>
        <v>39.25</v>
      </c>
      <c r="N18" s="140">
        <f>'MODU 2025'!O21</f>
        <v>39.25</v>
      </c>
      <c r="O18" s="140">
        <f>'MODU 2025'!P21</f>
        <v>41.5</v>
      </c>
      <c r="P18" s="140">
        <f>'MODU 2025'!Q21</f>
        <v>39</v>
      </c>
      <c r="Q18" s="140">
        <f>'MODU 2025'!R21</f>
        <v>39</v>
      </c>
      <c r="R18" s="140">
        <f>'MODU 2025'!S21</f>
        <v>39</v>
      </c>
      <c r="S18" s="140">
        <f>'MODU 2025'!T21</f>
        <v>39</v>
      </c>
      <c r="T18" s="140">
        <f>'MODU 2025'!U21</f>
        <v>39</v>
      </c>
      <c r="U18" s="140">
        <f>'MODU 2025'!V21</f>
        <v>39</v>
      </c>
      <c r="V18" s="140">
        <f>'MODU 2025'!W21</f>
        <v>39</v>
      </c>
      <c r="W18" s="140">
        <f>'MODU 2025'!X21</f>
        <v>39</v>
      </c>
      <c r="X18" s="140">
        <f>'MODU 2025'!Y21</f>
        <v>39</v>
      </c>
      <c r="Y18" s="140">
        <f>'MODU 2025'!Z21</f>
        <v>39</v>
      </c>
      <c r="Z18" s="140">
        <f>'MODU 2025'!AA21</f>
        <v>39</v>
      </c>
      <c r="AA18" s="140">
        <f>'MODU 2025'!AB21</f>
        <v>39</v>
      </c>
      <c r="AB18" s="140">
        <f>'MODU 2025'!AC21</f>
        <v>39</v>
      </c>
      <c r="AC18" s="140">
        <f>'MODU 2025'!AD21</f>
        <v>39</v>
      </c>
      <c r="AD18" s="140">
        <f>'MODU 2025'!AE21</f>
        <v>39</v>
      </c>
      <c r="AE18" s="140">
        <f>'MODU 2025'!AF21</f>
        <v>39</v>
      </c>
      <c r="AF18" s="140">
        <f>'MODU 2025'!AG21</f>
        <v>39</v>
      </c>
      <c r="AG18" s="140">
        <f>'MODU 2025'!AH21</f>
        <v>39</v>
      </c>
      <c r="AH18" s="140">
        <f>'MODU 2025'!AI21</f>
        <v>39</v>
      </c>
      <c r="AI18" s="140">
        <f>'MODU 2025'!AJ21</f>
        <v>39</v>
      </c>
      <c r="AJ18" s="140">
        <f>'MODU 2025'!AK21</f>
        <v>39</v>
      </c>
      <c r="AK18" s="140">
        <f>'MODU 2025'!AL21</f>
        <v>39</v>
      </c>
      <c r="AL18" s="140">
        <f>'MODU 2025'!AM21</f>
        <v>39</v>
      </c>
      <c r="AM18" s="140">
        <f>'MODU 2025'!AN21</f>
        <v>39</v>
      </c>
      <c r="AN18" s="140">
        <f>'MODU 2025'!AO21</f>
        <v>39</v>
      </c>
      <c r="AO18" s="140">
        <f>'MODU 2025'!AP21</f>
        <v>39</v>
      </c>
      <c r="AP18" s="140">
        <f>'MODU 2025'!AQ21</f>
        <v>39</v>
      </c>
      <c r="AQ18" s="140">
        <f>'MODU 2025'!AR21</f>
        <v>39</v>
      </c>
      <c r="AR18" s="140">
        <f>'MODU 2025'!AS21</f>
        <v>39</v>
      </c>
      <c r="AS18" s="140">
        <f>'MODU 2025'!AT21</f>
        <v>39</v>
      </c>
      <c r="AT18" s="140">
        <f>'MODU 2025'!AU21</f>
        <v>39</v>
      </c>
      <c r="AU18" s="140">
        <f>'MODU 2025'!AV21</f>
        <v>39</v>
      </c>
      <c r="AV18" s="140">
        <f>'MODU 2025'!AW21</f>
        <v>39</v>
      </c>
      <c r="AW18" s="140">
        <f>'MODU 2025'!AX21</f>
        <v>39</v>
      </c>
      <c r="AX18" s="140">
        <f>'MODU 2025'!AY21</f>
        <v>39</v>
      </c>
      <c r="AY18" s="140">
        <f>'MODU 2025'!AZ21</f>
        <v>39</v>
      </c>
      <c r="AZ18" s="140">
        <f>'MODU 2025'!BA21</f>
        <v>39</v>
      </c>
      <c r="BA18" s="140">
        <f>'MODU 2025'!BB21</f>
        <v>39</v>
      </c>
      <c r="BB18" s="140">
        <f>'MODU 2025'!BC21</f>
        <v>39</v>
      </c>
      <c r="BC18" s="140">
        <f>'MODU 2025'!BD21</f>
        <v>39</v>
      </c>
      <c r="BD18" s="140">
        <f>'MODU 2025'!BE21</f>
        <v>39</v>
      </c>
      <c r="BE18" s="134">
        <f>'MODU 2025'!BF21</f>
        <v>39</v>
      </c>
      <c r="BF18" s="82"/>
      <c r="BG18" s="107">
        <v>39</v>
      </c>
      <c r="BH18" s="145">
        <v>39</v>
      </c>
      <c r="BI18" s="145">
        <v>39</v>
      </c>
      <c r="BJ18" s="145">
        <v>39</v>
      </c>
      <c r="BK18" s="145">
        <v>39</v>
      </c>
      <c r="BL18" s="145">
        <v>39</v>
      </c>
      <c r="BM18" s="145">
        <v>39</v>
      </c>
      <c r="BN18" s="145">
        <v>39</v>
      </c>
      <c r="BO18" s="145">
        <v>39</v>
      </c>
      <c r="BP18" s="145">
        <v>39</v>
      </c>
      <c r="BQ18" s="145">
        <v>39</v>
      </c>
      <c r="BR18" s="145">
        <v>39</v>
      </c>
      <c r="BS18" s="145">
        <v>39</v>
      </c>
      <c r="BT18" s="145">
        <v>39</v>
      </c>
      <c r="BU18" s="145">
        <v>39</v>
      </c>
      <c r="BV18" s="145">
        <v>39</v>
      </c>
      <c r="BW18" s="145">
        <v>39</v>
      </c>
      <c r="BX18" s="145">
        <v>39</v>
      </c>
      <c r="BY18" s="145">
        <v>39</v>
      </c>
      <c r="BZ18" s="145">
        <v>39</v>
      </c>
      <c r="CA18" s="145">
        <v>39</v>
      </c>
      <c r="CB18" s="145">
        <v>39</v>
      </c>
      <c r="CC18" s="145">
        <v>39</v>
      </c>
      <c r="CD18" s="145">
        <v>39</v>
      </c>
      <c r="CE18" s="145">
        <v>39</v>
      </c>
      <c r="CF18" s="145">
        <v>39</v>
      </c>
      <c r="CG18" s="145">
        <v>39</v>
      </c>
      <c r="CH18" s="145">
        <v>39</v>
      </c>
      <c r="CI18" s="145">
        <v>39</v>
      </c>
      <c r="CJ18" s="145">
        <v>39</v>
      </c>
      <c r="CK18" s="145">
        <v>39</v>
      </c>
      <c r="CL18" s="145">
        <v>39</v>
      </c>
      <c r="CM18" s="145">
        <v>39</v>
      </c>
      <c r="CN18" s="145">
        <v>39</v>
      </c>
      <c r="CO18" s="145">
        <v>39</v>
      </c>
      <c r="CP18" s="145">
        <v>39</v>
      </c>
      <c r="CQ18" s="145">
        <v>39</v>
      </c>
      <c r="CR18" s="145">
        <v>39</v>
      </c>
      <c r="CS18" s="145">
        <v>39</v>
      </c>
      <c r="CT18" s="145">
        <v>39</v>
      </c>
      <c r="CU18" s="145">
        <v>39</v>
      </c>
      <c r="CV18" s="145">
        <v>39</v>
      </c>
      <c r="CW18" s="145">
        <v>39</v>
      </c>
      <c r="CX18" s="145">
        <v>39</v>
      </c>
      <c r="CY18" s="145">
        <v>39</v>
      </c>
      <c r="CZ18" s="145">
        <v>39</v>
      </c>
      <c r="DA18" s="145">
        <v>39</v>
      </c>
      <c r="DB18" s="145">
        <v>39</v>
      </c>
      <c r="DC18" s="145">
        <v>39</v>
      </c>
      <c r="DD18" s="145">
        <v>39</v>
      </c>
      <c r="DE18" s="145">
        <v>39</v>
      </c>
      <c r="DF18" s="108">
        <v>39</v>
      </c>
      <c r="DG18" s="84"/>
      <c r="DH18" s="112">
        <f t="shared" si="3"/>
        <v>0</v>
      </c>
      <c r="DI18" s="138">
        <f t="shared" si="4"/>
        <v>0</v>
      </c>
      <c r="DJ18" s="138">
        <f t="shared" si="5"/>
        <v>1</v>
      </c>
      <c r="DK18" s="138">
        <f t="shared" si="6"/>
        <v>0</v>
      </c>
      <c r="DL18" s="138">
        <f t="shared" si="7"/>
        <v>1.25</v>
      </c>
      <c r="DM18" s="138">
        <f t="shared" si="8"/>
        <v>0.75</v>
      </c>
      <c r="DN18" s="138">
        <f t="shared" si="9"/>
        <v>0.75</v>
      </c>
      <c r="DO18" s="138">
        <f t="shared" si="10"/>
        <v>0.25</v>
      </c>
      <c r="DP18" s="138">
        <f t="shared" si="11"/>
        <v>0.25</v>
      </c>
      <c r="DQ18" s="138">
        <f t="shared" si="12"/>
        <v>2.5</v>
      </c>
      <c r="DR18" s="138">
        <f t="shared" si="13"/>
        <v>0</v>
      </c>
      <c r="DS18" s="138">
        <f t="shared" si="14"/>
        <v>0</v>
      </c>
      <c r="DT18" s="138">
        <f t="shared" si="15"/>
        <v>0</v>
      </c>
      <c r="DU18" s="138">
        <f t="shared" si="16"/>
        <v>0</v>
      </c>
      <c r="DV18" s="138">
        <f t="shared" si="17"/>
        <v>0</v>
      </c>
      <c r="DW18" s="138">
        <f t="shared" si="18"/>
        <v>0</v>
      </c>
      <c r="DX18" s="138">
        <f t="shared" si="19"/>
        <v>0</v>
      </c>
      <c r="DY18" s="138">
        <f t="shared" si="20"/>
        <v>0</v>
      </c>
      <c r="DZ18" s="138">
        <f t="shared" si="21"/>
        <v>0</v>
      </c>
      <c r="EA18" s="138">
        <f t="shared" si="22"/>
        <v>0</v>
      </c>
      <c r="EB18" s="138">
        <f t="shared" si="23"/>
        <v>0</v>
      </c>
      <c r="EC18" s="138">
        <f t="shared" si="24"/>
        <v>0</v>
      </c>
      <c r="ED18" s="138">
        <f t="shared" si="25"/>
        <v>0</v>
      </c>
      <c r="EE18" s="138">
        <f t="shared" si="26"/>
        <v>0</v>
      </c>
      <c r="EF18" s="138">
        <f t="shared" si="27"/>
        <v>0</v>
      </c>
      <c r="EG18" s="138">
        <f t="shared" si="28"/>
        <v>0</v>
      </c>
      <c r="EH18" s="138">
        <f t="shared" si="29"/>
        <v>0</v>
      </c>
      <c r="EI18" s="138">
        <f t="shared" si="30"/>
        <v>0</v>
      </c>
      <c r="EJ18" s="138">
        <f t="shared" si="31"/>
        <v>0</v>
      </c>
      <c r="EK18" s="138">
        <f t="shared" si="32"/>
        <v>0</v>
      </c>
      <c r="EL18" s="138">
        <f t="shared" si="33"/>
        <v>0</v>
      </c>
      <c r="EM18" s="138">
        <f t="shared" si="34"/>
        <v>0</v>
      </c>
      <c r="EN18" s="138">
        <f t="shared" si="35"/>
        <v>0</v>
      </c>
      <c r="EO18" s="138">
        <f t="shared" si="36"/>
        <v>0</v>
      </c>
      <c r="EP18" s="138">
        <f t="shared" si="37"/>
        <v>0</v>
      </c>
      <c r="EQ18" s="138">
        <f t="shared" si="38"/>
        <v>0</v>
      </c>
      <c r="ER18" s="138">
        <f t="shared" si="39"/>
        <v>0</v>
      </c>
      <c r="ES18" s="138">
        <f t="shared" si="40"/>
        <v>0</v>
      </c>
      <c r="ET18" s="138">
        <f t="shared" si="41"/>
        <v>0</v>
      </c>
      <c r="EU18" s="138">
        <f t="shared" si="42"/>
        <v>0</v>
      </c>
      <c r="EV18" s="138">
        <f t="shared" si="43"/>
        <v>0</v>
      </c>
      <c r="EW18" s="138">
        <f t="shared" si="44"/>
        <v>0</v>
      </c>
      <c r="EX18" s="138">
        <f t="shared" si="45"/>
        <v>0</v>
      </c>
      <c r="EY18" s="138">
        <f t="shared" si="46"/>
        <v>0</v>
      </c>
      <c r="EZ18" s="138">
        <f t="shared" si="47"/>
        <v>0</v>
      </c>
      <c r="FA18" s="138">
        <f t="shared" si="48"/>
        <v>0</v>
      </c>
      <c r="FB18" s="138">
        <f t="shared" si="49"/>
        <v>0</v>
      </c>
      <c r="FC18" s="138">
        <f t="shared" si="50"/>
        <v>0</v>
      </c>
      <c r="FD18" s="138">
        <f t="shared" si="51"/>
        <v>0</v>
      </c>
      <c r="FE18" s="138">
        <f t="shared" si="52"/>
        <v>0</v>
      </c>
      <c r="FF18" s="138">
        <f t="shared" si="53"/>
        <v>0</v>
      </c>
      <c r="FG18" s="113">
        <f t="shared" si="54"/>
        <v>0</v>
      </c>
      <c r="FH18" s="113">
        <f t="shared" si="55"/>
        <v>6.75</v>
      </c>
      <c r="FI18" s="35"/>
      <c r="FJ18" s="151" cm="1">
        <f t="array" ref="FJ18">IF($C18="Production",
IFERROR(_xlfn.IFS(AND(DH18&gt;0,DH18+SUM(BF18:BG18)&lt;=$FM$3),DH18,AND(DH18&gt;0,DH18+SUM(BF18:BG18)&gt;$FM$3),$FM$3-SUM(BF18:BG18)),0),
IFERROR(_xlfn.IFS(AND(DH18&gt;0,DH18+BG18&lt;=$FK$3),DH18,AND(DH18&gt;0,DH18+BG18&gt;$FK$3),0),0)
)</f>
        <v>0</v>
      </c>
      <c r="FK18" s="152" cm="1">
        <f t="array" ref="FK18">IF($C18="Production",
IFERROR(_xlfn.IFS(AND(DI18&gt;0,DI18+SUM(BG18:BH18)&lt;=$FM$3),DI18,AND(DI18&gt;0,DI18+SUM(BG18:BH18)&gt;$FM$3),$FM$3-SUM(BG18:BH18)),0),
IFERROR(_xlfn.IFS(AND(DI18&gt;0,DI18+BH18&lt;=$FK$3),DI18,AND(DI18&gt;0,DI18+BH18&gt;$FK$3),0),0)
)</f>
        <v>0</v>
      </c>
      <c r="FL18" s="152" cm="1">
        <f t="array" ref="FL18">IF($C18="Production",
IFERROR(_xlfn.IFS(AND(DJ18&gt;0,DJ18+SUM(BH18:BI18)&lt;=$FM$3),DJ18,AND(DJ18&gt;0,DJ18+SUM(BH18:BI18)&gt;$FM$3),$FM$3-SUM(BH18:BI18)),0),
IFERROR(_xlfn.IFS(AND(DJ18&gt;0,DJ18+BI18&lt;=$FK$3),DJ18,AND(DJ18&gt;0,DJ18+BI18&gt;$FK$3),0),0)
)</f>
        <v>1</v>
      </c>
      <c r="FM18" s="152" cm="1">
        <f t="array" ref="FM18">IF($C18="Production",
IFERROR(_xlfn.IFS(AND(DK18&gt;0,DK18+SUM(BI18:BJ18)&lt;=$FM$3),DK18,AND(DK18&gt;0,DK18+SUM(BI18:BJ18)&gt;$FM$3),$FM$3-SUM(BI18:BJ18)),0),
IFERROR(_xlfn.IFS(AND(DK18&gt;0,DK18+BJ18&lt;=$FK$3),DK18,AND(DK18&gt;0,DK18+BJ18&gt;$FK$3),0),0)
)</f>
        <v>0</v>
      </c>
      <c r="FN18" s="152" cm="1">
        <f t="array" ref="FN18">IF($C18="Production",
IFERROR(_xlfn.IFS(AND(DL18&gt;0,DL18+SUM(BJ18:BK18)&lt;=$FM$3),DL18,AND(DL18&gt;0,DL18+SUM(BJ18:BK18)&gt;$FM$3),$FM$3-SUM(BJ18:BK18)),0),
IFERROR(_xlfn.IFS(AND(DL18&gt;0,DL18+BK18&lt;=$FK$3),DL18,AND(DL18&gt;0,DL18+BK18&gt;$FK$3),0),0)
)</f>
        <v>1.25</v>
      </c>
      <c r="FO18" s="152" cm="1">
        <f t="array" ref="FO18">IF($C18="Production",
IFERROR(_xlfn.IFS(AND(DM18&gt;0,DM18+SUM(BK18:BL18)&lt;=$FM$3),DM18,AND(DM18&gt;0,DM18+SUM(BK18:BL18)&gt;$FM$3),$FM$3-SUM(BK18:BL18)),0),
IFERROR(_xlfn.IFS(AND(DM18&gt;0,DM18+BL18&lt;=$FK$3),DM18,AND(DM18&gt;0,DM18+BL18&gt;$FK$3),0),0)
)</f>
        <v>0.75</v>
      </c>
      <c r="FP18" s="152" cm="1">
        <f t="array" ref="FP18">IF($C18="Production",
IFERROR(_xlfn.IFS(AND(DN18&gt;0,DN18+SUM(BL18:BM18)&lt;=$FM$3),DN18,AND(DN18&gt;0,DN18+SUM(BL18:BM18)&gt;$FM$3),$FM$3-SUM(BL18:BM18)),0),
IFERROR(_xlfn.IFS(AND(DN18&gt;0,DN18+BM18&lt;=$FK$3),DN18,AND(DN18&gt;0,DN18+BM18&gt;$FK$3),0),0)
)</f>
        <v>0.75</v>
      </c>
      <c r="FQ18" s="152" cm="1">
        <f t="array" ref="FQ18">IF($C18="Production",
IFERROR(_xlfn.IFS(AND(DO18&gt;0,DO18+SUM(BM18:BN18)&lt;=$FM$3),DO18,AND(DO18&gt;0,DO18+SUM(BM18:BN18)&gt;$FM$3),$FM$3-SUM(BM18:BN18)),0),
IFERROR(_xlfn.IFS(AND(DO18&gt;0,DO18+BN18&lt;=$FK$3),DO18,AND(DO18&gt;0,DO18+BN18&gt;$FK$3),0),0)
)</f>
        <v>0.25</v>
      </c>
      <c r="FR18" s="152" cm="1">
        <f t="array" ref="FR18">IF($C18="Production",
IFERROR(_xlfn.IFS(AND(DP18&gt;0,DP18+SUM(BN18:BO18)&lt;=$FM$3),DP18,AND(DP18&gt;0,DP18+SUM(BN18:BO18)&gt;$FM$3),$FM$3-SUM(BN18:BO18)),0),
IFERROR(_xlfn.IFS(AND(DP18&gt;0,DP18+BO18&lt;=$FK$3),DP18,AND(DP18&gt;0,DP18+BO18&gt;$FK$3),0),0)
)</f>
        <v>0.25</v>
      </c>
      <c r="FS18" s="152" cm="1">
        <f t="array" ref="FS18">IF($C18="Production",
IFERROR(_xlfn.IFS(AND(DQ18&gt;0,DQ18+SUM(BO18:BP18)&lt;=$FM$3),DQ18,AND(DQ18&gt;0,DQ18+SUM(BO18:BP18)&gt;$FM$3),$FM$3-SUM(BO18:BP18)),0),
IFERROR(_xlfn.IFS(AND(DQ18&gt;0,DQ18+BP18&lt;=$FK$3),DQ18,AND(DQ18&gt;0,DQ18+BP18&gt;$FK$3),0),0)
)</f>
        <v>2.5</v>
      </c>
      <c r="FT18" s="152" cm="1">
        <f t="array" ref="FT18">IF($C18="Production",
IFERROR(_xlfn.IFS(AND(DR18&gt;0,DR18+SUM(BP18:BQ18)&lt;=$FM$3),DR18,AND(DR18&gt;0,DR18+SUM(BP18:BQ18)&gt;$FM$3),$FM$3-SUM(BP18:BQ18)),0),
IFERROR(_xlfn.IFS(AND(DR18&gt;0,DR18+BQ18&lt;=$FK$3),DR18,AND(DR18&gt;0,DR18+BQ18&gt;$FK$3),0),0)
)</f>
        <v>0</v>
      </c>
      <c r="FU18" s="152" cm="1">
        <f t="array" ref="FU18">IF($C18="Production",
IFERROR(_xlfn.IFS(AND(DS18&gt;0,DS18+SUM(BQ18:BR18)&lt;=$FM$3),DS18,AND(DS18&gt;0,DS18+SUM(BQ18:BR18)&gt;$FM$3),$FM$3-SUM(BQ18:BR18)),0),
IFERROR(_xlfn.IFS(AND(DS18&gt;0,DS18+BR18&lt;=$FK$3),DS18,AND(DS18&gt;0,DS18+BR18&gt;$FK$3),0),0)
)</f>
        <v>0</v>
      </c>
      <c r="FV18" s="152" cm="1">
        <f t="array" ref="FV18">IF($C18="Production",
IFERROR(_xlfn.IFS(AND(DT18&gt;0,DT18+SUM(BR18:BS18)&lt;=$FM$3),DT18,AND(DT18&gt;0,DT18+SUM(BR18:BS18)&gt;$FM$3),$FM$3-SUM(BR18:BS18)),0),
IFERROR(_xlfn.IFS(AND(DT18&gt;0,DT18+BS18&lt;=$FK$3),DT18,AND(DT18&gt;0,DT18+BS18&gt;$FK$3),0),0)
)</f>
        <v>0</v>
      </c>
      <c r="FW18" s="152" cm="1">
        <f t="array" ref="FW18">IF($C18="Production",
IFERROR(_xlfn.IFS(AND(DU18&gt;0,DU18+SUM(BS18:BT18)&lt;=$FM$3),DU18,AND(DU18&gt;0,DU18+SUM(BS18:BT18)&gt;$FM$3),$FM$3-SUM(BS18:BT18)),0),
IFERROR(_xlfn.IFS(AND(DU18&gt;0,DU18+BT18&lt;=$FK$3),DU18,AND(DU18&gt;0,DU18+BT18&gt;$FK$3),0),0)
)</f>
        <v>0</v>
      </c>
      <c r="FX18" s="152" cm="1">
        <f t="array" ref="FX18">IF($C18="Production",
IFERROR(_xlfn.IFS(AND(DV18&gt;0,DV18+SUM(BT18:BU18)&lt;=$FM$3),DV18,AND(DV18&gt;0,DV18+SUM(BT18:BU18)&gt;$FM$3),$FM$3-SUM(BT18:BU18)),0),
IFERROR(_xlfn.IFS(AND(DV18&gt;0,DV18+BU18&lt;=$FK$3),DV18,AND(DV18&gt;0,DV18+BU18&gt;$FK$3),0),0)
)</f>
        <v>0</v>
      </c>
      <c r="FY18" s="152" cm="1">
        <f t="array" ref="FY18">IF($C18="Production",
IFERROR(_xlfn.IFS(AND(DW18&gt;0,DW18+SUM(BU18:BV18)&lt;=$FM$3),DW18,AND(DW18&gt;0,DW18+SUM(BU18:BV18)&gt;$FM$3),$FM$3-SUM(BU18:BV18)),0),
IFERROR(_xlfn.IFS(AND(DW18&gt;0,DW18+BV18&lt;=$FK$3),DW18,AND(DW18&gt;0,DW18+BV18&gt;$FK$3),0),0)
)</f>
        <v>0</v>
      </c>
      <c r="FZ18" s="152" cm="1">
        <f t="array" ref="FZ18">IF($C18="Production",
IFERROR(_xlfn.IFS(AND(DX18&gt;0,DX18+SUM(BV18:BW18)&lt;=$FM$3),DX18,AND(DX18&gt;0,DX18+SUM(BV18:BW18)&gt;$FM$3),$FM$3-SUM(BV18:BW18)),0),
IFERROR(_xlfn.IFS(AND(DX18&gt;0,DX18+BW18&lt;=$FK$3),DX18,AND(DX18&gt;0,DX18+BW18&gt;$FK$3),0),0)
)</f>
        <v>0</v>
      </c>
      <c r="GA18" s="152" cm="1">
        <f t="array" ref="GA18">IF($C18="Production",
IFERROR(_xlfn.IFS(AND(DY18&gt;0,DY18+SUM(BW18:BX18)&lt;=$FM$3),DY18,AND(DY18&gt;0,DY18+SUM(BW18:BX18)&gt;$FM$3),$FM$3-SUM(BW18:BX18)),0),
IFERROR(_xlfn.IFS(AND(DY18&gt;0,DY18+BX18&lt;=$FK$3),DY18,AND(DY18&gt;0,DY18+BX18&gt;$FK$3),0),0)
)</f>
        <v>0</v>
      </c>
      <c r="GB18" s="152" cm="1">
        <f t="array" ref="GB18">IF($C18="Production",
IFERROR(_xlfn.IFS(AND(DZ18&gt;0,DZ18+SUM(BX18:BY18)&lt;=$FM$3),DZ18,AND(DZ18&gt;0,DZ18+SUM(BX18:BY18)&gt;$FM$3),$FM$3-SUM(BX18:BY18)),0),
IFERROR(_xlfn.IFS(AND(DZ18&gt;0,DZ18+BY18&lt;=$FK$3),DZ18,AND(DZ18&gt;0,DZ18+BY18&gt;$FK$3),0),0)
)</f>
        <v>0</v>
      </c>
      <c r="GC18" s="152" cm="1">
        <f t="array" ref="GC18">IF($C18="Production",
IFERROR(_xlfn.IFS(AND(EA18&gt;0,EA18+SUM(BY18:BZ18)&lt;=$FM$3),EA18,AND(EA18&gt;0,EA18+SUM(BY18:BZ18)&gt;$FM$3),$FM$3-SUM(BY18:BZ18)),0),
IFERROR(_xlfn.IFS(AND(EA18&gt;0,EA18+BZ18&lt;=$FK$3),EA18,AND(EA18&gt;0,EA18+BZ18&gt;$FK$3),0),0)
)</f>
        <v>0</v>
      </c>
      <c r="GD18" s="152" cm="1">
        <f t="array" ref="GD18">IF($C18="Production",
IFERROR(_xlfn.IFS(AND(EB18&gt;0,EB18+SUM(BZ18:CA18)&lt;=$FM$3),EB18,AND(EB18&gt;0,EB18+SUM(BZ18:CA18)&gt;$FM$3),$FM$3-SUM(BZ18:CA18)),0),
IFERROR(_xlfn.IFS(AND(EB18&gt;0,EB18+CA18&lt;=$FK$3),EB18,AND(EB18&gt;0,EB18+CA18&gt;$FK$3),0),0)
)</f>
        <v>0</v>
      </c>
      <c r="GE18" s="152" cm="1">
        <f t="array" ref="GE18">IF($C18="Production",
IFERROR(_xlfn.IFS(AND(EC18&gt;0,EC18+SUM(CA18:CB18)&lt;=$FM$3),EC18,AND(EC18&gt;0,EC18+SUM(CA18:CB18)&gt;$FM$3),$FM$3-SUM(CA18:CB18)),0),
IFERROR(_xlfn.IFS(AND(EC18&gt;0,EC18+CB18&lt;=$FK$3),EC18,AND(EC18&gt;0,EC18+CB18&gt;$FK$3),0),0)
)</f>
        <v>0</v>
      </c>
      <c r="GF18" s="152" cm="1">
        <f t="array" ref="GF18">IF($C18="Production",
IFERROR(_xlfn.IFS(AND(ED18&gt;0,ED18+SUM(CB18:CC18)&lt;=$FM$3),ED18,AND(ED18&gt;0,ED18+SUM(CB18:CC18)&gt;$FM$3),$FM$3-SUM(CB18:CC18)),0),
IFERROR(_xlfn.IFS(AND(ED18&gt;0,ED18+CC18&lt;=$FK$3),ED18,AND(ED18&gt;0,ED18+CC18&gt;$FK$3),0),0)
)</f>
        <v>0</v>
      </c>
      <c r="GG18" s="152" cm="1">
        <f t="array" ref="GG18">IF($C18="Production",
IFERROR(_xlfn.IFS(AND(EE18&gt;0,EE18+SUM(CC18:CD18)&lt;=$FM$3),EE18,AND(EE18&gt;0,EE18+SUM(CC18:CD18)&gt;$FM$3),$FM$3-SUM(CC18:CD18)),0),
IFERROR(_xlfn.IFS(AND(EE18&gt;0,EE18+CD18&lt;=$FK$3),EE18,AND(EE18&gt;0,EE18+CD18&gt;$FK$3),0),0)
)</f>
        <v>0</v>
      </c>
      <c r="GH18" s="152" cm="1">
        <f t="array" ref="GH18">IF($C18="Production",
IFERROR(_xlfn.IFS(AND(EF18&gt;0,EF18+SUM(CD18:CE18)&lt;=$FM$3),EF18,AND(EF18&gt;0,EF18+SUM(CD18:CE18)&gt;$FM$3),$FM$3-SUM(CD18:CE18)),0),
IFERROR(_xlfn.IFS(AND(EF18&gt;0,EF18+CE18&lt;=$FK$3),EF18,AND(EF18&gt;0,EF18+CE18&gt;$FK$3),0),0)
)</f>
        <v>0</v>
      </c>
      <c r="GI18" s="152" cm="1">
        <f t="array" ref="GI18">IF($C18="Production",
IFERROR(_xlfn.IFS(AND(EG18&gt;0,EG18+SUM(CE18:CF18)&lt;=$FM$3),EG18,AND(EG18&gt;0,EG18+SUM(CE18:CF18)&gt;$FM$3),$FM$3-SUM(CE18:CF18)),0),
IFERROR(_xlfn.IFS(AND(EG18&gt;0,EG18+CF18&lt;=$FK$3),EG18,AND(EG18&gt;0,EG18+CF18&gt;$FK$3),0),0)
)</f>
        <v>0</v>
      </c>
      <c r="GJ18" s="152" cm="1">
        <f t="array" ref="GJ18">IF($C18="Production",
IFERROR(_xlfn.IFS(AND(EH18&gt;0,EH18+SUM(CF18:CG18)&lt;=$FM$3),EH18,AND(EH18&gt;0,EH18+SUM(CF18:CG18)&gt;$FM$3),$FM$3-SUM(CF18:CG18)),0),
IFERROR(_xlfn.IFS(AND(EH18&gt;0,EH18+CG18&lt;=$FK$3),EH18,AND(EH18&gt;0,EH18+CG18&gt;$FK$3),0),0)
)</f>
        <v>0</v>
      </c>
      <c r="GK18" s="152" cm="1">
        <f t="array" ref="GK18">IF($C18="Production",
IFERROR(_xlfn.IFS(AND(EI18&gt;0,EI18+SUM(CG18:CH18)&lt;=$FM$3),EI18,AND(EI18&gt;0,EI18+SUM(CG18:CH18)&gt;$FM$3),$FM$3-SUM(CG18:CH18)),0),
IFERROR(_xlfn.IFS(AND(EI18&gt;0,EI18+CH18&lt;=$FK$3),EI18,AND(EI18&gt;0,EI18+CH18&gt;$FK$3),0),0)
)</f>
        <v>0</v>
      </c>
      <c r="GL18" s="152" cm="1">
        <f t="array" ref="GL18">IF($C18="Production",
IFERROR(_xlfn.IFS(AND(EJ18&gt;0,EJ18+SUM(CH18:CI18)&lt;=$FM$3),EJ18,AND(EJ18&gt;0,EJ18+SUM(CH18:CI18)&gt;$FM$3),$FM$3-SUM(CH18:CI18)),0),
IFERROR(_xlfn.IFS(AND(EJ18&gt;0,EJ18+CI18&lt;=$FK$3),EJ18,AND(EJ18&gt;0,EJ18+CI18&gt;$FK$3),0),0)
)</f>
        <v>0</v>
      </c>
      <c r="GM18" s="152" cm="1">
        <f t="array" ref="GM18">IF($C18="Production",
IFERROR(_xlfn.IFS(AND(EK18&gt;0,EK18+SUM(CI18:CJ18)&lt;=$FM$3),EK18,AND(EK18&gt;0,EK18+SUM(CI18:CJ18)&gt;$FM$3),$FM$3-SUM(CI18:CJ18)),0),
IFERROR(_xlfn.IFS(AND(EK18&gt;0,EK18+CJ18&lt;=$FK$3),EK18,AND(EK18&gt;0,EK18+CJ18&gt;$FK$3),0),0)
)</f>
        <v>0</v>
      </c>
      <c r="GN18" s="152" cm="1">
        <f t="array" ref="GN18">IF($C18="Production",
IFERROR(_xlfn.IFS(AND(EL18&gt;0,EL18+SUM(CJ18:CK18)&lt;=$FM$3),EL18,AND(EL18&gt;0,EL18+SUM(CJ18:CK18)&gt;$FM$3),$FM$3-SUM(CJ18:CK18)),0),
IFERROR(_xlfn.IFS(AND(EL18&gt;0,EL18+CK18&lt;=$FK$3),EL18,AND(EL18&gt;0,EL18+CK18&gt;$FK$3),0),0)
)</f>
        <v>0</v>
      </c>
      <c r="GO18" s="152" cm="1">
        <f t="array" ref="GO18">IF($C18="Production",
IFERROR(_xlfn.IFS(AND(EM18&gt;0,EM18+SUM(CK18:CL18)&lt;=$FM$3),EM18,AND(EM18&gt;0,EM18+SUM(CK18:CL18)&gt;$FM$3),$FM$3-SUM(CK18:CL18)),0),
IFERROR(_xlfn.IFS(AND(EM18&gt;0,EM18+CL18&lt;=$FK$3),EM18,AND(EM18&gt;0,EM18+CL18&gt;$FK$3),0),0)
)</f>
        <v>0</v>
      </c>
      <c r="GP18" s="152" cm="1">
        <f t="array" ref="GP18">IF($C18="Production",
IFERROR(_xlfn.IFS(AND(EN18&gt;0,EN18+SUM(CL18:CM18)&lt;=$FM$3),EN18,AND(EN18&gt;0,EN18+SUM(CL18:CM18)&gt;$FM$3),$FM$3-SUM(CL18:CM18)),0),
IFERROR(_xlfn.IFS(AND(EN18&gt;0,EN18+CM18&lt;=$FK$3),EN18,AND(EN18&gt;0,EN18+CM18&gt;$FK$3),0),0)
)</f>
        <v>0</v>
      </c>
      <c r="GQ18" s="152" cm="1">
        <f t="array" ref="GQ18">IF($C18="Production",
IFERROR(_xlfn.IFS(AND(EO18&gt;0,EO18+SUM(CM18:CN18)&lt;=$FM$3),EO18,AND(EO18&gt;0,EO18+SUM(CM18:CN18)&gt;$FM$3),$FM$3-SUM(CM18:CN18)),0),
IFERROR(_xlfn.IFS(AND(EO18&gt;0,EO18+CN18&lt;=$FK$3),EO18,AND(EO18&gt;0,EO18+CN18&gt;$FK$3),0),0)
)</f>
        <v>0</v>
      </c>
      <c r="GR18" s="152" cm="1">
        <f t="array" ref="GR18">IF($C18="Production",
IFERROR(_xlfn.IFS(AND(EP18&gt;0,EP18+SUM(CN18:CO18)&lt;=$FM$3),EP18,AND(EP18&gt;0,EP18+SUM(CN18:CO18)&gt;$FM$3),$FM$3-SUM(CN18:CO18)),0),
IFERROR(_xlfn.IFS(AND(EP18&gt;0,EP18+CO18&lt;=$FK$3),EP18,AND(EP18&gt;0,EP18+CO18&gt;$FK$3),0),0)
)</f>
        <v>0</v>
      </c>
      <c r="GS18" s="152" cm="1">
        <f t="array" ref="GS18">IF($C18="Production",
IFERROR(_xlfn.IFS(AND(EQ18&gt;0,EQ18+SUM(CO18:CP18)&lt;=$FM$3),EQ18,AND(EQ18&gt;0,EQ18+SUM(CO18:CP18)&gt;$FM$3),$FM$3-SUM(CO18:CP18)),0),
IFERROR(_xlfn.IFS(AND(EQ18&gt;0,EQ18+CP18&lt;=$FK$3),EQ18,AND(EQ18&gt;0,EQ18+CP18&gt;$FK$3),0),0)
)</f>
        <v>0</v>
      </c>
      <c r="GT18" s="152" cm="1">
        <f t="array" ref="GT18">IF($C18="Production",
IFERROR(_xlfn.IFS(AND(ER18&gt;0,ER18+SUM(CP18:CQ18)&lt;=$FM$3),ER18,AND(ER18&gt;0,ER18+SUM(CP18:CQ18)&gt;$FM$3),$FM$3-SUM(CP18:CQ18)),0),
IFERROR(_xlfn.IFS(AND(ER18&gt;0,ER18+CQ18&lt;=$FK$3),ER18,AND(ER18&gt;0,ER18+CQ18&gt;$FK$3),0),0)
)</f>
        <v>0</v>
      </c>
      <c r="GU18" s="152" cm="1">
        <f t="array" ref="GU18">IF($C18="Production",
IFERROR(_xlfn.IFS(AND(ES18&gt;0,ES18+SUM(CQ18:CR18)&lt;=$FM$3),ES18,AND(ES18&gt;0,ES18+SUM(CQ18:CR18)&gt;$FM$3),$FM$3-SUM(CQ18:CR18)),0),
IFERROR(_xlfn.IFS(AND(ES18&gt;0,ES18+CR18&lt;=$FK$3),ES18,AND(ES18&gt;0,ES18+CR18&gt;$FK$3),0),0)
)</f>
        <v>0</v>
      </c>
      <c r="GV18" s="152" cm="1">
        <f t="array" ref="GV18">IF($C18="Production",
IFERROR(_xlfn.IFS(AND(ET18&gt;0,ET18+SUM(CR18:CS18)&lt;=$FM$3),ET18,AND(ET18&gt;0,ET18+SUM(CR18:CS18)&gt;$FM$3),$FM$3-SUM(CR18:CS18)),0),
IFERROR(_xlfn.IFS(AND(ET18&gt;0,ET18+CS18&lt;=$FK$3),ET18,AND(ET18&gt;0,ET18+CS18&gt;$FK$3),0),0)
)</f>
        <v>0</v>
      </c>
      <c r="GW18" s="152" cm="1">
        <f t="array" ref="GW18">IF($C18="Production",
IFERROR(_xlfn.IFS(AND(EU18&gt;0,EU18+SUM(CS18:CT18)&lt;=$FM$3),EU18,AND(EU18&gt;0,EU18+SUM(CS18:CT18)&gt;$FM$3),$FM$3-SUM(CS18:CT18)),0),
IFERROR(_xlfn.IFS(AND(EU18&gt;0,EU18+CT18&lt;=$FK$3),EU18,AND(EU18&gt;0,EU18+CT18&gt;$FK$3),0),0)
)</f>
        <v>0</v>
      </c>
      <c r="GX18" s="152" cm="1">
        <f t="array" ref="GX18">IF($C18="Production",
IFERROR(_xlfn.IFS(AND(EV18&gt;0,EV18+SUM(CT18:CU18)&lt;=$FM$3),EV18,AND(EV18&gt;0,EV18+SUM(CT18:CU18)&gt;$FM$3),$FM$3-SUM(CT18:CU18)),0),
IFERROR(_xlfn.IFS(AND(EV18&gt;0,EV18+CU18&lt;=$FK$3),EV18,AND(EV18&gt;0,EV18+CU18&gt;$FK$3),0),0)
)</f>
        <v>0</v>
      </c>
      <c r="GY18" s="152" cm="1">
        <f t="array" ref="GY18">IF($C18="Production",
IFERROR(_xlfn.IFS(AND(EW18&gt;0,EW18+SUM(CU18:CV18)&lt;=$FM$3),EW18,AND(EW18&gt;0,EW18+SUM(CU18:CV18)&gt;$FM$3),$FM$3-SUM(CU18:CV18)),0),
IFERROR(_xlfn.IFS(AND(EW18&gt;0,EW18+CV18&lt;=$FK$3),EW18,AND(EW18&gt;0,EW18+CV18&gt;$FK$3),0),0)
)</f>
        <v>0</v>
      </c>
      <c r="GZ18" s="152" cm="1">
        <f t="array" ref="GZ18">IF($C18="Production",
IFERROR(_xlfn.IFS(AND(EX18&gt;0,EX18+SUM(CV18:CW18)&lt;=$FM$3),EX18,AND(EX18&gt;0,EX18+SUM(CV18:CW18)&gt;$FM$3),$FM$3-SUM(CV18:CW18)),0),
IFERROR(_xlfn.IFS(AND(EX18&gt;0,EX18+CW18&lt;=$FK$3),EX18,AND(EX18&gt;0,EX18+CW18&gt;$FK$3),0),0)
)</f>
        <v>0</v>
      </c>
      <c r="HA18" s="152" cm="1">
        <f t="array" ref="HA18">IF($C18="Production",
IFERROR(_xlfn.IFS(AND(EY18&gt;0,EY18+SUM(CW18:CX18)&lt;=$FM$3),EY18,AND(EY18&gt;0,EY18+SUM(CW18:CX18)&gt;$FM$3),$FM$3-SUM(CW18:CX18)),0),
IFERROR(_xlfn.IFS(AND(EY18&gt;0,EY18+CX18&lt;=$FK$3),EY18,AND(EY18&gt;0,EY18+CX18&gt;$FK$3),0),0)
)</f>
        <v>0</v>
      </c>
      <c r="HB18" s="152" cm="1">
        <f t="array" ref="HB18">IF($C18="Production",
IFERROR(_xlfn.IFS(AND(EZ18&gt;0,EZ18+SUM(CX18:CY18)&lt;=$FM$3),EZ18,AND(EZ18&gt;0,EZ18+SUM(CX18:CY18)&gt;$FM$3),$FM$3-SUM(CX18:CY18)),0),
IFERROR(_xlfn.IFS(AND(EZ18&gt;0,EZ18+CY18&lt;=$FK$3),EZ18,AND(EZ18&gt;0,EZ18+CY18&gt;$FK$3),0),0)
)</f>
        <v>0</v>
      </c>
      <c r="HC18" s="152" cm="1">
        <f t="array" ref="HC18">IF($C18="Production",
IFERROR(_xlfn.IFS(AND(FA18&gt;0,FA18+SUM(CY18:CZ18)&lt;=$FM$3),FA18,AND(FA18&gt;0,FA18+SUM(CY18:CZ18)&gt;$FM$3),$FM$3-SUM(CY18:CZ18)),0),
IFERROR(_xlfn.IFS(AND(FA18&gt;0,FA18+CZ18&lt;=$FK$3),FA18,AND(FA18&gt;0,FA18+CZ18&gt;$FK$3),0),0)
)</f>
        <v>0</v>
      </c>
      <c r="HD18" s="152" cm="1">
        <f t="array" ref="HD18">IF($C18="Production",
IFERROR(_xlfn.IFS(AND(FB18&gt;0,FB18+SUM(CZ18:DA18)&lt;=$FM$3),FB18,AND(FB18&gt;0,FB18+SUM(CZ18:DA18)&gt;$FM$3),$FM$3-SUM(CZ18:DA18)),0),
IFERROR(_xlfn.IFS(AND(FB18&gt;0,FB18+DA18&lt;=$FK$3),FB18,AND(FB18&gt;0,FB18+DA18&gt;$FK$3),0),0)
)</f>
        <v>0</v>
      </c>
      <c r="HE18" s="152" cm="1">
        <f t="array" ref="HE18">IF($C18="Production",
IFERROR(_xlfn.IFS(AND(FC18&gt;0,FC18+SUM(DA18:DB18)&lt;=$FM$3),FC18,AND(FC18&gt;0,FC18+SUM(DA18:DB18)&gt;$FM$3),$FM$3-SUM(DA18:DB18)),0),
IFERROR(_xlfn.IFS(AND(FC18&gt;0,FC18+DB18&lt;=$FK$3),FC18,AND(FC18&gt;0,FC18+DB18&gt;$FK$3),0),0)
)</f>
        <v>0</v>
      </c>
      <c r="HF18" s="152" cm="1">
        <f t="array" ref="HF18">IF($C18="Production",
IFERROR(_xlfn.IFS(AND(FD18&gt;0,FD18+SUM(DB18:DC18)&lt;=$FM$3),FD18,AND(FD18&gt;0,FD18+SUM(DB18:DC18)&gt;$FM$3),$FM$3-SUM(DB18:DC18)),0),
IFERROR(_xlfn.IFS(AND(FD18&gt;0,FD18+DC18&lt;=$FK$3),FD18,AND(FD18&gt;0,FD18+DC18&gt;$FK$3),0),0)
)</f>
        <v>0</v>
      </c>
      <c r="HG18" s="152" cm="1">
        <f t="array" ref="HG18">IF($C18="Production",
IFERROR(_xlfn.IFS(AND(FE18&gt;0,FE18+SUM(DC18:DD18)&lt;=$FM$3),FE18,AND(FE18&gt;0,FE18+SUM(DC18:DD18)&gt;$FM$3),$FM$3-SUM(DC18:DD18)),0),
IFERROR(_xlfn.IFS(AND(FE18&gt;0,FE18+DD18&lt;=$FK$3),FE18,AND(FE18&gt;0,FE18+DD18&gt;$FK$3),0),0)
)</f>
        <v>0</v>
      </c>
      <c r="HH18" s="152" cm="1">
        <f t="array" ref="HH18">IF($C18="Production",
IFERROR(_xlfn.IFS(AND(FF18&gt;0,FF18+SUM(DD18:DE18)&lt;=$FM$3),FF18,AND(FF18&gt;0,FF18+SUM(DD18:DE18)&gt;$FM$3),$FM$3-SUM(DD18:DE18)),0),
IFERROR(_xlfn.IFS(AND(FF18&gt;0,FF18+DE18&lt;=$FK$3),FF18,AND(FF18&gt;0,FF18+DE18&gt;$FK$3),0),0)
)</f>
        <v>0</v>
      </c>
      <c r="HI18" s="156" cm="1">
        <f t="array" ref="HI18">IF($C18="Production",
IFERROR(_xlfn.IFS(AND(FG18&gt;0,FG18+SUM(DE18:DF18)&lt;=$FM$3),FG18,AND(FG18&gt;0,FG18+SUM(DE18:DF18)&gt;$FM$3),$FM$3-SUM(DE18:DF18)),0),
IFERROR(_xlfn.IFS(AND(FG18&gt;0,FG18+DF18&lt;=$FK$3),FG18,AND(FG18&gt;0,FG18+DF18&gt;$FK$3),0),0)
)</f>
        <v>0</v>
      </c>
      <c r="HJ18" s="113">
        <f t="shared" si="110"/>
        <v>6.75</v>
      </c>
      <c r="HK18" s="80"/>
      <c r="HL18" s="112">
        <f t="shared" si="56"/>
        <v>0</v>
      </c>
      <c r="HM18" s="138">
        <f t="shared" si="57"/>
        <v>0</v>
      </c>
      <c r="HN18" s="138">
        <f t="shared" si="58"/>
        <v>0</v>
      </c>
      <c r="HO18" s="138">
        <f t="shared" si="59"/>
        <v>0</v>
      </c>
      <c r="HP18" s="138">
        <f t="shared" si="60"/>
        <v>0</v>
      </c>
      <c r="HQ18" s="138">
        <f t="shared" si="61"/>
        <v>0</v>
      </c>
      <c r="HR18" s="138">
        <f t="shared" si="62"/>
        <v>0</v>
      </c>
      <c r="HS18" s="138">
        <f t="shared" si="63"/>
        <v>0</v>
      </c>
      <c r="HT18" s="138">
        <f t="shared" si="64"/>
        <v>0</v>
      </c>
      <c r="HU18" s="138">
        <f t="shared" si="65"/>
        <v>0</v>
      </c>
      <c r="HV18" s="138">
        <f t="shared" si="66"/>
        <v>0</v>
      </c>
      <c r="HW18" s="138">
        <f t="shared" si="67"/>
        <v>0</v>
      </c>
      <c r="HX18" s="138">
        <f t="shared" si="68"/>
        <v>0</v>
      </c>
      <c r="HY18" s="138">
        <f t="shared" si="69"/>
        <v>0</v>
      </c>
      <c r="HZ18" s="138">
        <f t="shared" si="70"/>
        <v>0</v>
      </c>
      <c r="IA18" s="138">
        <f t="shared" si="71"/>
        <v>0</v>
      </c>
      <c r="IB18" s="138">
        <f t="shared" si="72"/>
        <v>0</v>
      </c>
      <c r="IC18" s="138">
        <f t="shared" si="73"/>
        <v>0</v>
      </c>
      <c r="ID18" s="138">
        <f t="shared" si="74"/>
        <v>0</v>
      </c>
      <c r="IE18" s="138">
        <f t="shared" si="75"/>
        <v>0</v>
      </c>
      <c r="IF18" s="138">
        <f t="shared" si="76"/>
        <v>0</v>
      </c>
      <c r="IG18" s="138">
        <f t="shared" si="77"/>
        <v>0</v>
      </c>
      <c r="IH18" s="138">
        <f t="shared" si="78"/>
        <v>0</v>
      </c>
      <c r="II18" s="138">
        <f t="shared" si="79"/>
        <v>0</v>
      </c>
      <c r="IJ18" s="138">
        <f t="shared" si="80"/>
        <v>0</v>
      </c>
      <c r="IK18" s="138">
        <f t="shared" si="81"/>
        <v>0</v>
      </c>
      <c r="IL18" s="138">
        <f t="shared" si="82"/>
        <v>0</v>
      </c>
      <c r="IM18" s="138">
        <f t="shared" si="83"/>
        <v>0</v>
      </c>
      <c r="IN18" s="138">
        <f t="shared" si="84"/>
        <v>0</v>
      </c>
      <c r="IO18" s="138">
        <f t="shared" si="85"/>
        <v>0</v>
      </c>
      <c r="IP18" s="138">
        <f t="shared" si="86"/>
        <v>0</v>
      </c>
      <c r="IQ18" s="138">
        <f t="shared" si="87"/>
        <v>0</v>
      </c>
      <c r="IR18" s="138">
        <f t="shared" si="88"/>
        <v>0</v>
      </c>
      <c r="IS18" s="138">
        <f t="shared" si="89"/>
        <v>0</v>
      </c>
      <c r="IT18" s="138">
        <f t="shared" si="90"/>
        <v>0</v>
      </c>
      <c r="IU18" s="138">
        <f t="shared" si="91"/>
        <v>0</v>
      </c>
      <c r="IV18" s="138">
        <f t="shared" si="92"/>
        <v>0</v>
      </c>
      <c r="IW18" s="138">
        <f t="shared" si="93"/>
        <v>0</v>
      </c>
      <c r="IX18" s="138">
        <f t="shared" si="94"/>
        <v>0</v>
      </c>
      <c r="IY18" s="138">
        <f t="shared" si="95"/>
        <v>0</v>
      </c>
      <c r="IZ18" s="138">
        <f t="shared" si="96"/>
        <v>0</v>
      </c>
      <c r="JA18" s="138">
        <f t="shared" si="97"/>
        <v>0</v>
      </c>
      <c r="JB18" s="138">
        <f t="shared" si="98"/>
        <v>0</v>
      </c>
      <c r="JC18" s="138">
        <f t="shared" si="99"/>
        <v>0</v>
      </c>
      <c r="JD18" s="138">
        <f t="shared" si="100"/>
        <v>0</v>
      </c>
      <c r="JE18" s="138">
        <f t="shared" si="101"/>
        <v>0</v>
      </c>
      <c r="JF18" s="138">
        <f t="shared" si="102"/>
        <v>0</v>
      </c>
      <c r="JG18" s="138">
        <f t="shared" si="103"/>
        <v>0</v>
      </c>
      <c r="JH18" s="138">
        <f t="shared" si="104"/>
        <v>0</v>
      </c>
      <c r="JI18" s="138">
        <f t="shared" si="105"/>
        <v>0</v>
      </c>
      <c r="JJ18" s="138">
        <f t="shared" si="106"/>
        <v>0</v>
      </c>
      <c r="JK18" s="138">
        <f t="shared" si="107"/>
        <v>0</v>
      </c>
      <c r="JL18" s="118">
        <f t="shared" si="111"/>
        <v>0</v>
      </c>
      <c r="JO18" s="90">
        <f t="shared" si="112"/>
        <v>6.75</v>
      </c>
      <c r="JP18" s="79">
        <f t="shared" si="108"/>
        <v>0</v>
      </c>
      <c r="JQ18" s="91">
        <f t="shared" si="2"/>
        <v>8.4375</v>
      </c>
      <c r="JS18" s="123">
        <f t="shared" si="109"/>
        <v>0</v>
      </c>
      <c r="JU18" s="123">
        <f t="shared" si="113"/>
        <v>8.4375</v>
      </c>
    </row>
    <row r="19" spans="2:281" x14ac:dyDescent="0.15">
      <c r="B19" s="82" t="str">
        <f>'MODU 2025'!B22</f>
        <v>EL BOUKABOUTI Mamouch</v>
      </c>
      <c r="C19" s="82" t="str">
        <f>'MODU 2025'!C22</f>
        <v>Production</v>
      </c>
      <c r="D19" s="82">
        <f>'MODU 2025'!D22</f>
        <v>37</v>
      </c>
      <c r="E19" s="82"/>
      <c r="F19" s="133">
        <f>'MODU 2025'!G22</f>
        <v>41</v>
      </c>
      <c r="G19" s="140">
        <f>'MODU 2025'!H22</f>
        <v>28</v>
      </c>
      <c r="H19" s="140">
        <f>'MODU 2025'!I22</f>
        <v>41</v>
      </c>
      <c r="I19" s="140">
        <f>'MODU 2025'!J22</f>
        <v>33</v>
      </c>
      <c r="J19" s="140">
        <f>'MODU 2025'!K22</f>
        <v>41</v>
      </c>
      <c r="K19" s="140">
        <f>'MODU 2025'!L22</f>
        <v>33</v>
      </c>
      <c r="L19" s="140">
        <f>'MODU 2025'!M22</f>
        <v>41</v>
      </c>
      <c r="M19" s="140">
        <f>'MODU 2025'!N22</f>
        <v>33</v>
      </c>
      <c r="N19" s="140">
        <f>'MODU 2025'!O22</f>
        <v>41</v>
      </c>
      <c r="O19" s="140">
        <f>'MODU 2025'!P22</f>
        <v>40.75</v>
      </c>
      <c r="P19" s="140">
        <f>'MODU 2025'!Q22</f>
        <v>41</v>
      </c>
      <c r="Q19" s="140">
        <f>'MODU 2025'!R22</f>
        <v>33</v>
      </c>
      <c r="R19" s="140">
        <f>'MODU 2025'!S22</f>
        <v>41</v>
      </c>
      <c r="S19" s="140">
        <f>'MODU 2025'!T22</f>
        <v>33</v>
      </c>
      <c r="T19" s="140">
        <f>'MODU 2025'!U22</f>
        <v>41</v>
      </c>
      <c r="U19" s="140">
        <f>'MODU 2025'!V22</f>
        <v>33</v>
      </c>
      <c r="V19" s="140">
        <f>'MODU 2025'!W22</f>
        <v>41</v>
      </c>
      <c r="W19" s="140">
        <f>'MODU 2025'!X22</f>
        <v>33</v>
      </c>
      <c r="X19" s="140">
        <f>'MODU 2025'!Y22</f>
        <v>41</v>
      </c>
      <c r="Y19" s="140">
        <f>'MODU 2025'!Z22</f>
        <v>33</v>
      </c>
      <c r="Z19" s="140">
        <f>'MODU 2025'!AA22</f>
        <v>41</v>
      </c>
      <c r="AA19" s="140">
        <f>'MODU 2025'!AB22</f>
        <v>33</v>
      </c>
      <c r="AB19" s="140">
        <f>'MODU 2025'!AC22</f>
        <v>41</v>
      </c>
      <c r="AC19" s="140">
        <f>'MODU 2025'!AD22</f>
        <v>33</v>
      </c>
      <c r="AD19" s="140">
        <f>'MODU 2025'!AE22</f>
        <v>41</v>
      </c>
      <c r="AE19" s="140">
        <f>'MODU 2025'!AF22</f>
        <v>33</v>
      </c>
      <c r="AF19" s="140">
        <f>'MODU 2025'!AG22</f>
        <v>41</v>
      </c>
      <c r="AG19" s="140">
        <f>'MODU 2025'!AH22</f>
        <v>33</v>
      </c>
      <c r="AH19" s="140">
        <f>'MODU 2025'!AI22</f>
        <v>41</v>
      </c>
      <c r="AI19" s="140">
        <f>'MODU 2025'!AJ22</f>
        <v>33</v>
      </c>
      <c r="AJ19" s="140">
        <f>'MODU 2025'!AK22</f>
        <v>41</v>
      </c>
      <c r="AK19" s="140">
        <f>'MODU 2025'!AL22</f>
        <v>33</v>
      </c>
      <c r="AL19" s="140">
        <f>'MODU 2025'!AM22</f>
        <v>41</v>
      </c>
      <c r="AM19" s="140">
        <f>'MODU 2025'!AN22</f>
        <v>33</v>
      </c>
      <c r="AN19" s="140">
        <f>'MODU 2025'!AO22</f>
        <v>41</v>
      </c>
      <c r="AO19" s="140">
        <f>'MODU 2025'!AP22</f>
        <v>33</v>
      </c>
      <c r="AP19" s="140">
        <f>'MODU 2025'!AQ22</f>
        <v>41</v>
      </c>
      <c r="AQ19" s="140">
        <f>'MODU 2025'!AR22</f>
        <v>33</v>
      </c>
      <c r="AR19" s="140">
        <f>'MODU 2025'!AS22</f>
        <v>41</v>
      </c>
      <c r="AS19" s="140">
        <f>'MODU 2025'!AT22</f>
        <v>33</v>
      </c>
      <c r="AT19" s="140">
        <f>'MODU 2025'!AU22</f>
        <v>41</v>
      </c>
      <c r="AU19" s="140">
        <f>'MODU 2025'!AV22</f>
        <v>33</v>
      </c>
      <c r="AV19" s="140">
        <f>'MODU 2025'!AW22</f>
        <v>41</v>
      </c>
      <c r="AW19" s="140">
        <f>'MODU 2025'!AX22</f>
        <v>33</v>
      </c>
      <c r="AX19" s="140">
        <f>'MODU 2025'!AY22</f>
        <v>41</v>
      </c>
      <c r="AY19" s="140">
        <f>'MODU 2025'!AZ22</f>
        <v>33</v>
      </c>
      <c r="AZ19" s="140">
        <f>'MODU 2025'!BA22</f>
        <v>41</v>
      </c>
      <c r="BA19" s="140">
        <f>'MODU 2025'!BB22</f>
        <v>33</v>
      </c>
      <c r="BB19" s="140">
        <f>'MODU 2025'!BC22</f>
        <v>41</v>
      </c>
      <c r="BC19" s="140">
        <f>'MODU 2025'!BD22</f>
        <v>33</v>
      </c>
      <c r="BD19" s="140">
        <f>'MODU 2025'!BE22</f>
        <v>41</v>
      </c>
      <c r="BE19" s="134">
        <f>'MODU 2025'!BF22</f>
        <v>33</v>
      </c>
      <c r="BF19" s="82"/>
      <c r="BG19" s="107">
        <v>41</v>
      </c>
      <c r="BH19" s="145">
        <v>33</v>
      </c>
      <c r="BI19" s="145">
        <v>41</v>
      </c>
      <c r="BJ19" s="145">
        <v>33</v>
      </c>
      <c r="BK19" s="145">
        <v>41</v>
      </c>
      <c r="BL19" s="145">
        <v>33</v>
      </c>
      <c r="BM19" s="145">
        <v>41</v>
      </c>
      <c r="BN19" s="145">
        <v>33</v>
      </c>
      <c r="BO19" s="145">
        <v>41</v>
      </c>
      <c r="BP19" s="145">
        <v>33</v>
      </c>
      <c r="BQ19" s="145">
        <v>41</v>
      </c>
      <c r="BR19" s="145">
        <v>33</v>
      </c>
      <c r="BS19" s="145">
        <v>41</v>
      </c>
      <c r="BT19" s="145">
        <v>33</v>
      </c>
      <c r="BU19" s="145">
        <v>41</v>
      </c>
      <c r="BV19" s="145">
        <v>33</v>
      </c>
      <c r="BW19" s="145">
        <v>41</v>
      </c>
      <c r="BX19" s="145">
        <v>33</v>
      </c>
      <c r="BY19" s="145">
        <v>41</v>
      </c>
      <c r="BZ19" s="145">
        <v>33</v>
      </c>
      <c r="CA19" s="145">
        <v>41</v>
      </c>
      <c r="CB19" s="145">
        <v>33</v>
      </c>
      <c r="CC19" s="145">
        <v>41</v>
      </c>
      <c r="CD19" s="145">
        <v>33</v>
      </c>
      <c r="CE19" s="145">
        <v>41</v>
      </c>
      <c r="CF19" s="145">
        <v>33</v>
      </c>
      <c r="CG19" s="145">
        <v>41</v>
      </c>
      <c r="CH19" s="145">
        <v>33</v>
      </c>
      <c r="CI19" s="145">
        <v>41</v>
      </c>
      <c r="CJ19" s="145">
        <v>33</v>
      </c>
      <c r="CK19" s="145">
        <v>41</v>
      </c>
      <c r="CL19" s="145">
        <v>33</v>
      </c>
      <c r="CM19" s="145">
        <v>41</v>
      </c>
      <c r="CN19" s="145">
        <v>33</v>
      </c>
      <c r="CO19" s="145">
        <v>41</v>
      </c>
      <c r="CP19" s="145">
        <v>33</v>
      </c>
      <c r="CQ19" s="145">
        <v>41</v>
      </c>
      <c r="CR19" s="145">
        <v>33</v>
      </c>
      <c r="CS19" s="145">
        <v>41</v>
      </c>
      <c r="CT19" s="145">
        <v>33</v>
      </c>
      <c r="CU19" s="145">
        <v>41</v>
      </c>
      <c r="CV19" s="145">
        <v>33</v>
      </c>
      <c r="CW19" s="145">
        <v>41</v>
      </c>
      <c r="CX19" s="145">
        <v>33</v>
      </c>
      <c r="CY19" s="145">
        <v>41</v>
      </c>
      <c r="CZ19" s="145">
        <v>33</v>
      </c>
      <c r="DA19" s="145">
        <v>41</v>
      </c>
      <c r="DB19" s="145">
        <v>33</v>
      </c>
      <c r="DC19" s="145">
        <v>41</v>
      </c>
      <c r="DD19" s="145">
        <v>33</v>
      </c>
      <c r="DE19" s="145">
        <v>41</v>
      </c>
      <c r="DF19" s="108">
        <v>33</v>
      </c>
      <c r="DG19" s="84"/>
      <c r="DH19" s="112">
        <f t="shared" si="3"/>
        <v>0</v>
      </c>
      <c r="DI19" s="138">
        <f t="shared" si="4"/>
        <v>-5</v>
      </c>
      <c r="DJ19" s="138">
        <f t="shared" si="5"/>
        <v>0</v>
      </c>
      <c r="DK19" s="138">
        <f t="shared" si="6"/>
        <v>0</v>
      </c>
      <c r="DL19" s="138">
        <f t="shared" si="7"/>
        <v>0</v>
      </c>
      <c r="DM19" s="138">
        <f t="shared" si="8"/>
        <v>0</v>
      </c>
      <c r="DN19" s="138">
        <f t="shared" si="9"/>
        <v>0</v>
      </c>
      <c r="DO19" s="138">
        <f t="shared" si="10"/>
        <v>0</v>
      </c>
      <c r="DP19" s="138">
        <f t="shared" si="11"/>
        <v>0</v>
      </c>
      <c r="DQ19" s="138">
        <f t="shared" si="12"/>
        <v>7.75</v>
      </c>
      <c r="DR19" s="138">
        <f t="shared" si="13"/>
        <v>0</v>
      </c>
      <c r="DS19" s="138">
        <f t="shared" si="14"/>
        <v>0</v>
      </c>
      <c r="DT19" s="138">
        <f t="shared" si="15"/>
        <v>0</v>
      </c>
      <c r="DU19" s="138">
        <f t="shared" si="16"/>
        <v>0</v>
      </c>
      <c r="DV19" s="138">
        <f t="shared" si="17"/>
        <v>0</v>
      </c>
      <c r="DW19" s="138">
        <f t="shared" si="18"/>
        <v>0</v>
      </c>
      <c r="DX19" s="138">
        <f t="shared" si="19"/>
        <v>0</v>
      </c>
      <c r="DY19" s="138">
        <f t="shared" si="20"/>
        <v>0</v>
      </c>
      <c r="DZ19" s="138">
        <f t="shared" si="21"/>
        <v>0</v>
      </c>
      <c r="EA19" s="138">
        <f t="shared" si="22"/>
        <v>0</v>
      </c>
      <c r="EB19" s="138">
        <f t="shared" si="23"/>
        <v>0</v>
      </c>
      <c r="EC19" s="138">
        <f t="shared" si="24"/>
        <v>0</v>
      </c>
      <c r="ED19" s="138">
        <f t="shared" si="25"/>
        <v>0</v>
      </c>
      <c r="EE19" s="138">
        <f t="shared" si="26"/>
        <v>0</v>
      </c>
      <c r="EF19" s="138">
        <f t="shared" si="27"/>
        <v>0</v>
      </c>
      <c r="EG19" s="138">
        <f t="shared" si="28"/>
        <v>0</v>
      </c>
      <c r="EH19" s="138">
        <f t="shared" si="29"/>
        <v>0</v>
      </c>
      <c r="EI19" s="138">
        <f t="shared" si="30"/>
        <v>0</v>
      </c>
      <c r="EJ19" s="138">
        <f t="shared" si="31"/>
        <v>0</v>
      </c>
      <c r="EK19" s="138">
        <f t="shared" si="32"/>
        <v>0</v>
      </c>
      <c r="EL19" s="138">
        <f t="shared" si="33"/>
        <v>0</v>
      </c>
      <c r="EM19" s="138">
        <f t="shared" si="34"/>
        <v>0</v>
      </c>
      <c r="EN19" s="138">
        <f t="shared" si="35"/>
        <v>0</v>
      </c>
      <c r="EO19" s="138">
        <f t="shared" si="36"/>
        <v>0</v>
      </c>
      <c r="EP19" s="138">
        <f t="shared" si="37"/>
        <v>0</v>
      </c>
      <c r="EQ19" s="138">
        <f t="shared" si="38"/>
        <v>0</v>
      </c>
      <c r="ER19" s="138">
        <f t="shared" si="39"/>
        <v>0</v>
      </c>
      <c r="ES19" s="138">
        <f t="shared" si="40"/>
        <v>0</v>
      </c>
      <c r="ET19" s="138">
        <f t="shared" si="41"/>
        <v>0</v>
      </c>
      <c r="EU19" s="138">
        <f t="shared" si="42"/>
        <v>0</v>
      </c>
      <c r="EV19" s="138">
        <f t="shared" si="43"/>
        <v>0</v>
      </c>
      <c r="EW19" s="138">
        <f t="shared" si="44"/>
        <v>0</v>
      </c>
      <c r="EX19" s="138">
        <f t="shared" si="45"/>
        <v>0</v>
      </c>
      <c r="EY19" s="138">
        <f t="shared" si="46"/>
        <v>0</v>
      </c>
      <c r="EZ19" s="138">
        <f t="shared" si="47"/>
        <v>0</v>
      </c>
      <c r="FA19" s="138">
        <f t="shared" si="48"/>
        <v>0</v>
      </c>
      <c r="FB19" s="138">
        <f t="shared" si="49"/>
        <v>0</v>
      </c>
      <c r="FC19" s="138">
        <f t="shared" si="50"/>
        <v>0</v>
      </c>
      <c r="FD19" s="138">
        <f t="shared" si="51"/>
        <v>0</v>
      </c>
      <c r="FE19" s="138">
        <f t="shared" si="52"/>
        <v>0</v>
      </c>
      <c r="FF19" s="138">
        <f t="shared" si="53"/>
        <v>0</v>
      </c>
      <c r="FG19" s="113">
        <f t="shared" si="54"/>
        <v>0</v>
      </c>
      <c r="FH19" s="113">
        <f t="shared" si="55"/>
        <v>2.75</v>
      </c>
      <c r="FI19" s="35"/>
      <c r="FJ19" s="151" cm="1">
        <f t="array" ref="FJ19">IF($C19="Production",
IFERROR(_xlfn.IFS(AND(DH19&gt;0,DH19+SUM(BF19:BG19)&lt;=$FM$3),DH19,AND(DH19&gt;0,DH19+SUM(BF19:BG19)&gt;$FM$3),$FM$3-SUM(BF19:BG19)),0),
IFERROR(_xlfn.IFS(AND(DH19&gt;0,DH19+BG19&lt;=$FK$3),DH19,AND(DH19&gt;0,DH19+BG19&gt;$FK$3),0),0)
)</f>
        <v>0</v>
      </c>
      <c r="FK19" s="152" cm="1">
        <f t="array" ref="FK19">IF($C19="Production",
IFERROR(_xlfn.IFS(AND(DI19&gt;0,DI19+SUM(BG19:BH19)&lt;=$FM$3),DI19,AND(DI19&gt;0,DI19+SUM(BG19:BH19)&gt;$FM$3),$FM$3-SUM(BG19:BH19)),0),
IFERROR(_xlfn.IFS(AND(DI19&gt;0,DI19+BH19&lt;=$FK$3),DI19,AND(DI19&gt;0,DI19+BH19&gt;$FK$3),0),0)
)</f>
        <v>0</v>
      </c>
      <c r="FL19" s="152" cm="1">
        <f t="array" ref="FL19">IF($C19="Production",
IFERROR(_xlfn.IFS(AND(DJ19&gt;0,DJ19+SUM(BH19:BI19)&lt;=$FM$3),DJ19,AND(DJ19&gt;0,DJ19+SUM(BH19:BI19)&gt;$FM$3),$FM$3-SUM(BH19:BI19)),0),
IFERROR(_xlfn.IFS(AND(DJ19&gt;0,DJ19+BI19&lt;=$FK$3),DJ19,AND(DJ19&gt;0,DJ19+BI19&gt;$FK$3),0),0)
)</f>
        <v>0</v>
      </c>
      <c r="FM19" s="152" cm="1">
        <f t="array" ref="FM19">IF($C19="Production",
IFERROR(_xlfn.IFS(AND(DK19&gt;0,DK19+SUM(BI19:BJ19)&lt;=$FM$3),DK19,AND(DK19&gt;0,DK19+SUM(BI19:BJ19)&gt;$FM$3),$FM$3-SUM(BI19:BJ19)),0),
IFERROR(_xlfn.IFS(AND(DK19&gt;0,DK19+BJ19&lt;=$FK$3),DK19,AND(DK19&gt;0,DK19+BJ19&gt;$FK$3),0),0)
)</f>
        <v>0</v>
      </c>
      <c r="FN19" s="152" cm="1">
        <f t="array" ref="FN19">IF($C19="Production",
IFERROR(_xlfn.IFS(AND(DL19&gt;0,DL19+SUM(BJ19:BK19)&lt;=$FM$3),DL19,AND(DL19&gt;0,DL19+SUM(BJ19:BK19)&gt;$FM$3),$FM$3-SUM(BJ19:BK19)),0),
IFERROR(_xlfn.IFS(AND(DL19&gt;0,DL19+BK19&lt;=$FK$3),DL19,AND(DL19&gt;0,DL19+BK19&gt;$FK$3),0),0)
)</f>
        <v>0</v>
      </c>
      <c r="FO19" s="152" cm="1">
        <f t="array" ref="FO19">IF($C19="Production",
IFERROR(_xlfn.IFS(AND(DM19&gt;0,DM19+SUM(BK19:BL19)&lt;=$FM$3),DM19,AND(DM19&gt;0,DM19+SUM(BK19:BL19)&gt;$FM$3),$FM$3-SUM(BK19:BL19)),0),
IFERROR(_xlfn.IFS(AND(DM19&gt;0,DM19+BL19&lt;=$FK$3),DM19,AND(DM19&gt;0,DM19+BL19&gt;$FK$3),0),0)
)</f>
        <v>0</v>
      </c>
      <c r="FP19" s="152" cm="1">
        <f t="array" ref="FP19">IF($C19="Production",
IFERROR(_xlfn.IFS(AND(DN19&gt;0,DN19+SUM(BL19:BM19)&lt;=$FM$3),DN19,AND(DN19&gt;0,DN19+SUM(BL19:BM19)&gt;$FM$3),$FM$3-SUM(BL19:BM19)),0),
IFERROR(_xlfn.IFS(AND(DN19&gt;0,DN19+BM19&lt;=$FK$3),DN19,AND(DN19&gt;0,DN19+BM19&gt;$FK$3),0),0)
)</f>
        <v>0</v>
      </c>
      <c r="FQ19" s="152" cm="1">
        <f t="array" ref="FQ19">IF($C19="Production",
IFERROR(_xlfn.IFS(AND(DO19&gt;0,DO19+SUM(BM19:BN19)&lt;=$FM$3),DO19,AND(DO19&gt;0,DO19+SUM(BM19:BN19)&gt;$FM$3),$FM$3-SUM(BM19:BN19)),0),
IFERROR(_xlfn.IFS(AND(DO19&gt;0,DO19+BN19&lt;=$FK$3),DO19,AND(DO19&gt;0,DO19+BN19&gt;$FK$3),0),0)
)</f>
        <v>0</v>
      </c>
      <c r="FR19" s="152" cm="1">
        <f t="array" ref="FR19">IF($C19="Production",
IFERROR(_xlfn.IFS(AND(DP19&gt;0,DP19+SUM(BN19:BO19)&lt;=$FM$3),DP19,AND(DP19&gt;0,DP19+SUM(BN19:BO19)&gt;$FM$3),$FM$3-SUM(BN19:BO19)),0),
IFERROR(_xlfn.IFS(AND(DP19&gt;0,DP19+BO19&lt;=$FK$3),DP19,AND(DP19&gt;0,DP19+BO19&gt;$FK$3),0),0)
)</f>
        <v>0</v>
      </c>
      <c r="FS19" s="152" cm="1">
        <f t="array" ref="FS19">IF($C19="Production",
IFERROR(_xlfn.IFS(AND(DQ19&gt;0,DQ19+SUM(BO19:BP19)&lt;=$FM$3),DQ19,AND(DQ19&gt;0,DQ19+SUM(BO19:BP19)&gt;$FM$3),$FM$3-SUM(BO19:BP19)),0),
IFERROR(_xlfn.IFS(AND(DQ19&gt;0,DQ19+BP19&lt;=$FK$3),DQ19,AND(DQ19&gt;0,DQ19+BP19&gt;$FK$3),0),0)
)</f>
        <v>7.75</v>
      </c>
      <c r="FT19" s="152" cm="1">
        <f t="array" ref="FT19">IF($C19="Production",
IFERROR(_xlfn.IFS(AND(DR19&gt;0,DR19+SUM(BP19:BQ19)&lt;=$FM$3),DR19,AND(DR19&gt;0,DR19+SUM(BP19:BQ19)&gt;$FM$3),$FM$3-SUM(BP19:BQ19)),0),
IFERROR(_xlfn.IFS(AND(DR19&gt;0,DR19+BQ19&lt;=$FK$3),DR19,AND(DR19&gt;0,DR19+BQ19&gt;$FK$3),0),0)
)</f>
        <v>0</v>
      </c>
      <c r="FU19" s="152" cm="1">
        <f t="array" ref="FU19">IF($C19="Production",
IFERROR(_xlfn.IFS(AND(DS19&gt;0,DS19+SUM(BQ19:BR19)&lt;=$FM$3),DS19,AND(DS19&gt;0,DS19+SUM(BQ19:BR19)&gt;$FM$3),$FM$3-SUM(BQ19:BR19)),0),
IFERROR(_xlfn.IFS(AND(DS19&gt;0,DS19+BR19&lt;=$FK$3),DS19,AND(DS19&gt;0,DS19+BR19&gt;$FK$3),0),0)
)</f>
        <v>0</v>
      </c>
      <c r="FV19" s="152" cm="1">
        <f t="array" ref="FV19">IF($C19="Production",
IFERROR(_xlfn.IFS(AND(DT19&gt;0,DT19+SUM(BR19:BS19)&lt;=$FM$3),DT19,AND(DT19&gt;0,DT19+SUM(BR19:BS19)&gt;$FM$3),$FM$3-SUM(BR19:BS19)),0),
IFERROR(_xlfn.IFS(AND(DT19&gt;0,DT19+BS19&lt;=$FK$3),DT19,AND(DT19&gt;0,DT19+BS19&gt;$FK$3),0),0)
)</f>
        <v>0</v>
      </c>
      <c r="FW19" s="152" cm="1">
        <f t="array" ref="FW19">IF($C19="Production",
IFERROR(_xlfn.IFS(AND(DU19&gt;0,DU19+SUM(BS19:BT19)&lt;=$FM$3),DU19,AND(DU19&gt;0,DU19+SUM(BS19:BT19)&gt;$FM$3),$FM$3-SUM(BS19:BT19)),0),
IFERROR(_xlfn.IFS(AND(DU19&gt;0,DU19+BT19&lt;=$FK$3),DU19,AND(DU19&gt;0,DU19+BT19&gt;$FK$3),0),0)
)</f>
        <v>0</v>
      </c>
      <c r="FX19" s="152" cm="1">
        <f t="array" ref="FX19">IF($C19="Production",
IFERROR(_xlfn.IFS(AND(DV19&gt;0,DV19+SUM(BT19:BU19)&lt;=$FM$3),DV19,AND(DV19&gt;0,DV19+SUM(BT19:BU19)&gt;$FM$3),$FM$3-SUM(BT19:BU19)),0),
IFERROR(_xlfn.IFS(AND(DV19&gt;0,DV19+BU19&lt;=$FK$3),DV19,AND(DV19&gt;0,DV19+BU19&gt;$FK$3),0),0)
)</f>
        <v>0</v>
      </c>
      <c r="FY19" s="152" cm="1">
        <f t="array" ref="FY19">IF($C19="Production",
IFERROR(_xlfn.IFS(AND(DW19&gt;0,DW19+SUM(BU19:BV19)&lt;=$FM$3),DW19,AND(DW19&gt;0,DW19+SUM(BU19:BV19)&gt;$FM$3),$FM$3-SUM(BU19:BV19)),0),
IFERROR(_xlfn.IFS(AND(DW19&gt;0,DW19+BV19&lt;=$FK$3),DW19,AND(DW19&gt;0,DW19+BV19&gt;$FK$3),0),0)
)</f>
        <v>0</v>
      </c>
      <c r="FZ19" s="152" cm="1">
        <f t="array" ref="FZ19">IF($C19="Production",
IFERROR(_xlfn.IFS(AND(DX19&gt;0,DX19+SUM(BV19:BW19)&lt;=$FM$3),DX19,AND(DX19&gt;0,DX19+SUM(BV19:BW19)&gt;$FM$3),$FM$3-SUM(BV19:BW19)),0),
IFERROR(_xlfn.IFS(AND(DX19&gt;0,DX19+BW19&lt;=$FK$3),DX19,AND(DX19&gt;0,DX19+BW19&gt;$FK$3),0),0)
)</f>
        <v>0</v>
      </c>
      <c r="GA19" s="152" cm="1">
        <f t="array" ref="GA19">IF($C19="Production",
IFERROR(_xlfn.IFS(AND(DY19&gt;0,DY19+SUM(BW19:BX19)&lt;=$FM$3),DY19,AND(DY19&gt;0,DY19+SUM(BW19:BX19)&gt;$FM$3),$FM$3-SUM(BW19:BX19)),0),
IFERROR(_xlfn.IFS(AND(DY19&gt;0,DY19+BX19&lt;=$FK$3),DY19,AND(DY19&gt;0,DY19+BX19&gt;$FK$3),0),0)
)</f>
        <v>0</v>
      </c>
      <c r="GB19" s="152" cm="1">
        <f t="array" ref="GB19">IF($C19="Production",
IFERROR(_xlfn.IFS(AND(DZ19&gt;0,DZ19+SUM(BX19:BY19)&lt;=$FM$3),DZ19,AND(DZ19&gt;0,DZ19+SUM(BX19:BY19)&gt;$FM$3),$FM$3-SUM(BX19:BY19)),0),
IFERROR(_xlfn.IFS(AND(DZ19&gt;0,DZ19+BY19&lt;=$FK$3),DZ19,AND(DZ19&gt;0,DZ19+BY19&gt;$FK$3),0),0)
)</f>
        <v>0</v>
      </c>
      <c r="GC19" s="152" cm="1">
        <f t="array" ref="GC19">IF($C19="Production",
IFERROR(_xlfn.IFS(AND(EA19&gt;0,EA19+SUM(BY19:BZ19)&lt;=$FM$3),EA19,AND(EA19&gt;0,EA19+SUM(BY19:BZ19)&gt;$FM$3),$FM$3-SUM(BY19:BZ19)),0),
IFERROR(_xlfn.IFS(AND(EA19&gt;0,EA19+BZ19&lt;=$FK$3),EA19,AND(EA19&gt;0,EA19+BZ19&gt;$FK$3),0),0)
)</f>
        <v>0</v>
      </c>
      <c r="GD19" s="152" cm="1">
        <f t="array" ref="GD19">IF($C19="Production",
IFERROR(_xlfn.IFS(AND(EB19&gt;0,EB19+SUM(BZ19:CA19)&lt;=$FM$3),EB19,AND(EB19&gt;0,EB19+SUM(BZ19:CA19)&gt;$FM$3),$FM$3-SUM(BZ19:CA19)),0),
IFERROR(_xlfn.IFS(AND(EB19&gt;0,EB19+CA19&lt;=$FK$3),EB19,AND(EB19&gt;0,EB19+CA19&gt;$FK$3),0),0)
)</f>
        <v>0</v>
      </c>
      <c r="GE19" s="152" cm="1">
        <f t="array" ref="GE19">IF($C19="Production",
IFERROR(_xlfn.IFS(AND(EC19&gt;0,EC19+SUM(CA19:CB19)&lt;=$FM$3),EC19,AND(EC19&gt;0,EC19+SUM(CA19:CB19)&gt;$FM$3),$FM$3-SUM(CA19:CB19)),0),
IFERROR(_xlfn.IFS(AND(EC19&gt;0,EC19+CB19&lt;=$FK$3),EC19,AND(EC19&gt;0,EC19+CB19&gt;$FK$3),0),0)
)</f>
        <v>0</v>
      </c>
      <c r="GF19" s="152" cm="1">
        <f t="array" ref="GF19">IF($C19="Production",
IFERROR(_xlfn.IFS(AND(ED19&gt;0,ED19+SUM(CB19:CC19)&lt;=$FM$3),ED19,AND(ED19&gt;0,ED19+SUM(CB19:CC19)&gt;$FM$3),$FM$3-SUM(CB19:CC19)),0),
IFERROR(_xlfn.IFS(AND(ED19&gt;0,ED19+CC19&lt;=$FK$3),ED19,AND(ED19&gt;0,ED19+CC19&gt;$FK$3),0),0)
)</f>
        <v>0</v>
      </c>
      <c r="GG19" s="152" cm="1">
        <f t="array" ref="GG19">IF($C19="Production",
IFERROR(_xlfn.IFS(AND(EE19&gt;0,EE19+SUM(CC19:CD19)&lt;=$FM$3),EE19,AND(EE19&gt;0,EE19+SUM(CC19:CD19)&gt;$FM$3),$FM$3-SUM(CC19:CD19)),0),
IFERROR(_xlfn.IFS(AND(EE19&gt;0,EE19+CD19&lt;=$FK$3),EE19,AND(EE19&gt;0,EE19+CD19&gt;$FK$3),0),0)
)</f>
        <v>0</v>
      </c>
      <c r="GH19" s="152" cm="1">
        <f t="array" ref="GH19">IF($C19="Production",
IFERROR(_xlfn.IFS(AND(EF19&gt;0,EF19+SUM(CD19:CE19)&lt;=$FM$3),EF19,AND(EF19&gt;0,EF19+SUM(CD19:CE19)&gt;$FM$3),$FM$3-SUM(CD19:CE19)),0),
IFERROR(_xlfn.IFS(AND(EF19&gt;0,EF19+CE19&lt;=$FK$3),EF19,AND(EF19&gt;0,EF19+CE19&gt;$FK$3),0),0)
)</f>
        <v>0</v>
      </c>
      <c r="GI19" s="152" cm="1">
        <f t="array" ref="GI19">IF($C19="Production",
IFERROR(_xlfn.IFS(AND(EG19&gt;0,EG19+SUM(CE19:CF19)&lt;=$FM$3),EG19,AND(EG19&gt;0,EG19+SUM(CE19:CF19)&gt;$FM$3),$FM$3-SUM(CE19:CF19)),0),
IFERROR(_xlfn.IFS(AND(EG19&gt;0,EG19+CF19&lt;=$FK$3),EG19,AND(EG19&gt;0,EG19+CF19&gt;$FK$3),0),0)
)</f>
        <v>0</v>
      </c>
      <c r="GJ19" s="152" cm="1">
        <f t="array" ref="GJ19">IF($C19="Production",
IFERROR(_xlfn.IFS(AND(EH19&gt;0,EH19+SUM(CF19:CG19)&lt;=$FM$3),EH19,AND(EH19&gt;0,EH19+SUM(CF19:CG19)&gt;$FM$3),$FM$3-SUM(CF19:CG19)),0),
IFERROR(_xlfn.IFS(AND(EH19&gt;0,EH19+CG19&lt;=$FK$3),EH19,AND(EH19&gt;0,EH19+CG19&gt;$FK$3),0),0)
)</f>
        <v>0</v>
      </c>
      <c r="GK19" s="152" cm="1">
        <f t="array" ref="GK19">IF($C19="Production",
IFERROR(_xlfn.IFS(AND(EI19&gt;0,EI19+SUM(CG19:CH19)&lt;=$FM$3),EI19,AND(EI19&gt;0,EI19+SUM(CG19:CH19)&gt;$FM$3),$FM$3-SUM(CG19:CH19)),0),
IFERROR(_xlfn.IFS(AND(EI19&gt;0,EI19+CH19&lt;=$FK$3),EI19,AND(EI19&gt;0,EI19+CH19&gt;$FK$3),0),0)
)</f>
        <v>0</v>
      </c>
      <c r="GL19" s="152" cm="1">
        <f t="array" ref="GL19">IF($C19="Production",
IFERROR(_xlfn.IFS(AND(EJ19&gt;0,EJ19+SUM(CH19:CI19)&lt;=$FM$3),EJ19,AND(EJ19&gt;0,EJ19+SUM(CH19:CI19)&gt;$FM$3),$FM$3-SUM(CH19:CI19)),0),
IFERROR(_xlfn.IFS(AND(EJ19&gt;0,EJ19+CI19&lt;=$FK$3),EJ19,AND(EJ19&gt;0,EJ19+CI19&gt;$FK$3),0),0)
)</f>
        <v>0</v>
      </c>
      <c r="GM19" s="152" cm="1">
        <f t="array" ref="GM19">IF($C19="Production",
IFERROR(_xlfn.IFS(AND(EK19&gt;0,EK19+SUM(CI19:CJ19)&lt;=$FM$3),EK19,AND(EK19&gt;0,EK19+SUM(CI19:CJ19)&gt;$FM$3),$FM$3-SUM(CI19:CJ19)),0),
IFERROR(_xlfn.IFS(AND(EK19&gt;0,EK19+CJ19&lt;=$FK$3),EK19,AND(EK19&gt;0,EK19+CJ19&gt;$FK$3),0),0)
)</f>
        <v>0</v>
      </c>
      <c r="GN19" s="152" cm="1">
        <f t="array" ref="GN19">IF($C19="Production",
IFERROR(_xlfn.IFS(AND(EL19&gt;0,EL19+SUM(CJ19:CK19)&lt;=$FM$3),EL19,AND(EL19&gt;0,EL19+SUM(CJ19:CK19)&gt;$FM$3),$FM$3-SUM(CJ19:CK19)),0),
IFERROR(_xlfn.IFS(AND(EL19&gt;0,EL19+CK19&lt;=$FK$3),EL19,AND(EL19&gt;0,EL19+CK19&gt;$FK$3),0),0)
)</f>
        <v>0</v>
      </c>
      <c r="GO19" s="152" cm="1">
        <f t="array" ref="GO19">IF($C19="Production",
IFERROR(_xlfn.IFS(AND(EM19&gt;0,EM19+SUM(CK19:CL19)&lt;=$FM$3),EM19,AND(EM19&gt;0,EM19+SUM(CK19:CL19)&gt;$FM$3),$FM$3-SUM(CK19:CL19)),0),
IFERROR(_xlfn.IFS(AND(EM19&gt;0,EM19+CL19&lt;=$FK$3),EM19,AND(EM19&gt;0,EM19+CL19&gt;$FK$3),0),0)
)</f>
        <v>0</v>
      </c>
      <c r="GP19" s="152" cm="1">
        <f t="array" ref="GP19">IF($C19="Production",
IFERROR(_xlfn.IFS(AND(EN19&gt;0,EN19+SUM(CL19:CM19)&lt;=$FM$3),EN19,AND(EN19&gt;0,EN19+SUM(CL19:CM19)&gt;$FM$3),$FM$3-SUM(CL19:CM19)),0),
IFERROR(_xlfn.IFS(AND(EN19&gt;0,EN19+CM19&lt;=$FK$3),EN19,AND(EN19&gt;0,EN19+CM19&gt;$FK$3),0),0)
)</f>
        <v>0</v>
      </c>
      <c r="GQ19" s="152" cm="1">
        <f t="array" ref="GQ19">IF($C19="Production",
IFERROR(_xlfn.IFS(AND(EO19&gt;0,EO19+SUM(CM19:CN19)&lt;=$FM$3),EO19,AND(EO19&gt;0,EO19+SUM(CM19:CN19)&gt;$FM$3),$FM$3-SUM(CM19:CN19)),0),
IFERROR(_xlfn.IFS(AND(EO19&gt;0,EO19+CN19&lt;=$FK$3),EO19,AND(EO19&gt;0,EO19+CN19&gt;$FK$3),0),0)
)</f>
        <v>0</v>
      </c>
      <c r="GR19" s="152" cm="1">
        <f t="array" ref="GR19">IF($C19="Production",
IFERROR(_xlfn.IFS(AND(EP19&gt;0,EP19+SUM(CN19:CO19)&lt;=$FM$3),EP19,AND(EP19&gt;0,EP19+SUM(CN19:CO19)&gt;$FM$3),$FM$3-SUM(CN19:CO19)),0),
IFERROR(_xlfn.IFS(AND(EP19&gt;0,EP19+CO19&lt;=$FK$3),EP19,AND(EP19&gt;0,EP19+CO19&gt;$FK$3),0),0)
)</f>
        <v>0</v>
      </c>
      <c r="GS19" s="152" cm="1">
        <f t="array" ref="GS19">IF($C19="Production",
IFERROR(_xlfn.IFS(AND(EQ19&gt;0,EQ19+SUM(CO19:CP19)&lt;=$FM$3),EQ19,AND(EQ19&gt;0,EQ19+SUM(CO19:CP19)&gt;$FM$3),$FM$3-SUM(CO19:CP19)),0),
IFERROR(_xlfn.IFS(AND(EQ19&gt;0,EQ19+CP19&lt;=$FK$3),EQ19,AND(EQ19&gt;0,EQ19+CP19&gt;$FK$3),0),0)
)</f>
        <v>0</v>
      </c>
      <c r="GT19" s="152" cm="1">
        <f t="array" ref="GT19">IF($C19="Production",
IFERROR(_xlfn.IFS(AND(ER19&gt;0,ER19+SUM(CP19:CQ19)&lt;=$FM$3),ER19,AND(ER19&gt;0,ER19+SUM(CP19:CQ19)&gt;$FM$3),$FM$3-SUM(CP19:CQ19)),0),
IFERROR(_xlfn.IFS(AND(ER19&gt;0,ER19+CQ19&lt;=$FK$3),ER19,AND(ER19&gt;0,ER19+CQ19&gt;$FK$3),0),0)
)</f>
        <v>0</v>
      </c>
      <c r="GU19" s="152" cm="1">
        <f t="array" ref="GU19">IF($C19="Production",
IFERROR(_xlfn.IFS(AND(ES19&gt;0,ES19+SUM(CQ19:CR19)&lt;=$FM$3),ES19,AND(ES19&gt;0,ES19+SUM(CQ19:CR19)&gt;$FM$3),$FM$3-SUM(CQ19:CR19)),0),
IFERROR(_xlfn.IFS(AND(ES19&gt;0,ES19+CR19&lt;=$FK$3),ES19,AND(ES19&gt;0,ES19+CR19&gt;$FK$3),0),0)
)</f>
        <v>0</v>
      </c>
      <c r="GV19" s="152" cm="1">
        <f t="array" ref="GV19">IF($C19="Production",
IFERROR(_xlfn.IFS(AND(ET19&gt;0,ET19+SUM(CR19:CS19)&lt;=$FM$3),ET19,AND(ET19&gt;0,ET19+SUM(CR19:CS19)&gt;$FM$3),$FM$3-SUM(CR19:CS19)),0),
IFERROR(_xlfn.IFS(AND(ET19&gt;0,ET19+CS19&lt;=$FK$3),ET19,AND(ET19&gt;0,ET19+CS19&gt;$FK$3),0),0)
)</f>
        <v>0</v>
      </c>
      <c r="GW19" s="152" cm="1">
        <f t="array" ref="GW19">IF($C19="Production",
IFERROR(_xlfn.IFS(AND(EU19&gt;0,EU19+SUM(CS19:CT19)&lt;=$FM$3),EU19,AND(EU19&gt;0,EU19+SUM(CS19:CT19)&gt;$FM$3),$FM$3-SUM(CS19:CT19)),0),
IFERROR(_xlfn.IFS(AND(EU19&gt;0,EU19+CT19&lt;=$FK$3),EU19,AND(EU19&gt;0,EU19+CT19&gt;$FK$3),0),0)
)</f>
        <v>0</v>
      </c>
      <c r="GX19" s="152" cm="1">
        <f t="array" ref="GX19">IF($C19="Production",
IFERROR(_xlfn.IFS(AND(EV19&gt;0,EV19+SUM(CT19:CU19)&lt;=$FM$3),EV19,AND(EV19&gt;0,EV19+SUM(CT19:CU19)&gt;$FM$3),$FM$3-SUM(CT19:CU19)),0),
IFERROR(_xlfn.IFS(AND(EV19&gt;0,EV19+CU19&lt;=$FK$3),EV19,AND(EV19&gt;0,EV19+CU19&gt;$FK$3),0),0)
)</f>
        <v>0</v>
      </c>
      <c r="GY19" s="152" cm="1">
        <f t="array" ref="GY19">IF($C19="Production",
IFERROR(_xlfn.IFS(AND(EW19&gt;0,EW19+SUM(CU19:CV19)&lt;=$FM$3),EW19,AND(EW19&gt;0,EW19+SUM(CU19:CV19)&gt;$FM$3),$FM$3-SUM(CU19:CV19)),0),
IFERROR(_xlfn.IFS(AND(EW19&gt;0,EW19+CV19&lt;=$FK$3),EW19,AND(EW19&gt;0,EW19+CV19&gt;$FK$3),0),0)
)</f>
        <v>0</v>
      </c>
      <c r="GZ19" s="152" cm="1">
        <f t="array" ref="GZ19">IF($C19="Production",
IFERROR(_xlfn.IFS(AND(EX19&gt;0,EX19+SUM(CV19:CW19)&lt;=$FM$3),EX19,AND(EX19&gt;0,EX19+SUM(CV19:CW19)&gt;$FM$3),$FM$3-SUM(CV19:CW19)),0),
IFERROR(_xlfn.IFS(AND(EX19&gt;0,EX19+CW19&lt;=$FK$3),EX19,AND(EX19&gt;0,EX19+CW19&gt;$FK$3),0),0)
)</f>
        <v>0</v>
      </c>
      <c r="HA19" s="152" cm="1">
        <f t="array" ref="HA19">IF($C19="Production",
IFERROR(_xlfn.IFS(AND(EY19&gt;0,EY19+SUM(CW19:CX19)&lt;=$FM$3),EY19,AND(EY19&gt;0,EY19+SUM(CW19:CX19)&gt;$FM$3),$FM$3-SUM(CW19:CX19)),0),
IFERROR(_xlfn.IFS(AND(EY19&gt;0,EY19+CX19&lt;=$FK$3),EY19,AND(EY19&gt;0,EY19+CX19&gt;$FK$3),0),0)
)</f>
        <v>0</v>
      </c>
      <c r="HB19" s="152" cm="1">
        <f t="array" ref="HB19">IF($C19="Production",
IFERROR(_xlfn.IFS(AND(EZ19&gt;0,EZ19+SUM(CX19:CY19)&lt;=$FM$3),EZ19,AND(EZ19&gt;0,EZ19+SUM(CX19:CY19)&gt;$FM$3),$FM$3-SUM(CX19:CY19)),0),
IFERROR(_xlfn.IFS(AND(EZ19&gt;0,EZ19+CY19&lt;=$FK$3),EZ19,AND(EZ19&gt;0,EZ19+CY19&gt;$FK$3),0),0)
)</f>
        <v>0</v>
      </c>
      <c r="HC19" s="152" cm="1">
        <f t="array" ref="HC19">IF($C19="Production",
IFERROR(_xlfn.IFS(AND(FA19&gt;0,FA19+SUM(CY19:CZ19)&lt;=$FM$3),FA19,AND(FA19&gt;0,FA19+SUM(CY19:CZ19)&gt;$FM$3),$FM$3-SUM(CY19:CZ19)),0),
IFERROR(_xlfn.IFS(AND(FA19&gt;0,FA19+CZ19&lt;=$FK$3),FA19,AND(FA19&gt;0,FA19+CZ19&gt;$FK$3),0),0)
)</f>
        <v>0</v>
      </c>
      <c r="HD19" s="152" cm="1">
        <f t="array" ref="HD19">IF($C19="Production",
IFERROR(_xlfn.IFS(AND(FB19&gt;0,FB19+SUM(CZ19:DA19)&lt;=$FM$3),FB19,AND(FB19&gt;0,FB19+SUM(CZ19:DA19)&gt;$FM$3),$FM$3-SUM(CZ19:DA19)),0),
IFERROR(_xlfn.IFS(AND(FB19&gt;0,FB19+DA19&lt;=$FK$3),FB19,AND(FB19&gt;0,FB19+DA19&gt;$FK$3),0),0)
)</f>
        <v>0</v>
      </c>
      <c r="HE19" s="152" cm="1">
        <f t="array" ref="HE19">IF($C19="Production",
IFERROR(_xlfn.IFS(AND(FC19&gt;0,FC19+SUM(DA19:DB19)&lt;=$FM$3),FC19,AND(FC19&gt;0,FC19+SUM(DA19:DB19)&gt;$FM$3),$FM$3-SUM(DA19:DB19)),0),
IFERROR(_xlfn.IFS(AND(FC19&gt;0,FC19+DB19&lt;=$FK$3),FC19,AND(FC19&gt;0,FC19+DB19&gt;$FK$3),0),0)
)</f>
        <v>0</v>
      </c>
      <c r="HF19" s="152" cm="1">
        <f t="array" ref="HF19">IF($C19="Production",
IFERROR(_xlfn.IFS(AND(FD19&gt;0,FD19+SUM(DB19:DC19)&lt;=$FM$3),FD19,AND(FD19&gt;0,FD19+SUM(DB19:DC19)&gt;$FM$3),$FM$3-SUM(DB19:DC19)),0),
IFERROR(_xlfn.IFS(AND(FD19&gt;0,FD19+DC19&lt;=$FK$3),FD19,AND(FD19&gt;0,FD19+DC19&gt;$FK$3),0),0)
)</f>
        <v>0</v>
      </c>
      <c r="HG19" s="152" cm="1">
        <f t="array" ref="HG19">IF($C19="Production",
IFERROR(_xlfn.IFS(AND(FE19&gt;0,FE19+SUM(DC19:DD19)&lt;=$FM$3),FE19,AND(FE19&gt;0,FE19+SUM(DC19:DD19)&gt;$FM$3),$FM$3-SUM(DC19:DD19)),0),
IFERROR(_xlfn.IFS(AND(FE19&gt;0,FE19+DD19&lt;=$FK$3),FE19,AND(FE19&gt;0,FE19+DD19&gt;$FK$3),0),0)
)</f>
        <v>0</v>
      </c>
      <c r="HH19" s="152" cm="1">
        <f t="array" ref="HH19">IF($C19="Production",
IFERROR(_xlfn.IFS(AND(FF19&gt;0,FF19+SUM(DD19:DE19)&lt;=$FM$3),FF19,AND(FF19&gt;0,FF19+SUM(DD19:DE19)&gt;$FM$3),$FM$3-SUM(DD19:DE19)),0),
IFERROR(_xlfn.IFS(AND(FF19&gt;0,FF19+DE19&lt;=$FK$3),FF19,AND(FF19&gt;0,FF19+DE19&gt;$FK$3),0),0)
)</f>
        <v>0</v>
      </c>
      <c r="HI19" s="156" cm="1">
        <f t="array" ref="HI19">IF($C19="Production",
IFERROR(_xlfn.IFS(AND(FG19&gt;0,FG19+SUM(DE19:DF19)&lt;=$FM$3),FG19,AND(FG19&gt;0,FG19+SUM(DE19:DF19)&gt;$FM$3),$FM$3-SUM(DE19:DF19)),0),
IFERROR(_xlfn.IFS(AND(FG19&gt;0,FG19+DF19&lt;=$FK$3),FG19,AND(FG19&gt;0,FG19+DF19&gt;$FK$3),0),0)
)</f>
        <v>0</v>
      </c>
      <c r="HJ19" s="113">
        <f t="shared" si="110"/>
        <v>7.75</v>
      </c>
      <c r="HK19" s="80"/>
      <c r="HL19" s="112">
        <f t="shared" si="56"/>
        <v>0</v>
      </c>
      <c r="HM19" s="138">
        <f t="shared" si="57"/>
        <v>0</v>
      </c>
      <c r="HN19" s="138">
        <f t="shared" si="58"/>
        <v>0</v>
      </c>
      <c r="HO19" s="138">
        <f t="shared" si="59"/>
        <v>0</v>
      </c>
      <c r="HP19" s="138">
        <f t="shared" si="60"/>
        <v>0</v>
      </c>
      <c r="HQ19" s="138">
        <f t="shared" si="61"/>
        <v>0</v>
      </c>
      <c r="HR19" s="138">
        <f t="shared" si="62"/>
        <v>0</v>
      </c>
      <c r="HS19" s="138">
        <f t="shared" si="63"/>
        <v>0</v>
      </c>
      <c r="HT19" s="138">
        <f t="shared" si="64"/>
        <v>0</v>
      </c>
      <c r="HU19" s="138">
        <f t="shared" si="65"/>
        <v>0</v>
      </c>
      <c r="HV19" s="138">
        <f t="shared" si="66"/>
        <v>0</v>
      </c>
      <c r="HW19" s="138">
        <f t="shared" si="67"/>
        <v>0</v>
      </c>
      <c r="HX19" s="138">
        <f t="shared" si="68"/>
        <v>0</v>
      </c>
      <c r="HY19" s="138">
        <f t="shared" si="69"/>
        <v>0</v>
      </c>
      <c r="HZ19" s="138">
        <f t="shared" si="70"/>
        <v>0</v>
      </c>
      <c r="IA19" s="138">
        <f t="shared" si="71"/>
        <v>0</v>
      </c>
      <c r="IB19" s="138">
        <f t="shared" si="72"/>
        <v>0</v>
      </c>
      <c r="IC19" s="138">
        <f t="shared" si="73"/>
        <v>0</v>
      </c>
      <c r="ID19" s="138">
        <f t="shared" si="74"/>
        <v>0</v>
      </c>
      <c r="IE19" s="138">
        <f t="shared" si="75"/>
        <v>0</v>
      </c>
      <c r="IF19" s="138">
        <f t="shared" si="76"/>
        <v>0</v>
      </c>
      <c r="IG19" s="138">
        <f t="shared" si="77"/>
        <v>0</v>
      </c>
      <c r="IH19" s="138">
        <f t="shared" si="78"/>
        <v>0</v>
      </c>
      <c r="II19" s="138">
        <f t="shared" si="79"/>
        <v>0</v>
      </c>
      <c r="IJ19" s="138">
        <f t="shared" si="80"/>
        <v>0</v>
      </c>
      <c r="IK19" s="138">
        <f t="shared" si="81"/>
        <v>0</v>
      </c>
      <c r="IL19" s="138">
        <f t="shared" si="82"/>
        <v>0</v>
      </c>
      <c r="IM19" s="138">
        <f t="shared" si="83"/>
        <v>0</v>
      </c>
      <c r="IN19" s="138">
        <f t="shared" si="84"/>
        <v>0</v>
      </c>
      <c r="IO19" s="138">
        <f t="shared" si="85"/>
        <v>0</v>
      </c>
      <c r="IP19" s="138">
        <f t="shared" si="86"/>
        <v>0</v>
      </c>
      <c r="IQ19" s="138">
        <f t="shared" si="87"/>
        <v>0</v>
      </c>
      <c r="IR19" s="138">
        <f t="shared" si="88"/>
        <v>0</v>
      </c>
      <c r="IS19" s="138">
        <f t="shared" si="89"/>
        <v>0</v>
      </c>
      <c r="IT19" s="138">
        <f t="shared" si="90"/>
        <v>0</v>
      </c>
      <c r="IU19" s="138">
        <f t="shared" si="91"/>
        <v>0</v>
      </c>
      <c r="IV19" s="138">
        <f t="shared" si="92"/>
        <v>0</v>
      </c>
      <c r="IW19" s="138">
        <f t="shared" si="93"/>
        <v>0</v>
      </c>
      <c r="IX19" s="138">
        <f t="shared" si="94"/>
        <v>0</v>
      </c>
      <c r="IY19" s="138">
        <f t="shared" si="95"/>
        <v>0</v>
      </c>
      <c r="IZ19" s="138">
        <f t="shared" si="96"/>
        <v>0</v>
      </c>
      <c r="JA19" s="138">
        <f t="shared" si="97"/>
        <v>0</v>
      </c>
      <c r="JB19" s="138">
        <f t="shared" si="98"/>
        <v>0</v>
      </c>
      <c r="JC19" s="138">
        <f t="shared" si="99"/>
        <v>0</v>
      </c>
      <c r="JD19" s="138">
        <f t="shared" si="100"/>
        <v>0</v>
      </c>
      <c r="JE19" s="138">
        <f t="shared" si="101"/>
        <v>0</v>
      </c>
      <c r="JF19" s="138">
        <f t="shared" si="102"/>
        <v>0</v>
      </c>
      <c r="JG19" s="138">
        <f t="shared" si="103"/>
        <v>0</v>
      </c>
      <c r="JH19" s="138">
        <f t="shared" si="104"/>
        <v>0</v>
      </c>
      <c r="JI19" s="138">
        <f t="shared" si="105"/>
        <v>0</v>
      </c>
      <c r="JJ19" s="138">
        <f t="shared" si="106"/>
        <v>0</v>
      </c>
      <c r="JK19" s="138">
        <f t="shared" si="107"/>
        <v>0</v>
      </c>
      <c r="JL19" s="118">
        <f t="shared" si="111"/>
        <v>0</v>
      </c>
      <c r="JO19" s="90">
        <f t="shared" si="112"/>
        <v>7.75</v>
      </c>
      <c r="JP19" s="79">
        <f t="shared" si="108"/>
        <v>0</v>
      </c>
      <c r="JQ19" s="91">
        <f t="shared" si="2"/>
        <v>9.6875</v>
      </c>
      <c r="JS19" s="123">
        <f t="shared" si="109"/>
        <v>-5</v>
      </c>
      <c r="JU19" s="123">
        <f t="shared" si="113"/>
        <v>4.6875</v>
      </c>
    </row>
    <row r="20" spans="2:281" x14ac:dyDescent="0.15">
      <c r="B20" s="82" t="str">
        <f>'MODU 2025'!B23</f>
        <v>EVENTOVA Natalya</v>
      </c>
      <c r="C20" s="82" t="str">
        <f>'MODU 2025'!C23</f>
        <v>Production</v>
      </c>
      <c r="D20" s="82">
        <f>'MODU 2025'!D23</f>
        <v>37</v>
      </c>
      <c r="E20" s="82"/>
      <c r="F20" s="133">
        <f>'MODU 2025'!G23</f>
        <v>41</v>
      </c>
      <c r="G20" s="140">
        <f>'MODU 2025'!H23</f>
        <v>33</v>
      </c>
      <c r="H20" s="140">
        <f>'MODU 2025'!I23</f>
        <v>41</v>
      </c>
      <c r="I20" s="140">
        <f>'MODU 2025'!J23</f>
        <v>40.75</v>
      </c>
      <c r="J20" s="140">
        <f>'MODU 2025'!K23</f>
        <v>41.25</v>
      </c>
      <c r="K20" s="140">
        <f>'MODU 2025'!L23</f>
        <v>40.75</v>
      </c>
      <c r="L20" s="140">
        <f>'MODU 2025'!M23</f>
        <v>41.25</v>
      </c>
      <c r="M20" s="140">
        <f>'MODU 2025'!N23</f>
        <v>40.75</v>
      </c>
      <c r="N20" s="140">
        <f>'MODU 2025'!O23</f>
        <v>41</v>
      </c>
      <c r="O20" s="140">
        <f>'MODU 2025'!P23</f>
        <v>33</v>
      </c>
      <c r="P20" s="140">
        <f>'MODU 2025'!Q23</f>
        <v>41</v>
      </c>
      <c r="Q20" s="140">
        <f>'MODU 2025'!R23</f>
        <v>33</v>
      </c>
      <c r="R20" s="140">
        <f>'MODU 2025'!S23</f>
        <v>41</v>
      </c>
      <c r="S20" s="140">
        <f>'MODU 2025'!T23</f>
        <v>33</v>
      </c>
      <c r="T20" s="140">
        <f>'MODU 2025'!U23</f>
        <v>41</v>
      </c>
      <c r="U20" s="140">
        <f>'MODU 2025'!V23</f>
        <v>33</v>
      </c>
      <c r="V20" s="140">
        <f>'MODU 2025'!W23</f>
        <v>41</v>
      </c>
      <c r="W20" s="140">
        <f>'MODU 2025'!X23</f>
        <v>33</v>
      </c>
      <c r="X20" s="140">
        <f>'MODU 2025'!Y23</f>
        <v>41</v>
      </c>
      <c r="Y20" s="140">
        <f>'MODU 2025'!Z23</f>
        <v>33</v>
      </c>
      <c r="Z20" s="140">
        <f>'MODU 2025'!AA23</f>
        <v>41</v>
      </c>
      <c r="AA20" s="140">
        <f>'MODU 2025'!AB23</f>
        <v>33</v>
      </c>
      <c r="AB20" s="140">
        <f>'MODU 2025'!AC23</f>
        <v>41</v>
      </c>
      <c r="AC20" s="140">
        <f>'MODU 2025'!AD23</f>
        <v>33</v>
      </c>
      <c r="AD20" s="140">
        <f>'MODU 2025'!AE23</f>
        <v>41</v>
      </c>
      <c r="AE20" s="140">
        <f>'MODU 2025'!AF23</f>
        <v>33</v>
      </c>
      <c r="AF20" s="140">
        <f>'MODU 2025'!AG23</f>
        <v>41</v>
      </c>
      <c r="AG20" s="140">
        <f>'MODU 2025'!AH23</f>
        <v>33</v>
      </c>
      <c r="AH20" s="140">
        <f>'MODU 2025'!AI23</f>
        <v>41</v>
      </c>
      <c r="AI20" s="140">
        <f>'MODU 2025'!AJ23</f>
        <v>33</v>
      </c>
      <c r="AJ20" s="140">
        <f>'MODU 2025'!AK23</f>
        <v>41</v>
      </c>
      <c r="AK20" s="140">
        <f>'MODU 2025'!AL23</f>
        <v>33</v>
      </c>
      <c r="AL20" s="140">
        <f>'MODU 2025'!AM23</f>
        <v>41</v>
      </c>
      <c r="AM20" s="140">
        <f>'MODU 2025'!AN23</f>
        <v>33</v>
      </c>
      <c r="AN20" s="140">
        <f>'MODU 2025'!AO23</f>
        <v>41</v>
      </c>
      <c r="AO20" s="140">
        <f>'MODU 2025'!AP23</f>
        <v>33</v>
      </c>
      <c r="AP20" s="140">
        <f>'MODU 2025'!AQ23</f>
        <v>41</v>
      </c>
      <c r="AQ20" s="140">
        <f>'MODU 2025'!AR23</f>
        <v>33</v>
      </c>
      <c r="AR20" s="140">
        <f>'MODU 2025'!AS23</f>
        <v>41</v>
      </c>
      <c r="AS20" s="140">
        <f>'MODU 2025'!AT23</f>
        <v>33</v>
      </c>
      <c r="AT20" s="140">
        <f>'MODU 2025'!AU23</f>
        <v>41</v>
      </c>
      <c r="AU20" s="140">
        <f>'MODU 2025'!AV23</f>
        <v>33</v>
      </c>
      <c r="AV20" s="140">
        <f>'MODU 2025'!AW23</f>
        <v>41</v>
      </c>
      <c r="AW20" s="140">
        <f>'MODU 2025'!AX23</f>
        <v>33</v>
      </c>
      <c r="AX20" s="140">
        <f>'MODU 2025'!AY23</f>
        <v>41</v>
      </c>
      <c r="AY20" s="140">
        <f>'MODU 2025'!AZ23</f>
        <v>33</v>
      </c>
      <c r="AZ20" s="140">
        <f>'MODU 2025'!BA23</f>
        <v>41</v>
      </c>
      <c r="BA20" s="140">
        <f>'MODU 2025'!BB23</f>
        <v>33</v>
      </c>
      <c r="BB20" s="140">
        <f>'MODU 2025'!BC23</f>
        <v>41</v>
      </c>
      <c r="BC20" s="140">
        <f>'MODU 2025'!BD23</f>
        <v>33</v>
      </c>
      <c r="BD20" s="140">
        <f>'MODU 2025'!BE23</f>
        <v>41</v>
      </c>
      <c r="BE20" s="134">
        <f>'MODU 2025'!BF23</f>
        <v>33</v>
      </c>
      <c r="BF20" s="82"/>
      <c r="BG20" s="107">
        <v>41</v>
      </c>
      <c r="BH20" s="145">
        <v>33</v>
      </c>
      <c r="BI20" s="145">
        <v>41</v>
      </c>
      <c r="BJ20" s="145">
        <v>33</v>
      </c>
      <c r="BK20" s="145">
        <v>41</v>
      </c>
      <c r="BL20" s="145">
        <v>33</v>
      </c>
      <c r="BM20" s="145">
        <v>41</v>
      </c>
      <c r="BN20" s="145">
        <v>33</v>
      </c>
      <c r="BO20" s="145">
        <v>41</v>
      </c>
      <c r="BP20" s="145">
        <v>33</v>
      </c>
      <c r="BQ20" s="145">
        <v>41</v>
      </c>
      <c r="BR20" s="145">
        <v>33</v>
      </c>
      <c r="BS20" s="145">
        <v>41</v>
      </c>
      <c r="BT20" s="145">
        <v>33</v>
      </c>
      <c r="BU20" s="145">
        <v>41</v>
      </c>
      <c r="BV20" s="145">
        <v>33</v>
      </c>
      <c r="BW20" s="145">
        <v>41</v>
      </c>
      <c r="BX20" s="145">
        <v>33</v>
      </c>
      <c r="BY20" s="145">
        <v>41</v>
      </c>
      <c r="BZ20" s="145">
        <v>33</v>
      </c>
      <c r="CA20" s="145">
        <v>41</v>
      </c>
      <c r="CB20" s="145">
        <v>33</v>
      </c>
      <c r="CC20" s="145">
        <v>41</v>
      </c>
      <c r="CD20" s="145">
        <v>33</v>
      </c>
      <c r="CE20" s="145">
        <v>41</v>
      </c>
      <c r="CF20" s="145">
        <v>33</v>
      </c>
      <c r="CG20" s="145">
        <v>41</v>
      </c>
      <c r="CH20" s="145">
        <v>33</v>
      </c>
      <c r="CI20" s="145">
        <v>41</v>
      </c>
      <c r="CJ20" s="145">
        <v>33</v>
      </c>
      <c r="CK20" s="145">
        <v>41</v>
      </c>
      <c r="CL20" s="145">
        <v>33</v>
      </c>
      <c r="CM20" s="145">
        <v>41</v>
      </c>
      <c r="CN20" s="145">
        <v>33</v>
      </c>
      <c r="CO20" s="145">
        <v>41</v>
      </c>
      <c r="CP20" s="145">
        <v>33</v>
      </c>
      <c r="CQ20" s="145">
        <v>41</v>
      </c>
      <c r="CR20" s="145">
        <v>33</v>
      </c>
      <c r="CS20" s="145">
        <v>41</v>
      </c>
      <c r="CT20" s="145">
        <v>33</v>
      </c>
      <c r="CU20" s="145">
        <v>41</v>
      </c>
      <c r="CV20" s="145">
        <v>33</v>
      </c>
      <c r="CW20" s="145">
        <v>41</v>
      </c>
      <c r="CX20" s="145">
        <v>33</v>
      </c>
      <c r="CY20" s="145">
        <v>41</v>
      </c>
      <c r="CZ20" s="145">
        <v>33</v>
      </c>
      <c r="DA20" s="145">
        <v>41</v>
      </c>
      <c r="DB20" s="145">
        <v>33</v>
      </c>
      <c r="DC20" s="145">
        <v>41</v>
      </c>
      <c r="DD20" s="145">
        <v>33</v>
      </c>
      <c r="DE20" s="145">
        <v>41</v>
      </c>
      <c r="DF20" s="108">
        <v>33</v>
      </c>
      <c r="DG20" s="84"/>
      <c r="DH20" s="112">
        <f t="shared" si="3"/>
        <v>0</v>
      </c>
      <c r="DI20" s="138">
        <f t="shared" si="4"/>
        <v>0</v>
      </c>
      <c r="DJ20" s="138">
        <f t="shared" si="5"/>
        <v>0</v>
      </c>
      <c r="DK20" s="138">
        <f t="shared" si="6"/>
        <v>7.75</v>
      </c>
      <c r="DL20" s="138">
        <f t="shared" si="7"/>
        <v>0</v>
      </c>
      <c r="DM20" s="138">
        <f t="shared" si="8"/>
        <v>8</v>
      </c>
      <c r="DN20" s="138">
        <f t="shared" si="9"/>
        <v>0</v>
      </c>
      <c r="DO20" s="138">
        <f t="shared" si="10"/>
        <v>8</v>
      </c>
      <c r="DP20" s="138">
        <f t="shared" si="11"/>
        <v>0</v>
      </c>
      <c r="DQ20" s="138">
        <f t="shared" si="12"/>
        <v>0</v>
      </c>
      <c r="DR20" s="138">
        <f t="shared" si="13"/>
        <v>0</v>
      </c>
      <c r="DS20" s="138">
        <f t="shared" si="14"/>
        <v>0</v>
      </c>
      <c r="DT20" s="138">
        <f t="shared" si="15"/>
        <v>0</v>
      </c>
      <c r="DU20" s="138">
        <f t="shared" si="16"/>
        <v>0</v>
      </c>
      <c r="DV20" s="138">
        <f t="shared" si="17"/>
        <v>0</v>
      </c>
      <c r="DW20" s="138">
        <f t="shared" si="18"/>
        <v>0</v>
      </c>
      <c r="DX20" s="138">
        <f t="shared" si="19"/>
        <v>0</v>
      </c>
      <c r="DY20" s="138">
        <f t="shared" si="20"/>
        <v>0</v>
      </c>
      <c r="DZ20" s="138">
        <f t="shared" si="21"/>
        <v>0</v>
      </c>
      <c r="EA20" s="138">
        <f t="shared" si="22"/>
        <v>0</v>
      </c>
      <c r="EB20" s="138">
        <f t="shared" si="23"/>
        <v>0</v>
      </c>
      <c r="EC20" s="138">
        <f t="shared" si="24"/>
        <v>0</v>
      </c>
      <c r="ED20" s="138">
        <f t="shared" si="25"/>
        <v>0</v>
      </c>
      <c r="EE20" s="138">
        <f t="shared" si="26"/>
        <v>0</v>
      </c>
      <c r="EF20" s="138">
        <f t="shared" si="27"/>
        <v>0</v>
      </c>
      <c r="EG20" s="138">
        <f t="shared" si="28"/>
        <v>0</v>
      </c>
      <c r="EH20" s="138">
        <f t="shared" si="29"/>
        <v>0</v>
      </c>
      <c r="EI20" s="138">
        <f t="shared" si="30"/>
        <v>0</v>
      </c>
      <c r="EJ20" s="138">
        <f t="shared" si="31"/>
        <v>0</v>
      </c>
      <c r="EK20" s="138">
        <f t="shared" si="32"/>
        <v>0</v>
      </c>
      <c r="EL20" s="138">
        <f t="shared" si="33"/>
        <v>0</v>
      </c>
      <c r="EM20" s="138">
        <f t="shared" si="34"/>
        <v>0</v>
      </c>
      <c r="EN20" s="138">
        <f t="shared" si="35"/>
        <v>0</v>
      </c>
      <c r="EO20" s="138">
        <f t="shared" si="36"/>
        <v>0</v>
      </c>
      <c r="EP20" s="138">
        <f t="shared" si="37"/>
        <v>0</v>
      </c>
      <c r="EQ20" s="138">
        <f t="shared" si="38"/>
        <v>0</v>
      </c>
      <c r="ER20" s="138">
        <f t="shared" si="39"/>
        <v>0</v>
      </c>
      <c r="ES20" s="138">
        <f t="shared" si="40"/>
        <v>0</v>
      </c>
      <c r="ET20" s="138">
        <f t="shared" si="41"/>
        <v>0</v>
      </c>
      <c r="EU20" s="138">
        <f t="shared" si="42"/>
        <v>0</v>
      </c>
      <c r="EV20" s="138">
        <f t="shared" si="43"/>
        <v>0</v>
      </c>
      <c r="EW20" s="138">
        <f t="shared" si="44"/>
        <v>0</v>
      </c>
      <c r="EX20" s="138">
        <f t="shared" si="45"/>
        <v>0</v>
      </c>
      <c r="EY20" s="138">
        <f t="shared" si="46"/>
        <v>0</v>
      </c>
      <c r="EZ20" s="138">
        <f t="shared" si="47"/>
        <v>0</v>
      </c>
      <c r="FA20" s="138">
        <f t="shared" si="48"/>
        <v>0</v>
      </c>
      <c r="FB20" s="138">
        <f t="shared" si="49"/>
        <v>0</v>
      </c>
      <c r="FC20" s="138">
        <f t="shared" si="50"/>
        <v>0</v>
      </c>
      <c r="FD20" s="138">
        <f t="shared" si="51"/>
        <v>0</v>
      </c>
      <c r="FE20" s="138">
        <f t="shared" si="52"/>
        <v>0</v>
      </c>
      <c r="FF20" s="138">
        <f t="shared" si="53"/>
        <v>0</v>
      </c>
      <c r="FG20" s="113">
        <f t="shared" si="54"/>
        <v>0</v>
      </c>
      <c r="FH20" s="113">
        <f t="shared" si="55"/>
        <v>23.75</v>
      </c>
      <c r="FI20" s="35"/>
      <c r="FJ20" s="151" cm="1">
        <f t="array" ref="FJ20">IF($C20="Production",
IFERROR(_xlfn.IFS(AND(DH20&gt;0,DH20+SUM(BF20:BG20)&lt;=$FM$3),DH20,AND(DH20&gt;0,DH20+SUM(BF20:BG20)&gt;$FM$3),$FM$3-SUM(BF20:BG20)),0),
IFERROR(_xlfn.IFS(AND(DH20&gt;0,DH20+BG20&lt;=$FK$3),DH20,AND(DH20&gt;0,DH20+BG20&gt;$FK$3),0),0)
)</f>
        <v>0</v>
      </c>
      <c r="FK20" s="152" cm="1">
        <f t="array" ref="FK20">IF($C20="Production",
IFERROR(_xlfn.IFS(AND(DI20&gt;0,DI20+SUM(BG20:BH20)&lt;=$FM$3),DI20,AND(DI20&gt;0,DI20+SUM(BG20:BH20)&gt;$FM$3),$FM$3-SUM(BG20:BH20)),0),
IFERROR(_xlfn.IFS(AND(DI20&gt;0,DI20+BH20&lt;=$FK$3),DI20,AND(DI20&gt;0,DI20+BH20&gt;$FK$3),0),0)
)</f>
        <v>0</v>
      </c>
      <c r="FL20" s="152" cm="1">
        <f t="array" ref="FL20">IF($C20="Production",
IFERROR(_xlfn.IFS(AND(DJ20&gt;0,DJ20+SUM(BH20:BI20)&lt;=$FM$3),DJ20,AND(DJ20&gt;0,DJ20+SUM(BH20:BI20)&gt;$FM$3),$FM$3-SUM(BH20:BI20)),0),
IFERROR(_xlfn.IFS(AND(DJ20&gt;0,DJ20+BI20&lt;=$FK$3),DJ20,AND(DJ20&gt;0,DJ20+BI20&gt;$FK$3),0),0)
)</f>
        <v>0</v>
      </c>
      <c r="FM20" s="152" cm="1">
        <f t="array" ref="FM20">IF($C20="Production",
IFERROR(_xlfn.IFS(AND(DK20&gt;0,DK20+SUM(BI20:BJ20)&lt;=$FM$3),DK20,AND(DK20&gt;0,DK20+SUM(BI20:BJ20)&gt;$FM$3),$FM$3-SUM(BI20:BJ20)),0),
IFERROR(_xlfn.IFS(AND(DK20&gt;0,DK20+BJ20&lt;=$FK$3),DK20,AND(DK20&gt;0,DK20+BJ20&gt;$FK$3),0),0)
)</f>
        <v>7.75</v>
      </c>
      <c r="FN20" s="152" cm="1">
        <f t="array" ref="FN20">IF($C20="Production",
IFERROR(_xlfn.IFS(AND(DL20&gt;0,DL20+SUM(BJ20:BK20)&lt;=$FM$3),DL20,AND(DL20&gt;0,DL20+SUM(BJ20:BK20)&gt;$FM$3),$FM$3-SUM(BJ20:BK20)),0),
IFERROR(_xlfn.IFS(AND(DL20&gt;0,DL20+BK20&lt;=$FK$3),DL20,AND(DL20&gt;0,DL20+BK20&gt;$FK$3),0),0)
)</f>
        <v>0</v>
      </c>
      <c r="FO20" s="152" cm="1">
        <f t="array" ref="FO20">IF($C20="Production",
IFERROR(_xlfn.IFS(AND(DM20&gt;0,DM20+SUM(BK20:BL20)&lt;=$FM$3),DM20,AND(DM20&gt;0,DM20+SUM(BK20:BL20)&gt;$FM$3),$FM$3-SUM(BK20:BL20)),0),
IFERROR(_xlfn.IFS(AND(DM20&gt;0,DM20+BL20&lt;=$FK$3),DM20,AND(DM20&gt;0,DM20+BL20&gt;$FK$3),0),0)
)</f>
        <v>8</v>
      </c>
      <c r="FP20" s="152" cm="1">
        <f t="array" ref="FP20">IF($C20="Production",
IFERROR(_xlfn.IFS(AND(DN20&gt;0,DN20+SUM(BL20:BM20)&lt;=$FM$3),DN20,AND(DN20&gt;0,DN20+SUM(BL20:BM20)&gt;$FM$3),$FM$3-SUM(BL20:BM20)),0),
IFERROR(_xlfn.IFS(AND(DN20&gt;0,DN20+BM20&lt;=$FK$3),DN20,AND(DN20&gt;0,DN20+BM20&gt;$FK$3),0),0)
)</f>
        <v>0</v>
      </c>
      <c r="FQ20" s="152" cm="1">
        <f t="array" ref="FQ20">IF($C20="Production",
IFERROR(_xlfn.IFS(AND(DO20&gt;0,DO20+SUM(BM20:BN20)&lt;=$FM$3),DO20,AND(DO20&gt;0,DO20+SUM(BM20:BN20)&gt;$FM$3),$FM$3-SUM(BM20:BN20)),0),
IFERROR(_xlfn.IFS(AND(DO20&gt;0,DO20+BN20&lt;=$FK$3),DO20,AND(DO20&gt;0,DO20+BN20&gt;$FK$3),0),0)
)</f>
        <v>8</v>
      </c>
      <c r="FR20" s="152" cm="1">
        <f t="array" ref="FR20">IF($C20="Production",
IFERROR(_xlfn.IFS(AND(DP20&gt;0,DP20+SUM(BN20:BO20)&lt;=$FM$3),DP20,AND(DP20&gt;0,DP20+SUM(BN20:BO20)&gt;$FM$3),$FM$3-SUM(BN20:BO20)),0),
IFERROR(_xlfn.IFS(AND(DP20&gt;0,DP20+BO20&lt;=$FK$3),DP20,AND(DP20&gt;0,DP20+BO20&gt;$FK$3),0),0)
)</f>
        <v>0</v>
      </c>
      <c r="FS20" s="152" cm="1">
        <f t="array" ref="FS20">IF($C20="Production",
IFERROR(_xlfn.IFS(AND(DQ20&gt;0,DQ20+SUM(BO20:BP20)&lt;=$FM$3),DQ20,AND(DQ20&gt;0,DQ20+SUM(BO20:BP20)&gt;$FM$3),$FM$3-SUM(BO20:BP20)),0),
IFERROR(_xlfn.IFS(AND(DQ20&gt;0,DQ20+BP20&lt;=$FK$3),DQ20,AND(DQ20&gt;0,DQ20+BP20&gt;$FK$3),0),0)
)</f>
        <v>0</v>
      </c>
      <c r="FT20" s="152" cm="1">
        <f t="array" ref="FT20">IF($C20="Production",
IFERROR(_xlfn.IFS(AND(DR20&gt;0,DR20+SUM(BP20:BQ20)&lt;=$FM$3),DR20,AND(DR20&gt;0,DR20+SUM(BP20:BQ20)&gt;$FM$3),$FM$3-SUM(BP20:BQ20)),0),
IFERROR(_xlfn.IFS(AND(DR20&gt;0,DR20+BQ20&lt;=$FK$3),DR20,AND(DR20&gt;0,DR20+BQ20&gt;$FK$3),0),0)
)</f>
        <v>0</v>
      </c>
      <c r="FU20" s="152" cm="1">
        <f t="array" ref="FU20">IF($C20="Production",
IFERROR(_xlfn.IFS(AND(DS20&gt;0,DS20+SUM(BQ20:BR20)&lt;=$FM$3),DS20,AND(DS20&gt;0,DS20+SUM(BQ20:BR20)&gt;$FM$3),$FM$3-SUM(BQ20:BR20)),0),
IFERROR(_xlfn.IFS(AND(DS20&gt;0,DS20+BR20&lt;=$FK$3),DS20,AND(DS20&gt;0,DS20+BR20&gt;$FK$3),0),0)
)</f>
        <v>0</v>
      </c>
      <c r="FV20" s="152" cm="1">
        <f t="array" ref="FV20">IF($C20="Production",
IFERROR(_xlfn.IFS(AND(DT20&gt;0,DT20+SUM(BR20:BS20)&lt;=$FM$3),DT20,AND(DT20&gt;0,DT20+SUM(BR20:BS20)&gt;$FM$3),$FM$3-SUM(BR20:BS20)),0),
IFERROR(_xlfn.IFS(AND(DT20&gt;0,DT20+BS20&lt;=$FK$3),DT20,AND(DT20&gt;0,DT20+BS20&gt;$FK$3),0),0)
)</f>
        <v>0</v>
      </c>
      <c r="FW20" s="152" cm="1">
        <f t="array" ref="FW20">IF($C20="Production",
IFERROR(_xlfn.IFS(AND(DU20&gt;0,DU20+SUM(BS20:BT20)&lt;=$FM$3),DU20,AND(DU20&gt;0,DU20+SUM(BS20:BT20)&gt;$FM$3),$FM$3-SUM(BS20:BT20)),0),
IFERROR(_xlfn.IFS(AND(DU20&gt;0,DU20+BT20&lt;=$FK$3),DU20,AND(DU20&gt;0,DU20+BT20&gt;$FK$3),0),0)
)</f>
        <v>0</v>
      </c>
      <c r="FX20" s="152" cm="1">
        <f t="array" ref="FX20">IF($C20="Production",
IFERROR(_xlfn.IFS(AND(DV20&gt;0,DV20+SUM(BT20:BU20)&lt;=$FM$3),DV20,AND(DV20&gt;0,DV20+SUM(BT20:BU20)&gt;$FM$3),$FM$3-SUM(BT20:BU20)),0),
IFERROR(_xlfn.IFS(AND(DV20&gt;0,DV20+BU20&lt;=$FK$3),DV20,AND(DV20&gt;0,DV20+BU20&gt;$FK$3),0),0)
)</f>
        <v>0</v>
      </c>
      <c r="FY20" s="152" cm="1">
        <f t="array" ref="FY20">IF($C20="Production",
IFERROR(_xlfn.IFS(AND(DW20&gt;0,DW20+SUM(BU20:BV20)&lt;=$FM$3),DW20,AND(DW20&gt;0,DW20+SUM(BU20:BV20)&gt;$FM$3),$FM$3-SUM(BU20:BV20)),0),
IFERROR(_xlfn.IFS(AND(DW20&gt;0,DW20+BV20&lt;=$FK$3),DW20,AND(DW20&gt;0,DW20+BV20&gt;$FK$3),0),0)
)</f>
        <v>0</v>
      </c>
      <c r="FZ20" s="152" cm="1">
        <f t="array" ref="FZ20">IF($C20="Production",
IFERROR(_xlfn.IFS(AND(DX20&gt;0,DX20+SUM(BV20:BW20)&lt;=$FM$3),DX20,AND(DX20&gt;0,DX20+SUM(BV20:BW20)&gt;$FM$3),$FM$3-SUM(BV20:BW20)),0),
IFERROR(_xlfn.IFS(AND(DX20&gt;0,DX20+BW20&lt;=$FK$3),DX20,AND(DX20&gt;0,DX20+BW20&gt;$FK$3),0),0)
)</f>
        <v>0</v>
      </c>
      <c r="GA20" s="152" cm="1">
        <f t="array" ref="GA20">IF($C20="Production",
IFERROR(_xlfn.IFS(AND(DY20&gt;0,DY20+SUM(BW20:BX20)&lt;=$FM$3),DY20,AND(DY20&gt;0,DY20+SUM(BW20:BX20)&gt;$FM$3),$FM$3-SUM(BW20:BX20)),0),
IFERROR(_xlfn.IFS(AND(DY20&gt;0,DY20+BX20&lt;=$FK$3),DY20,AND(DY20&gt;0,DY20+BX20&gt;$FK$3),0),0)
)</f>
        <v>0</v>
      </c>
      <c r="GB20" s="152" cm="1">
        <f t="array" ref="GB20">IF($C20="Production",
IFERROR(_xlfn.IFS(AND(DZ20&gt;0,DZ20+SUM(BX20:BY20)&lt;=$FM$3),DZ20,AND(DZ20&gt;0,DZ20+SUM(BX20:BY20)&gt;$FM$3),$FM$3-SUM(BX20:BY20)),0),
IFERROR(_xlfn.IFS(AND(DZ20&gt;0,DZ20+BY20&lt;=$FK$3),DZ20,AND(DZ20&gt;0,DZ20+BY20&gt;$FK$3),0),0)
)</f>
        <v>0</v>
      </c>
      <c r="GC20" s="152" cm="1">
        <f t="array" ref="GC20">IF($C20="Production",
IFERROR(_xlfn.IFS(AND(EA20&gt;0,EA20+SUM(BY20:BZ20)&lt;=$FM$3),EA20,AND(EA20&gt;0,EA20+SUM(BY20:BZ20)&gt;$FM$3),$FM$3-SUM(BY20:BZ20)),0),
IFERROR(_xlfn.IFS(AND(EA20&gt;0,EA20+BZ20&lt;=$FK$3),EA20,AND(EA20&gt;0,EA20+BZ20&gt;$FK$3),0),0)
)</f>
        <v>0</v>
      </c>
      <c r="GD20" s="152" cm="1">
        <f t="array" ref="GD20">IF($C20="Production",
IFERROR(_xlfn.IFS(AND(EB20&gt;0,EB20+SUM(BZ20:CA20)&lt;=$FM$3),EB20,AND(EB20&gt;0,EB20+SUM(BZ20:CA20)&gt;$FM$3),$FM$3-SUM(BZ20:CA20)),0),
IFERROR(_xlfn.IFS(AND(EB20&gt;0,EB20+CA20&lt;=$FK$3),EB20,AND(EB20&gt;0,EB20+CA20&gt;$FK$3),0),0)
)</f>
        <v>0</v>
      </c>
      <c r="GE20" s="152" cm="1">
        <f t="array" ref="GE20">IF($C20="Production",
IFERROR(_xlfn.IFS(AND(EC20&gt;0,EC20+SUM(CA20:CB20)&lt;=$FM$3),EC20,AND(EC20&gt;0,EC20+SUM(CA20:CB20)&gt;$FM$3),$FM$3-SUM(CA20:CB20)),0),
IFERROR(_xlfn.IFS(AND(EC20&gt;0,EC20+CB20&lt;=$FK$3),EC20,AND(EC20&gt;0,EC20+CB20&gt;$FK$3),0),0)
)</f>
        <v>0</v>
      </c>
      <c r="GF20" s="152" cm="1">
        <f t="array" ref="GF20">IF($C20="Production",
IFERROR(_xlfn.IFS(AND(ED20&gt;0,ED20+SUM(CB20:CC20)&lt;=$FM$3),ED20,AND(ED20&gt;0,ED20+SUM(CB20:CC20)&gt;$FM$3),$FM$3-SUM(CB20:CC20)),0),
IFERROR(_xlfn.IFS(AND(ED20&gt;0,ED20+CC20&lt;=$FK$3),ED20,AND(ED20&gt;0,ED20+CC20&gt;$FK$3),0),0)
)</f>
        <v>0</v>
      </c>
      <c r="GG20" s="152" cm="1">
        <f t="array" ref="GG20">IF($C20="Production",
IFERROR(_xlfn.IFS(AND(EE20&gt;0,EE20+SUM(CC20:CD20)&lt;=$FM$3),EE20,AND(EE20&gt;0,EE20+SUM(CC20:CD20)&gt;$FM$3),$FM$3-SUM(CC20:CD20)),0),
IFERROR(_xlfn.IFS(AND(EE20&gt;0,EE20+CD20&lt;=$FK$3),EE20,AND(EE20&gt;0,EE20+CD20&gt;$FK$3),0),0)
)</f>
        <v>0</v>
      </c>
      <c r="GH20" s="152" cm="1">
        <f t="array" ref="GH20">IF($C20="Production",
IFERROR(_xlfn.IFS(AND(EF20&gt;0,EF20+SUM(CD20:CE20)&lt;=$FM$3),EF20,AND(EF20&gt;0,EF20+SUM(CD20:CE20)&gt;$FM$3),$FM$3-SUM(CD20:CE20)),0),
IFERROR(_xlfn.IFS(AND(EF20&gt;0,EF20+CE20&lt;=$FK$3),EF20,AND(EF20&gt;0,EF20+CE20&gt;$FK$3),0),0)
)</f>
        <v>0</v>
      </c>
      <c r="GI20" s="152" cm="1">
        <f t="array" ref="GI20">IF($C20="Production",
IFERROR(_xlfn.IFS(AND(EG20&gt;0,EG20+SUM(CE20:CF20)&lt;=$FM$3),EG20,AND(EG20&gt;0,EG20+SUM(CE20:CF20)&gt;$FM$3),$FM$3-SUM(CE20:CF20)),0),
IFERROR(_xlfn.IFS(AND(EG20&gt;0,EG20+CF20&lt;=$FK$3),EG20,AND(EG20&gt;0,EG20+CF20&gt;$FK$3),0),0)
)</f>
        <v>0</v>
      </c>
      <c r="GJ20" s="152" cm="1">
        <f t="array" ref="GJ20">IF($C20="Production",
IFERROR(_xlfn.IFS(AND(EH20&gt;0,EH20+SUM(CF20:CG20)&lt;=$FM$3),EH20,AND(EH20&gt;0,EH20+SUM(CF20:CG20)&gt;$FM$3),$FM$3-SUM(CF20:CG20)),0),
IFERROR(_xlfn.IFS(AND(EH20&gt;0,EH20+CG20&lt;=$FK$3),EH20,AND(EH20&gt;0,EH20+CG20&gt;$FK$3),0),0)
)</f>
        <v>0</v>
      </c>
      <c r="GK20" s="152" cm="1">
        <f t="array" ref="GK20">IF($C20="Production",
IFERROR(_xlfn.IFS(AND(EI20&gt;0,EI20+SUM(CG20:CH20)&lt;=$FM$3),EI20,AND(EI20&gt;0,EI20+SUM(CG20:CH20)&gt;$FM$3),$FM$3-SUM(CG20:CH20)),0),
IFERROR(_xlfn.IFS(AND(EI20&gt;0,EI20+CH20&lt;=$FK$3),EI20,AND(EI20&gt;0,EI20+CH20&gt;$FK$3),0),0)
)</f>
        <v>0</v>
      </c>
      <c r="GL20" s="152" cm="1">
        <f t="array" ref="GL20">IF($C20="Production",
IFERROR(_xlfn.IFS(AND(EJ20&gt;0,EJ20+SUM(CH20:CI20)&lt;=$FM$3),EJ20,AND(EJ20&gt;0,EJ20+SUM(CH20:CI20)&gt;$FM$3),$FM$3-SUM(CH20:CI20)),0),
IFERROR(_xlfn.IFS(AND(EJ20&gt;0,EJ20+CI20&lt;=$FK$3),EJ20,AND(EJ20&gt;0,EJ20+CI20&gt;$FK$3),0),0)
)</f>
        <v>0</v>
      </c>
      <c r="GM20" s="152" cm="1">
        <f t="array" ref="GM20">IF($C20="Production",
IFERROR(_xlfn.IFS(AND(EK20&gt;0,EK20+SUM(CI20:CJ20)&lt;=$FM$3),EK20,AND(EK20&gt;0,EK20+SUM(CI20:CJ20)&gt;$FM$3),$FM$3-SUM(CI20:CJ20)),0),
IFERROR(_xlfn.IFS(AND(EK20&gt;0,EK20+CJ20&lt;=$FK$3),EK20,AND(EK20&gt;0,EK20+CJ20&gt;$FK$3),0),0)
)</f>
        <v>0</v>
      </c>
      <c r="GN20" s="152" cm="1">
        <f t="array" ref="GN20">IF($C20="Production",
IFERROR(_xlfn.IFS(AND(EL20&gt;0,EL20+SUM(CJ20:CK20)&lt;=$FM$3),EL20,AND(EL20&gt;0,EL20+SUM(CJ20:CK20)&gt;$FM$3),$FM$3-SUM(CJ20:CK20)),0),
IFERROR(_xlfn.IFS(AND(EL20&gt;0,EL20+CK20&lt;=$FK$3),EL20,AND(EL20&gt;0,EL20+CK20&gt;$FK$3),0),0)
)</f>
        <v>0</v>
      </c>
      <c r="GO20" s="152" cm="1">
        <f t="array" ref="GO20">IF($C20="Production",
IFERROR(_xlfn.IFS(AND(EM20&gt;0,EM20+SUM(CK20:CL20)&lt;=$FM$3),EM20,AND(EM20&gt;0,EM20+SUM(CK20:CL20)&gt;$FM$3),$FM$3-SUM(CK20:CL20)),0),
IFERROR(_xlfn.IFS(AND(EM20&gt;0,EM20+CL20&lt;=$FK$3),EM20,AND(EM20&gt;0,EM20+CL20&gt;$FK$3),0),0)
)</f>
        <v>0</v>
      </c>
      <c r="GP20" s="152" cm="1">
        <f t="array" ref="GP20">IF($C20="Production",
IFERROR(_xlfn.IFS(AND(EN20&gt;0,EN20+SUM(CL20:CM20)&lt;=$FM$3),EN20,AND(EN20&gt;0,EN20+SUM(CL20:CM20)&gt;$FM$3),$FM$3-SUM(CL20:CM20)),0),
IFERROR(_xlfn.IFS(AND(EN20&gt;0,EN20+CM20&lt;=$FK$3),EN20,AND(EN20&gt;0,EN20+CM20&gt;$FK$3),0),0)
)</f>
        <v>0</v>
      </c>
      <c r="GQ20" s="152" cm="1">
        <f t="array" ref="GQ20">IF($C20="Production",
IFERROR(_xlfn.IFS(AND(EO20&gt;0,EO20+SUM(CM20:CN20)&lt;=$FM$3),EO20,AND(EO20&gt;0,EO20+SUM(CM20:CN20)&gt;$FM$3),$FM$3-SUM(CM20:CN20)),0),
IFERROR(_xlfn.IFS(AND(EO20&gt;0,EO20+CN20&lt;=$FK$3),EO20,AND(EO20&gt;0,EO20+CN20&gt;$FK$3),0),0)
)</f>
        <v>0</v>
      </c>
      <c r="GR20" s="152" cm="1">
        <f t="array" ref="GR20">IF($C20="Production",
IFERROR(_xlfn.IFS(AND(EP20&gt;0,EP20+SUM(CN20:CO20)&lt;=$FM$3),EP20,AND(EP20&gt;0,EP20+SUM(CN20:CO20)&gt;$FM$3),$FM$3-SUM(CN20:CO20)),0),
IFERROR(_xlfn.IFS(AND(EP20&gt;0,EP20+CO20&lt;=$FK$3),EP20,AND(EP20&gt;0,EP20+CO20&gt;$FK$3),0),0)
)</f>
        <v>0</v>
      </c>
      <c r="GS20" s="152" cm="1">
        <f t="array" ref="GS20">IF($C20="Production",
IFERROR(_xlfn.IFS(AND(EQ20&gt;0,EQ20+SUM(CO20:CP20)&lt;=$FM$3),EQ20,AND(EQ20&gt;0,EQ20+SUM(CO20:CP20)&gt;$FM$3),$FM$3-SUM(CO20:CP20)),0),
IFERROR(_xlfn.IFS(AND(EQ20&gt;0,EQ20+CP20&lt;=$FK$3),EQ20,AND(EQ20&gt;0,EQ20+CP20&gt;$FK$3),0),0)
)</f>
        <v>0</v>
      </c>
      <c r="GT20" s="152" cm="1">
        <f t="array" ref="GT20">IF($C20="Production",
IFERROR(_xlfn.IFS(AND(ER20&gt;0,ER20+SUM(CP20:CQ20)&lt;=$FM$3),ER20,AND(ER20&gt;0,ER20+SUM(CP20:CQ20)&gt;$FM$3),$FM$3-SUM(CP20:CQ20)),0),
IFERROR(_xlfn.IFS(AND(ER20&gt;0,ER20+CQ20&lt;=$FK$3),ER20,AND(ER20&gt;0,ER20+CQ20&gt;$FK$3),0),0)
)</f>
        <v>0</v>
      </c>
      <c r="GU20" s="152" cm="1">
        <f t="array" ref="GU20">IF($C20="Production",
IFERROR(_xlfn.IFS(AND(ES20&gt;0,ES20+SUM(CQ20:CR20)&lt;=$FM$3),ES20,AND(ES20&gt;0,ES20+SUM(CQ20:CR20)&gt;$FM$3),$FM$3-SUM(CQ20:CR20)),0),
IFERROR(_xlfn.IFS(AND(ES20&gt;0,ES20+CR20&lt;=$FK$3),ES20,AND(ES20&gt;0,ES20+CR20&gt;$FK$3),0),0)
)</f>
        <v>0</v>
      </c>
      <c r="GV20" s="152" cm="1">
        <f t="array" ref="GV20">IF($C20="Production",
IFERROR(_xlfn.IFS(AND(ET20&gt;0,ET20+SUM(CR20:CS20)&lt;=$FM$3),ET20,AND(ET20&gt;0,ET20+SUM(CR20:CS20)&gt;$FM$3),$FM$3-SUM(CR20:CS20)),0),
IFERROR(_xlfn.IFS(AND(ET20&gt;0,ET20+CS20&lt;=$FK$3),ET20,AND(ET20&gt;0,ET20+CS20&gt;$FK$3),0),0)
)</f>
        <v>0</v>
      </c>
      <c r="GW20" s="152" cm="1">
        <f t="array" ref="GW20">IF($C20="Production",
IFERROR(_xlfn.IFS(AND(EU20&gt;0,EU20+SUM(CS20:CT20)&lt;=$FM$3),EU20,AND(EU20&gt;0,EU20+SUM(CS20:CT20)&gt;$FM$3),$FM$3-SUM(CS20:CT20)),0),
IFERROR(_xlfn.IFS(AND(EU20&gt;0,EU20+CT20&lt;=$FK$3),EU20,AND(EU20&gt;0,EU20+CT20&gt;$FK$3),0),0)
)</f>
        <v>0</v>
      </c>
      <c r="GX20" s="152" cm="1">
        <f t="array" ref="GX20">IF($C20="Production",
IFERROR(_xlfn.IFS(AND(EV20&gt;0,EV20+SUM(CT20:CU20)&lt;=$FM$3),EV20,AND(EV20&gt;0,EV20+SUM(CT20:CU20)&gt;$FM$3),$FM$3-SUM(CT20:CU20)),0),
IFERROR(_xlfn.IFS(AND(EV20&gt;0,EV20+CU20&lt;=$FK$3),EV20,AND(EV20&gt;0,EV20+CU20&gt;$FK$3),0),0)
)</f>
        <v>0</v>
      </c>
      <c r="GY20" s="152" cm="1">
        <f t="array" ref="GY20">IF($C20="Production",
IFERROR(_xlfn.IFS(AND(EW20&gt;0,EW20+SUM(CU20:CV20)&lt;=$FM$3),EW20,AND(EW20&gt;0,EW20+SUM(CU20:CV20)&gt;$FM$3),$FM$3-SUM(CU20:CV20)),0),
IFERROR(_xlfn.IFS(AND(EW20&gt;0,EW20+CV20&lt;=$FK$3),EW20,AND(EW20&gt;0,EW20+CV20&gt;$FK$3),0),0)
)</f>
        <v>0</v>
      </c>
      <c r="GZ20" s="152" cm="1">
        <f t="array" ref="GZ20">IF($C20="Production",
IFERROR(_xlfn.IFS(AND(EX20&gt;0,EX20+SUM(CV20:CW20)&lt;=$FM$3),EX20,AND(EX20&gt;0,EX20+SUM(CV20:CW20)&gt;$FM$3),$FM$3-SUM(CV20:CW20)),0),
IFERROR(_xlfn.IFS(AND(EX20&gt;0,EX20+CW20&lt;=$FK$3),EX20,AND(EX20&gt;0,EX20+CW20&gt;$FK$3),0),0)
)</f>
        <v>0</v>
      </c>
      <c r="HA20" s="152" cm="1">
        <f t="array" ref="HA20">IF($C20="Production",
IFERROR(_xlfn.IFS(AND(EY20&gt;0,EY20+SUM(CW20:CX20)&lt;=$FM$3),EY20,AND(EY20&gt;0,EY20+SUM(CW20:CX20)&gt;$FM$3),$FM$3-SUM(CW20:CX20)),0),
IFERROR(_xlfn.IFS(AND(EY20&gt;0,EY20+CX20&lt;=$FK$3),EY20,AND(EY20&gt;0,EY20+CX20&gt;$FK$3),0),0)
)</f>
        <v>0</v>
      </c>
      <c r="HB20" s="152" cm="1">
        <f t="array" ref="HB20">IF($C20="Production",
IFERROR(_xlfn.IFS(AND(EZ20&gt;0,EZ20+SUM(CX20:CY20)&lt;=$FM$3),EZ20,AND(EZ20&gt;0,EZ20+SUM(CX20:CY20)&gt;$FM$3),$FM$3-SUM(CX20:CY20)),0),
IFERROR(_xlfn.IFS(AND(EZ20&gt;0,EZ20+CY20&lt;=$FK$3),EZ20,AND(EZ20&gt;0,EZ20+CY20&gt;$FK$3),0),0)
)</f>
        <v>0</v>
      </c>
      <c r="HC20" s="152" cm="1">
        <f t="array" ref="HC20">IF($C20="Production",
IFERROR(_xlfn.IFS(AND(FA20&gt;0,FA20+SUM(CY20:CZ20)&lt;=$FM$3),FA20,AND(FA20&gt;0,FA20+SUM(CY20:CZ20)&gt;$FM$3),$FM$3-SUM(CY20:CZ20)),0),
IFERROR(_xlfn.IFS(AND(FA20&gt;0,FA20+CZ20&lt;=$FK$3),FA20,AND(FA20&gt;0,FA20+CZ20&gt;$FK$3),0),0)
)</f>
        <v>0</v>
      </c>
      <c r="HD20" s="152" cm="1">
        <f t="array" ref="HD20">IF($C20="Production",
IFERROR(_xlfn.IFS(AND(FB20&gt;0,FB20+SUM(CZ20:DA20)&lt;=$FM$3),FB20,AND(FB20&gt;0,FB20+SUM(CZ20:DA20)&gt;$FM$3),$FM$3-SUM(CZ20:DA20)),0),
IFERROR(_xlfn.IFS(AND(FB20&gt;0,FB20+DA20&lt;=$FK$3),FB20,AND(FB20&gt;0,FB20+DA20&gt;$FK$3),0),0)
)</f>
        <v>0</v>
      </c>
      <c r="HE20" s="152" cm="1">
        <f t="array" ref="HE20">IF($C20="Production",
IFERROR(_xlfn.IFS(AND(FC20&gt;0,FC20+SUM(DA20:DB20)&lt;=$FM$3),FC20,AND(FC20&gt;0,FC20+SUM(DA20:DB20)&gt;$FM$3),$FM$3-SUM(DA20:DB20)),0),
IFERROR(_xlfn.IFS(AND(FC20&gt;0,FC20+DB20&lt;=$FK$3),FC20,AND(FC20&gt;0,FC20+DB20&gt;$FK$3),0),0)
)</f>
        <v>0</v>
      </c>
      <c r="HF20" s="152" cm="1">
        <f t="array" ref="HF20">IF($C20="Production",
IFERROR(_xlfn.IFS(AND(FD20&gt;0,FD20+SUM(DB20:DC20)&lt;=$FM$3),FD20,AND(FD20&gt;0,FD20+SUM(DB20:DC20)&gt;$FM$3),$FM$3-SUM(DB20:DC20)),0),
IFERROR(_xlfn.IFS(AND(FD20&gt;0,FD20+DC20&lt;=$FK$3),FD20,AND(FD20&gt;0,FD20+DC20&gt;$FK$3),0),0)
)</f>
        <v>0</v>
      </c>
      <c r="HG20" s="152" cm="1">
        <f t="array" ref="HG20">IF($C20="Production",
IFERROR(_xlfn.IFS(AND(FE20&gt;0,FE20+SUM(DC20:DD20)&lt;=$FM$3),FE20,AND(FE20&gt;0,FE20+SUM(DC20:DD20)&gt;$FM$3),$FM$3-SUM(DC20:DD20)),0),
IFERROR(_xlfn.IFS(AND(FE20&gt;0,FE20+DD20&lt;=$FK$3),FE20,AND(FE20&gt;0,FE20+DD20&gt;$FK$3),0),0)
)</f>
        <v>0</v>
      </c>
      <c r="HH20" s="152" cm="1">
        <f t="array" ref="HH20">IF($C20="Production",
IFERROR(_xlfn.IFS(AND(FF20&gt;0,FF20+SUM(DD20:DE20)&lt;=$FM$3),FF20,AND(FF20&gt;0,FF20+SUM(DD20:DE20)&gt;$FM$3),$FM$3-SUM(DD20:DE20)),0),
IFERROR(_xlfn.IFS(AND(FF20&gt;0,FF20+DE20&lt;=$FK$3),FF20,AND(FF20&gt;0,FF20+DE20&gt;$FK$3),0),0)
)</f>
        <v>0</v>
      </c>
      <c r="HI20" s="156" cm="1">
        <f t="array" ref="HI20">IF($C20="Production",
IFERROR(_xlfn.IFS(AND(FG20&gt;0,FG20+SUM(DE20:DF20)&lt;=$FM$3),FG20,AND(FG20&gt;0,FG20+SUM(DE20:DF20)&gt;$FM$3),$FM$3-SUM(DE20:DF20)),0),
IFERROR(_xlfn.IFS(AND(FG20&gt;0,FG20+DF20&lt;=$FK$3),FG20,AND(FG20&gt;0,FG20+DF20&gt;$FK$3),0),0)
)</f>
        <v>0</v>
      </c>
      <c r="HJ20" s="113">
        <f t="shared" si="110"/>
        <v>23.75</v>
      </c>
      <c r="HK20" s="80"/>
      <c r="HL20" s="112">
        <f t="shared" si="56"/>
        <v>0</v>
      </c>
      <c r="HM20" s="138">
        <f t="shared" si="57"/>
        <v>0</v>
      </c>
      <c r="HN20" s="138">
        <f t="shared" si="58"/>
        <v>0</v>
      </c>
      <c r="HO20" s="138">
        <f t="shared" si="59"/>
        <v>0</v>
      </c>
      <c r="HP20" s="138">
        <f t="shared" si="60"/>
        <v>0</v>
      </c>
      <c r="HQ20" s="138">
        <f t="shared" si="61"/>
        <v>0</v>
      </c>
      <c r="HR20" s="138">
        <f t="shared" si="62"/>
        <v>0</v>
      </c>
      <c r="HS20" s="138">
        <f t="shared" si="63"/>
        <v>0</v>
      </c>
      <c r="HT20" s="138">
        <f t="shared" si="64"/>
        <v>0</v>
      </c>
      <c r="HU20" s="138">
        <f t="shared" si="65"/>
        <v>0</v>
      </c>
      <c r="HV20" s="138">
        <f t="shared" si="66"/>
        <v>0</v>
      </c>
      <c r="HW20" s="138">
        <f t="shared" si="67"/>
        <v>0</v>
      </c>
      <c r="HX20" s="138">
        <f t="shared" si="68"/>
        <v>0</v>
      </c>
      <c r="HY20" s="138">
        <f t="shared" si="69"/>
        <v>0</v>
      </c>
      <c r="HZ20" s="138">
        <f t="shared" si="70"/>
        <v>0</v>
      </c>
      <c r="IA20" s="138">
        <f t="shared" si="71"/>
        <v>0</v>
      </c>
      <c r="IB20" s="138">
        <f t="shared" si="72"/>
        <v>0</v>
      </c>
      <c r="IC20" s="138">
        <f t="shared" si="73"/>
        <v>0</v>
      </c>
      <c r="ID20" s="138">
        <f t="shared" si="74"/>
        <v>0</v>
      </c>
      <c r="IE20" s="138">
        <f t="shared" si="75"/>
        <v>0</v>
      </c>
      <c r="IF20" s="138">
        <f t="shared" si="76"/>
        <v>0</v>
      </c>
      <c r="IG20" s="138">
        <f t="shared" si="77"/>
        <v>0</v>
      </c>
      <c r="IH20" s="138">
        <f t="shared" si="78"/>
        <v>0</v>
      </c>
      <c r="II20" s="138">
        <f t="shared" si="79"/>
        <v>0</v>
      </c>
      <c r="IJ20" s="138">
        <f t="shared" si="80"/>
        <v>0</v>
      </c>
      <c r="IK20" s="138">
        <f t="shared" si="81"/>
        <v>0</v>
      </c>
      <c r="IL20" s="138">
        <f t="shared" si="82"/>
        <v>0</v>
      </c>
      <c r="IM20" s="138">
        <f t="shared" si="83"/>
        <v>0</v>
      </c>
      <c r="IN20" s="138">
        <f t="shared" si="84"/>
        <v>0</v>
      </c>
      <c r="IO20" s="138">
        <f t="shared" si="85"/>
        <v>0</v>
      </c>
      <c r="IP20" s="138">
        <f t="shared" si="86"/>
        <v>0</v>
      </c>
      <c r="IQ20" s="138">
        <f t="shared" si="87"/>
        <v>0</v>
      </c>
      <c r="IR20" s="138">
        <f t="shared" si="88"/>
        <v>0</v>
      </c>
      <c r="IS20" s="138">
        <f t="shared" si="89"/>
        <v>0</v>
      </c>
      <c r="IT20" s="138">
        <f t="shared" si="90"/>
        <v>0</v>
      </c>
      <c r="IU20" s="138">
        <f t="shared" si="91"/>
        <v>0</v>
      </c>
      <c r="IV20" s="138">
        <f t="shared" si="92"/>
        <v>0</v>
      </c>
      <c r="IW20" s="138">
        <f t="shared" si="93"/>
        <v>0</v>
      </c>
      <c r="IX20" s="138">
        <f t="shared" si="94"/>
        <v>0</v>
      </c>
      <c r="IY20" s="138">
        <f t="shared" si="95"/>
        <v>0</v>
      </c>
      <c r="IZ20" s="138">
        <f t="shared" si="96"/>
        <v>0</v>
      </c>
      <c r="JA20" s="138">
        <f t="shared" si="97"/>
        <v>0</v>
      </c>
      <c r="JB20" s="138">
        <f t="shared" si="98"/>
        <v>0</v>
      </c>
      <c r="JC20" s="138">
        <f t="shared" si="99"/>
        <v>0</v>
      </c>
      <c r="JD20" s="138">
        <f t="shared" si="100"/>
        <v>0</v>
      </c>
      <c r="JE20" s="138">
        <f t="shared" si="101"/>
        <v>0</v>
      </c>
      <c r="JF20" s="138">
        <f t="shared" si="102"/>
        <v>0</v>
      </c>
      <c r="JG20" s="138">
        <f t="shared" si="103"/>
        <v>0</v>
      </c>
      <c r="JH20" s="138">
        <f t="shared" si="104"/>
        <v>0</v>
      </c>
      <c r="JI20" s="138">
        <f t="shared" si="105"/>
        <v>0</v>
      </c>
      <c r="JJ20" s="138">
        <f t="shared" si="106"/>
        <v>0</v>
      </c>
      <c r="JK20" s="138">
        <f t="shared" si="107"/>
        <v>0</v>
      </c>
      <c r="JL20" s="118">
        <f t="shared" si="111"/>
        <v>0</v>
      </c>
      <c r="JO20" s="90">
        <f t="shared" si="112"/>
        <v>23.75</v>
      </c>
      <c r="JP20" s="79">
        <f t="shared" si="108"/>
        <v>0</v>
      </c>
      <c r="JQ20" s="91">
        <f t="shared" si="2"/>
        <v>29.6875</v>
      </c>
      <c r="JS20" s="123">
        <f t="shared" si="109"/>
        <v>0</v>
      </c>
      <c r="JU20" s="123">
        <f t="shared" si="113"/>
        <v>29.6875</v>
      </c>
    </row>
    <row r="21" spans="2:281" x14ac:dyDescent="0.15">
      <c r="B21" s="82" t="str">
        <f>'MODU 2025'!B24</f>
        <v>FANGUIN Nadine</v>
      </c>
      <c r="C21" s="82" t="str">
        <f>'MODU 2025'!C24</f>
        <v>Production</v>
      </c>
      <c r="D21" s="82">
        <f>'MODU 2025'!D24</f>
        <v>37</v>
      </c>
      <c r="E21" s="82"/>
      <c r="F21" s="133">
        <f>'MODU 2025'!G24</f>
        <v>41</v>
      </c>
      <c r="G21" s="140">
        <f>'MODU 2025'!H24</f>
        <v>33</v>
      </c>
      <c r="H21" s="140">
        <f>'MODU 2025'!I24</f>
        <v>41</v>
      </c>
      <c r="I21" s="140">
        <f>'MODU 2025'!J24</f>
        <v>33</v>
      </c>
      <c r="J21" s="140">
        <f>'MODU 2025'!K24</f>
        <v>32.75</v>
      </c>
      <c r="K21" s="140">
        <f>'MODU 2025'!L24</f>
        <v>33</v>
      </c>
      <c r="L21" s="140">
        <f>'MODU 2025'!M24</f>
        <v>41</v>
      </c>
      <c r="M21" s="140">
        <f>'MODU 2025'!N24</f>
        <v>33</v>
      </c>
      <c r="N21" s="140">
        <f>'MODU 2025'!O24</f>
        <v>41</v>
      </c>
      <c r="O21" s="140">
        <f>'MODU 2025'!P24</f>
        <v>33</v>
      </c>
      <c r="P21" s="140">
        <f>'MODU 2025'!Q24</f>
        <v>41</v>
      </c>
      <c r="Q21" s="140">
        <f>'MODU 2025'!R24</f>
        <v>33</v>
      </c>
      <c r="R21" s="140">
        <f>'MODU 2025'!S24</f>
        <v>41</v>
      </c>
      <c r="S21" s="140">
        <f>'MODU 2025'!T24</f>
        <v>33</v>
      </c>
      <c r="T21" s="140">
        <f>'MODU 2025'!U24</f>
        <v>41</v>
      </c>
      <c r="U21" s="140">
        <f>'MODU 2025'!V24</f>
        <v>33</v>
      </c>
      <c r="V21" s="140">
        <f>'MODU 2025'!W24</f>
        <v>41</v>
      </c>
      <c r="W21" s="140">
        <f>'MODU 2025'!X24</f>
        <v>33</v>
      </c>
      <c r="X21" s="140">
        <f>'MODU 2025'!Y24</f>
        <v>41</v>
      </c>
      <c r="Y21" s="140">
        <f>'MODU 2025'!Z24</f>
        <v>33</v>
      </c>
      <c r="Z21" s="140">
        <f>'MODU 2025'!AA24</f>
        <v>41</v>
      </c>
      <c r="AA21" s="140">
        <f>'MODU 2025'!AB24</f>
        <v>33</v>
      </c>
      <c r="AB21" s="140">
        <f>'MODU 2025'!AC24</f>
        <v>41</v>
      </c>
      <c r="AC21" s="140">
        <f>'MODU 2025'!AD24</f>
        <v>33</v>
      </c>
      <c r="AD21" s="140">
        <f>'MODU 2025'!AE24</f>
        <v>41</v>
      </c>
      <c r="AE21" s="140">
        <f>'MODU 2025'!AF24</f>
        <v>33</v>
      </c>
      <c r="AF21" s="140">
        <f>'MODU 2025'!AG24</f>
        <v>41</v>
      </c>
      <c r="AG21" s="140">
        <f>'MODU 2025'!AH24</f>
        <v>33</v>
      </c>
      <c r="AH21" s="140">
        <f>'MODU 2025'!AI24</f>
        <v>41</v>
      </c>
      <c r="AI21" s="140">
        <f>'MODU 2025'!AJ24</f>
        <v>33</v>
      </c>
      <c r="AJ21" s="140">
        <f>'MODU 2025'!AK24</f>
        <v>41</v>
      </c>
      <c r="AK21" s="140">
        <f>'MODU 2025'!AL24</f>
        <v>33</v>
      </c>
      <c r="AL21" s="140">
        <f>'MODU 2025'!AM24</f>
        <v>41</v>
      </c>
      <c r="AM21" s="140">
        <f>'MODU 2025'!AN24</f>
        <v>33</v>
      </c>
      <c r="AN21" s="140">
        <f>'MODU 2025'!AO24</f>
        <v>41</v>
      </c>
      <c r="AO21" s="140">
        <f>'MODU 2025'!AP24</f>
        <v>33</v>
      </c>
      <c r="AP21" s="140">
        <f>'MODU 2025'!AQ24</f>
        <v>41</v>
      </c>
      <c r="AQ21" s="140">
        <f>'MODU 2025'!AR24</f>
        <v>33</v>
      </c>
      <c r="AR21" s="140">
        <f>'MODU 2025'!AS24</f>
        <v>41</v>
      </c>
      <c r="AS21" s="140">
        <f>'MODU 2025'!AT24</f>
        <v>33</v>
      </c>
      <c r="AT21" s="140">
        <f>'MODU 2025'!AU24</f>
        <v>41</v>
      </c>
      <c r="AU21" s="140">
        <f>'MODU 2025'!AV24</f>
        <v>33</v>
      </c>
      <c r="AV21" s="140">
        <f>'MODU 2025'!AW24</f>
        <v>41</v>
      </c>
      <c r="AW21" s="140">
        <f>'MODU 2025'!AX24</f>
        <v>33</v>
      </c>
      <c r="AX21" s="140">
        <f>'MODU 2025'!AY24</f>
        <v>41</v>
      </c>
      <c r="AY21" s="140">
        <f>'MODU 2025'!AZ24</f>
        <v>33</v>
      </c>
      <c r="AZ21" s="140">
        <f>'MODU 2025'!BA24</f>
        <v>41</v>
      </c>
      <c r="BA21" s="140">
        <f>'MODU 2025'!BB24</f>
        <v>33</v>
      </c>
      <c r="BB21" s="140">
        <f>'MODU 2025'!BC24</f>
        <v>41</v>
      </c>
      <c r="BC21" s="140">
        <f>'MODU 2025'!BD24</f>
        <v>33</v>
      </c>
      <c r="BD21" s="140">
        <f>'MODU 2025'!BE24</f>
        <v>41</v>
      </c>
      <c r="BE21" s="134">
        <f>'MODU 2025'!BF24</f>
        <v>33</v>
      </c>
      <c r="BF21" s="82"/>
      <c r="BG21" s="107">
        <v>41</v>
      </c>
      <c r="BH21" s="145">
        <v>33</v>
      </c>
      <c r="BI21" s="145">
        <v>41</v>
      </c>
      <c r="BJ21" s="145">
        <v>33</v>
      </c>
      <c r="BK21" s="145">
        <v>41</v>
      </c>
      <c r="BL21" s="145">
        <v>33</v>
      </c>
      <c r="BM21" s="145">
        <v>41</v>
      </c>
      <c r="BN21" s="145">
        <v>33</v>
      </c>
      <c r="BO21" s="145">
        <v>41</v>
      </c>
      <c r="BP21" s="145">
        <v>33</v>
      </c>
      <c r="BQ21" s="145">
        <v>41</v>
      </c>
      <c r="BR21" s="145">
        <v>33</v>
      </c>
      <c r="BS21" s="145">
        <v>41</v>
      </c>
      <c r="BT21" s="145">
        <v>33</v>
      </c>
      <c r="BU21" s="145">
        <v>41</v>
      </c>
      <c r="BV21" s="145">
        <v>33</v>
      </c>
      <c r="BW21" s="145">
        <v>41</v>
      </c>
      <c r="BX21" s="145">
        <v>33</v>
      </c>
      <c r="BY21" s="145">
        <v>41</v>
      </c>
      <c r="BZ21" s="145">
        <v>33</v>
      </c>
      <c r="CA21" s="145">
        <v>41</v>
      </c>
      <c r="CB21" s="145">
        <v>33</v>
      </c>
      <c r="CC21" s="145">
        <v>41</v>
      </c>
      <c r="CD21" s="145">
        <v>33</v>
      </c>
      <c r="CE21" s="145">
        <v>41</v>
      </c>
      <c r="CF21" s="145">
        <v>33</v>
      </c>
      <c r="CG21" s="145">
        <v>41</v>
      </c>
      <c r="CH21" s="145">
        <v>33</v>
      </c>
      <c r="CI21" s="145">
        <v>41</v>
      </c>
      <c r="CJ21" s="145">
        <v>33</v>
      </c>
      <c r="CK21" s="145">
        <v>41</v>
      </c>
      <c r="CL21" s="145">
        <v>33</v>
      </c>
      <c r="CM21" s="145">
        <v>41</v>
      </c>
      <c r="CN21" s="145">
        <v>33</v>
      </c>
      <c r="CO21" s="145">
        <v>41</v>
      </c>
      <c r="CP21" s="145">
        <v>33</v>
      </c>
      <c r="CQ21" s="145">
        <v>41</v>
      </c>
      <c r="CR21" s="145">
        <v>33</v>
      </c>
      <c r="CS21" s="145">
        <v>41</v>
      </c>
      <c r="CT21" s="145">
        <v>33</v>
      </c>
      <c r="CU21" s="145">
        <v>41</v>
      </c>
      <c r="CV21" s="145">
        <v>33</v>
      </c>
      <c r="CW21" s="145">
        <v>41</v>
      </c>
      <c r="CX21" s="145">
        <v>33</v>
      </c>
      <c r="CY21" s="145">
        <v>41</v>
      </c>
      <c r="CZ21" s="145">
        <v>33</v>
      </c>
      <c r="DA21" s="145">
        <v>41</v>
      </c>
      <c r="DB21" s="145">
        <v>33</v>
      </c>
      <c r="DC21" s="145">
        <v>41</v>
      </c>
      <c r="DD21" s="145">
        <v>33</v>
      </c>
      <c r="DE21" s="145">
        <v>41</v>
      </c>
      <c r="DF21" s="108">
        <v>33</v>
      </c>
      <c r="DG21" s="84"/>
      <c r="DH21" s="112">
        <f t="shared" si="3"/>
        <v>0</v>
      </c>
      <c r="DI21" s="138">
        <f t="shared" si="4"/>
        <v>0</v>
      </c>
      <c r="DJ21" s="138">
        <f t="shared" si="5"/>
        <v>0</v>
      </c>
      <c r="DK21" s="138">
        <f t="shared" si="6"/>
        <v>0</v>
      </c>
      <c r="DL21" s="138">
        <f t="shared" si="7"/>
        <v>0</v>
      </c>
      <c r="DM21" s="138">
        <f t="shared" si="8"/>
        <v>-8.25</v>
      </c>
      <c r="DN21" s="138">
        <f t="shared" si="9"/>
        <v>0</v>
      </c>
      <c r="DO21" s="138">
        <f t="shared" si="10"/>
        <v>0</v>
      </c>
      <c r="DP21" s="138">
        <f t="shared" si="11"/>
        <v>0</v>
      </c>
      <c r="DQ21" s="138">
        <f t="shared" si="12"/>
        <v>0</v>
      </c>
      <c r="DR21" s="138">
        <f t="shared" si="13"/>
        <v>0</v>
      </c>
      <c r="DS21" s="138">
        <f t="shared" si="14"/>
        <v>0</v>
      </c>
      <c r="DT21" s="138">
        <f t="shared" si="15"/>
        <v>0</v>
      </c>
      <c r="DU21" s="138">
        <f t="shared" si="16"/>
        <v>0</v>
      </c>
      <c r="DV21" s="138">
        <f t="shared" si="17"/>
        <v>0</v>
      </c>
      <c r="DW21" s="138">
        <f t="shared" si="18"/>
        <v>0</v>
      </c>
      <c r="DX21" s="138">
        <f t="shared" si="19"/>
        <v>0</v>
      </c>
      <c r="DY21" s="138">
        <f t="shared" si="20"/>
        <v>0</v>
      </c>
      <c r="DZ21" s="138">
        <f t="shared" si="21"/>
        <v>0</v>
      </c>
      <c r="EA21" s="138">
        <f t="shared" si="22"/>
        <v>0</v>
      </c>
      <c r="EB21" s="138">
        <f t="shared" si="23"/>
        <v>0</v>
      </c>
      <c r="EC21" s="138">
        <f t="shared" si="24"/>
        <v>0</v>
      </c>
      <c r="ED21" s="138">
        <f t="shared" si="25"/>
        <v>0</v>
      </c>
      <c r="EE21" s="138">
        <f t="shared" si="26"/>
        <v>0</v>
      </c>
      <c r="EF21" s="138">
        <f t="shared" si="27"/>
        <v>0</v>
      </c>
      <c r="EG21" s="138">
        <f t="shared" si="28"/>
        <v>0</v>
      </c>
      <c r="EH21" s="138">
        <f t="shared" si="29"/>
        <v>0</v>
      </c>
      <c r="EI21" s="138">
        <f t="shared" si="30"/>
        <v>0</v>
      </c>
      <c r="EJ21" s="138">
        <f t="shared" si="31"/>
        <v>0</v>
      </c>
      <c r="EK21" s="138">
        <f t="shared" si="32"/>
        <v>0</v>
      </c>
      <c r="EL21" s="138">
        <f t="shared" si="33"/>
        <v>0</v>
      </c>
      <c r="EM21" s="138">
        <f t="shared" si="34"/>
        <v>0</v>
      </c>
      <c r="EN21" s="138">
        <f t="shared" si="35"/>
        <v>0</v>
      </c>
      <c r="EO21" s="138">
        <f t="shared" si="36"/>
        <v>0</v>
      </c>
      <c r="EP21" s="138">
        <f t="shared" si="37"/>
        <v>0</v>
      </c>
      <c r="EQ21" s="138">
        <f t="shared" si="38"/>
        <v>0</v>
      </c>
      <c r="ER21" s="138">
        <f t="shared" si="39"/>
        <v>0</v>
      </c>
      <c r="ES21" s="138">
        <f t="shared" si="40"/>
        <v>0</v>
      </c>
      <c r="ET21" s="138">
        <f t="shared" si="41"/>
        <v>0</v>
      </c>
      <c r="EU21" s="138">
        <f t="shared" si="42"/>
        <v>0</v>
      </c>
      <c r="EV21" s="138">
        <f t="shared" si="43"/>
        <v>0</v>
      </c>
      <c r="EW21" s="138">
        <f t="shared" si="44"/>
        <v>0</v>
      </c>
      <c r="EX21" s="138">
        <f t="shared" si="45"/>
        <v>0</v>
      </c>
      <c r="EY21" s="138">
        <f t="shared" si="46"/>
        <v>0</v>
      </c>
      <c r="EZ21" s="138">
        <f t="shared" si="47"/>
        <v>0</v>
      </c>
      <c r="FA21" s="138">
        <f t="shared" si="48"/>
        <v>0</v>
      </c>
      <c r="FB21" s="138">
        <f t="shared" si="49"/>
        <v>0</v>
      </c>
      <c r="FC21" s="138">
        <f t="shared" si="50"/>
        <v>0</v>
      </c>
      <c r="FD21" s="138">
        <f t="shared" si="51"/>
        <v>0</v>
      </c>
      <c r="FE21" s="138">
        <f t="shared" si="52"/>
        <v>0</v>
      </c>
      <c r="FF21" s="138">
        <f t="shared" si="53"/>
        <v>0</v>
      </c>
      <c r="FG21" s="113">
        <f t="shared" si="54"/>
        <v>0</v>
      </c>
      <c r="FH21" s="113">
        <f t="shared" si="55"/>
        <v>-8.25</v>
      </c>
      <c r="FI21" s="35"/>
      <c r="FJ21" s="151" cm="1">
        <f t="array" ref="FJ21">IF($C21="Production",
IFERROR(_xlfn.IFS(AND(DH21&gt;0,DH21+SUM(BF21:BG21)&lt;=$FM$3),DH21,AND(DH21&gt;0,DH21+SUM(BF21:BG21)&gt;$FM$3),$FM$3-SUM(BF21:BG21)),0),
IFERROR(_xlfn.IFS(AND(DH21&gt;0,DH21+BG21&lt;=$FK$3),DH21,AND(DH21&gt;0,DH21+BG21&gt;$FK$3),0),0)
)</f>
        <v>0</v>
      </c>
      <c r="FK21" s="152" cm="1">
        <f t="array" ref="FK21">IF($C21="Production",
IFERROR(_xlfn.IFS(AND(DI21&gt;0,DI21+SUM(BG21:BH21)&lt;=$FM$3),DI21,AND(DI21&gt;0,DI21+SUM(BG21:BH21)&gt;$FM$3),$FM$3-SUM(BG21:BH21)),0),
IFERROR(_xlfn.IFS(AND(DI21&gt;0,DI21+BH21&lt;=$FK$3),DI21,AND(DI21&gt;0,DI21+BH21&gt;$FK$3),0),0)
)</f>
        <v>0</v>
      </c>
      <c r="FL21" s="152" cm="1">
        <f t="array" ref="FL21">IF($C21="Production",
IFERROR(_xlfn.IFS(AND(DJ21&gt;0,DJ21+SUM(BH21:BI21)&lt;=$FM$3),DJ21,AND(DJ21&gt;0,DJ21+SUM(BH21:BI21)&gt;$FM$3),$FM$3-SUM(BH21:BI21)),0),
IFERROR(_xlfn.IFS(AND(DJ21&gt;0,DJ21+BI21&lt;=$FK$3),DJ21,AND(DJ21&gt;0,DJ21+BI21&gt;$FK$3),0),0)
)</f>
        <v>0</v>
      </c>
      <c r="FM21" s="152" cm="1">
        <f t="array" ref="FM21">IF($C21="Production",
IFERROR(_xlfn.IFS(AND(DK21&gt;0,DK21+SUM(BI21:BJ21)&lt;=$FM$3),DK21,AND(DK21&gt;0,DK21+SUM(BI21:BJ21)&gt;$FM$3),$FM$3-SUM(BI21:BJ21)),0),
IFERROR(_xlfn.IFS(AND(DK21&gt;0,DK21+BJ21&lt;=$FK$3),DK21,AND(DK21&gt;0,DK21+BJ21&gt;$FK$3),0),0)
)</f>
        <v>0</v>
      </c>
      <c r="FN21" s="152" cm="1">
        <f t="array" ref="FN21">IF($C21="Production",
IFERROR(_xlfn.IFS(AND(DL21&gt;0,DL21+SUM(BJ21:BK21)&lt;=$FM$3),DL21,AND(DL21&gt;0,DL21+SUM(BJ21:BK21)&gt;$FM$3),$FM$3-SUM(BJ21:BK21)),0),
IFERROR(_xlfn.IFS(AND(DL21&gt;0,DL21+BK21&lt;=$FK$3),DL21,AND(DL21&gt;0,DL21+BK21&gt;$FK$3),0),0)
)</f>
        <v>0</v>
      </c>
      <c r="FO21" s="152" cm="1">
        <f t="array" ref="FO21">IF($C21="Production",
IFERROR(_xlfn.IFS(AND(DM21&gt;0,DM21+SUM(BK21:BL21)&lt;=$FM$3),DM21,AND(DM21&gt;0,DM21+SUM(BK21:BL21)&gt;$FM$3),$FM$3-SUM(BK21:BL21)),0),
IFERROR(_xlfn.IFS(AND(DM21&gt;0,DM21+BL21&lt;=$FK$3),DM21,AND(DM21&gt;0,DM21+BL21&gt;$FK$3),0),0)
)</f>
        <v>0</v>
      </c>
      <c r="FP21" s="152" cm="1">
        <f t="array" ref="FP21">IF($C21="Production",
IFERROR(_xlfn.IFS(AND(DN21&gt;0,DN21+SUM(BL21:BM21)&lt;=$FM$3),DN21,AND(DN21&gt;0,DN21+SUM(BL21:BM21)&gt;$FM$3),$FM$3-SUM(BL21:BM21)),0),
IFERROR(_xlfn.IFS(AND(DN21&gt;0,DN21+BM21&lt;=$FK$3),DN21,AND(DN21&gt;0,DN21+BM21&gt;$FK$3),0),0)
)</f>
        <v>0</v>
      </c>
      <c r="FQ21" s="152" cm="1">
        <f t="array" ref="FQ21">IF($C21="Production",
IFERROR(_xlfn.IFS(AND(DO21&gt;0,DO21+SUM(BM21:BN21)&lt;=$FM$3),DO21,AND(DO21&gt;0,DO21+SUM(BM21:BN21)&gt;$FM$3),$FM$3-SUM(BM21:BN21)),0),
IFERROR(_xlfn.IFS(AND(DO21&gt;0,DO21+BN21&lt;=$FK$3),DO21,AND(DO21&gt;0,DO21+BN21&gt;$FK$3),0),0)
)</f>
        <v>0</v>
      </c>
      <c r="FR21" s="152" cm="1">
        <f t="array" ref="FR21">IF($C21="Production",
IFERROR(_xlfn.IFS(AND(DP21&gt;0,DP21+SUM(BN21:BO21)&lt;=$FM$3),DP21,AND(DP21&gt;0,DP21+SUM(BN21:BO21)&gt;$FM$3),$FM$3-SUM(BN21:BO21)),0),
IFERROR(_xlfn.IFS(AND(DP21&gt;0,DP21+BO21&lt;=$FK$3),DP21,AND(DP21&gt;0,DP21+BO21&gt;$FK$3),0),0)
)</f>
        <v>0</v>
      </c>
      <c r="FS21" s="152" cm="1">
        <f t="array" ref="FS21">IF($C21="Production",
IFERROR(_xlfn.IFS(AND(DQ21&gt;0,DQ21+SUM(BO21:BP21)&lt;=$FM$3),DQ21,AND(DQ21&gt;0,DQ21+SUM(BO21:BP21)&gt;$FM$3),$FM$3-SUM(BO21:BP21)),0),
IFERROR(_xlfn.IFS(AND(DQ21&gt;0,DQ21+BP21&lt;=$FK$3),DQ21,AND(DQ21&gt;0,DQ21+BP21&gt;$FK$3),0),0)
)</f>
        <v>0</v>
      </c>
      <c r="FT21" s="152" cm="1">
        <f t="array" ref="FT21">IF($C21="Production",
IFERROR(_xlfn.IFS(AND(DR21&gt;0,DR21+SUM(BP21:BQ21)&lt;=$FM$3),DR21,AND(DR21&gt;0,DR21+SUM(BP21:BQ21)&gt;$FM$3),$FM$3-SUM(BP21:BQ21)),0),
IFERROR(_xlfn.IFS(AND(DR21&gt;0,DR21+BQ21&lt;=$FK$3),DR21,AND(DR21&gt;0,DR21+BQ21&gt;$FK$3),0),0)
)</f>
        <v>0</v>
      </c>
      <c r="FU21" s="152" cm="1">
        <f t="array" ref="FU21">IF($C21="Production",
IFERROR(_xlfn.IFS(AND(DS21&gt;0,DS21+SUM(BQ21:BR21)&lt;=$FM$3),DS21,AND(DS21&gt;0,DS21+SUM(BQ21:BR21)&gt;$FM$3),$FM$3-SUM(BQ21:BR21)),0),
IFERROR(_xlfn.IFS(AND(DS21&gt;0,DS21+BR21&lt;=$FK$3),DS21,AND(DS21&gt;0,DS21+BR21&gt;$FK$3),0),0)
)</f>
        <v>0</v>
      </c>
      <c r="FV21" s="152" cm="1">
        <f t="array" ref="FV21">IF($C21="Production",
IFERROR(_xlfn.IFS(AND(DT21&gt;0,DT21+SUM(BR21:BS21)&lt;=$FM$3),DT21,AND(DT21&gt;0,DT21+SUM(BR21:BS21)&gt;$FM$3),$FM$3-SUM(BR21:BS21)),0),
IFERROR(_xlfn.IFS(AND(DT21&gt;0,DT21+BS21&lt;=$FK$3),DT21,AND(DT21&gt;0,DT21+BS21&gt;$FK$3),0),0)
)</f>
        <v>0</v>
      </c>
      <c r="FW21" s="152" cm="1">
        <f t="array" ref="FW21">IF($C21="Production",
IFERROR(_xlfn.IFS(AND(DU21&gt;0,DU21+SUM(BS21:BT21)&lt;=$FM$3),DU21,AND(DU21&gt;0,DU21+SUM(BS21:BT21)&gt;$FM$3),$FM$3-SUM(BS21:BT21)),0),
IFERROR(_xlfn.IFS(AND(DU21&gt;0,DU21+BT21&lt;=$FK$3),DU21,AND(DU21&gt;0,DU21+BT21&gt;$FK$3),0),0)
)</f>
        <v>0</v>
      </c>
      <c r="FX21" s="152" cm="1">
        <f t="array" ref="FX21">IF($C21="Production",
IFERROR(_xlfn.IFS(AND(DV21&gt;0,DV21+SUM(BT21:BU21)&lt;=$FM$3),DV21,AND(DV21&gt;0,DV21+SUM(BT21:BU21)&gt;$FM$3),$FM$3-SUM(BT21:BU21)),0),
IFERROR(_xlfn.IFS(AND(DV21&gt;0,DV21+BU21&lt;=$FK$3),DV21,AND(DV21&gt;0,DV21+BU21&gt;$FK$3),0),0)
)</f>
        <v>0</v>
      </c>
      <c r="FY21" s="152" cm="1">
        <f t="array" ref="FY21">IF($C21="Production",
IFERROR(_xlfn.IFS(AND(DW21&gt;0,DW21+SUM(BU21:BV21)&lt;=$FM$3),DW21,AND(DW21&gt;0,DW21+SUM(BU21:BV21)&gt;$FM$3),$FM$3-SUM(BU21:BV21)),0),
IFERROR(_xlfn.IFS(AND(DW21&gt;0,DW21+BV21&lt;=$FK$3),DW21,AND(DW21&gt;0,DW21+BV21&gt;$FK$3),0),0)
)</f>
        <v>0</v>
      </c>
      <c r="FZ21" s="152" cm="1">
        <f t="array" ref="FZ21">IF($C21="Production",
IFERROR(_xlfn.IFS(AND(DX21&gt;0,DX21+SUM(BV21:BW21)&lt;=$FM$3),DX21,AND(DX21&gt;0,DX21+SUM(BV21:BW21)&gt;$FM$3),$FM$3-SUM(BV21:BW21)),0),
IFERROR(_xlfn.IFS(AND(DX21&gt;0,DX21+BW21&lt;=$FK$3),DX21,AND(DX21&gt;0,DX21+BW21&gt;$FK$3),0),0)
)</f>
        <v>0</v>
      </c>
      <c r="GA21" s="152" cm="1">
        <f t="array" ref="GA21">IF($C21="Production",
IFERROR(_xlfn.IFS(AND(DY21&gt;0,DY21+SUM(BW21:BX21)&lt;=$FM$3),DY21,AND(DY21&gt;0,DY21+SUM(BW21:BX21)&gt;$FM$3),$FM$3-SUM(BW21:BX21)),0),
IFERROR(_xlfn.IFS(AND(DY21&gt;0,DY21+BX21&lt;=$FK$3),DY21,AND(DY21&gt;0,DY21+BX21&gt;$FK$3),0),0)
)</f>
        <v>0</v>
      </c>
      <c r="GB21" s="152" cm="1">
        <f t="array" ref="GB21">IF($C21="Production",
IFERROR(_xlfn.IFS(AND(DZ21&gt;0,DZ21+SUM(BX21:BY21)&lt;=$FM$3),DZ21,AND(DZ21&gt;0,DZ21+SUM(BX21:BY21)&gt;$FM$3),$FM$3-SUM(BX21:BY21)),0),
IFERROR(_xlfn.IFS(AND(DZ21&gt;0,DZ21+BY21&lt;=$FK$3),DZ21,AND(DZ21&gt;0,DZ21+BY21&gt;$FK$3),0),0)
)</f>
        <v>0</v>
      </c>
      <c r="GC21" s="152" cm="1">
        <f t="array" ref="GC21">IF($C21="Production",
IFERROR(_xlfn.IFS(AND(EA21&gt;0,EA21+SUM(BY21:BZ21)&lt;=$FM$3),EA21,AND(EA21&gt;0,EA21+SUM(BY21:BZ21)&gt;$FM$3),$FM$3-SUM(BY21:BZ21)),0),
IFERROR(_xlfn.IFS(AND(EA21&gt;0,EA21+BZ21&lt;=$FK$3),EA21,AND(EA21&gt;0,EA21+BZ21&gt;$FK$3),0),0)
)</f>
        <v>0</v>
      </c>
      <c r="GD21" s="152" cm="1">
        <f t="array" ref="GD21">IF($C21="Production",
IFERROR(_xlfn.IFS(AND(EB21&gt;0,EB21+SUM(BZ21:CA21)&lt;=$FM$3),EB21,AND(EB21&gt;0,EB21+SUM(BZ21:CA21)&gt;$FM$3),$FM$3-SUM(BZ21:CA21)),0),
IFERROR(_xlfn.IFS(AND(EB21&gt;0,EB21+CA21&lt;=$FK$3),EB21,AND(EB21&gt;0,EB21+CA21&gt;$FK$3),0),0)
)</f>
        <v>0</v>
      </c>
      <c r="GE21" s="152" cm="1">
        <f t="array" ref="GE21">IF($C21="Production",
IFERROR(_xlfn.IFS(AND(EC21&gt;0,EC21+SUM(CA21:CB21)&lt;=$FM$3),EC21,AND(EC21&gt;0,EC21+SUM(CA21:CB21)&gt;$FM$3),$FM$3-SUM(CA21:CB21)),0),
IFERROR(_xlfn.IFS(AND(EC21&gt;0,EC21+CB21&lt;=$FK$3),EC21,AND(EC21&gt;0,EC21+CB21&gt;$FK$3),0),0)
)</f>
        <v>0</v>
      </c>
      <c r="GF21" s="152" cm="1">
        <f t="array" ref="GF21">IF($C21="Production",
IFERROR(_xlfn.IFS(AND(ED21&gt;0,ED21+SUM(CB21:CC21)&lt;=$FM$3),ED21,AND(ED21&gt;0,ED21+SUM(CB21:CC21)&gt;$FM$3),$FM$3-SUM(CB21:CC21)),0),
IFERROR(_xlfn.IFS(AND(ED21&gt;0,ED21+CC21&lt;=$FK$3),ED21,AND(ED21&gt;0,ED21+CC21&gt;$FK$3),0),0)
)</f>
        <v>0</v>
      </c>
      <c r="GG21" s="152" cm="1">
        <f t="array" ref="GG21">IF($C21="Production",
IFERROR(_xlfn.IFS(AND(EE21&gt;0,EE21+SUM(CC21:CD21)&lt;=$FM$3),EE21,AND(EE21&gt;0,EE21+SUM(CC21:CD21)&gt;$FM$3),$FM$3-SUM(CC21:CD21)),0),
IFERROR(_xlfn.IFS(AND(EE21&gt;0,EE21+CD21&lt;=$FK$3),EE21,AND(EE21&gt;0,EE21+CD21&gt;$FK$3),0),0)
)</f>
        <v>0</v>
      </c>
      <c r="GH21" s="152" cm="1">
        <f t="array" ref="GH21">IF($C21="Production",
IFERROR(_xlfn.IFS(AND(EF21&gt;0,EF21+SUM(CD21:CE21)&lt;=$FM$3),EF21,AND(EF21&gt;0,EF21+SUM(CD21:CE21)&gt;$FM$3),$FM$3-SUM(CD21:CE21)),0),
IFERROR(_xlfn.IFS(AND(EF21&gt;0,EF21+CE21&lt;=$FK$3),EF21,AND(EF21&gt;0,EF21+CE21&gt;$FK$3),0),0)
)</f>
        <v>0</v>
      </c>
      <c r="GI21" s="152" cm="1">
        <f t="array" ref="GI21">IF($C21="Production",
IFERROR(_xlfn.IFS(AND(EG21&gt;0,EG21+SUM(CE21:CF21)&lt;=$FM$3),EG21,AND(EG21&gt;0,EG21+SUM(CE21:CF21)&gt;$FM$3),$FM$3-SUM(CE21:CF21)),0),
IFERROR(_xlfn.IFS(AND(EG21&gt;0,EG21+CF21&lt;=$FK$3),EG21,AND(EG21&gt;0,EG21+CF21&gt;$FK$3),0),0)
)</f>
        <v>0</v>
      </c>
      <c r="GJ21" s="152" cm="1">
        <f t="array" ref="GJ21">IF($C21="Production",
IFERROR(_xlfn.IFS(AND(EH21&gt;0,EH21+SUM(CF21:CG21)&lt;=$FM$3),EH21,AND(EH21&gt;0,EH21+SUM(CF21:CG21)&gt;$FM$3),$FM$3-SUM(CF21:CG21)),0),
IFERROR(_xlfn.IFS(AND(EH21&gt;0,EH21+CG21&lt;=$FK$3),EH21,AND(EH21&gt;0,EH21+CG21&gt;$FK$3),0),0)
)</f>
        <v>0</v>
      </c>
      <c r="GK21" s="152" cm="1">
        <f t="array" ref="GK21">IF($C21="Production",
IFERROR(_xlfn.IFS(AND(EI21&gt;0,EI21+SUM(CG21:CH21)&lt;=$FM$3),EI21,AND(EI21&gt;0,EI21+SUM(CG21:CH21)&gt;$FM$3),$FM$3-SUM(CG21:CH21)),0),
IFERROR(_xlfn.IFS(AND(EI21&gt;0,EI21+CH21&lt;=$FK$3),EI21,AND(EI21&gt;0,EI21+CH21&gt;$FK$3),0),0)
)</f>
        <v>0</v>
      </c>
      <c r="GL21" s="152" cm="1">
        <f t="array" ref="GL21">IF($C21="Production",
IFERROR(_xlfn.IFS(AND(EJ21&gt;0,EJ21+SUM(CH21:CI21)&lt;=$FM$3),EJ21,AND(EJ21&gt;0,EJ21+SUM(CH21:CI21)&gt;$FM$3),$FM$3-SUM(CH21:CI21)),0),
IFERROR(_xlfn.IFS(AND(EJ21&gt;0,EJ21+CI21&lt;=$FK$3),EJ21,AND(EJ21&gt;0,EJ21+CI21&gt;$FK$3),0),0)
)</f>
        <v>0</v>
      </c>
      <c r="GM21" s="152" cm="1">
        <f t="array" ref="GM21">IF($C21="Production",
IFERROR(_xlfn.IFS(AND(EK21&gt;0,EK21+SUM(CI21:CJ21)&lt;=$FM$3),EK21,AND(EK21&gt;0,EK21+SUM(CI21:CJ21)&gt;$FM$3),$FM$3-SUM(CI21:CJ21)),0),
IFERROR(_xlfn.IFS(AND(EK21&gt;0,EK21+CJ21&lt;=$FK$3),EK21,AND(EK21&gt;0,EK21+CJ21&gt;$FK$3),0),0)
)</f>
        <v>0</v>
      </c>
      <c r="GN21" s="152" cm="1">
        <f t="array" ref="GN21">IF($C21="Production",
IFERROR(_xlfn.IFS(AND(EL21&gt;0,EL21+SUM(CJ21:CK21)&lt;=$FM$3),EL21,AND(EL21&gt;0,EL21+SUM(CJ21:CK21)&gt;$FM$3),$FM$3-SUM(CJ21:CK21)),0),
IFERROR(_xlfn.IFS(AND(EL21&gt;0,EL21+CK21&lt;=$FK$3),EL21,AND(EL21&gt;0,EL21+CK21&gt;$FK$3),0),0)
)</f>
        <v>0</v>
      </c>
      <c r="GO21" s="152" cm="1">
        <f t="array" ref="GO21">IF($C21="Production",
IFERROR(_xlfn.IFS(AND(EM21&gt;0,EM21+SUM(CK21:CL21)&lt;=$FM$3),EM21,AND(EM21&gt;0,EM21+SUM(CK21:CL21)&gt;$FM$3),$FM$3-SUM(CK21:CL21)),0),
IFERROR(_xlfn.IFS(AND(EM21&gt;0,EM21+CL21&lt;=$FK$3),EM21,AND(EM21&gt;0,EM21+CL21&gt;$FK$3),0),0)
)</f>
        <v>0</v>
      </c>
      <c r="GP21" s="152" cm="1">
        <f t="array" ref="GP21">IF($C21="Production",
IFERROR(_xlfn.IFS(AND(EN21&gt;0,EN21+SUM(CL21:CM21)&lt;=$FM$3),EN21,AND(EN21&gt;0,EN21+SUM(CL21:CM21)&gt;$FM$3),$FM$3-SUM(CL21:CM21)),0),
IFERROR(_xlfn.IFS(AND(EN21&gt;0,EN21+CM21&lt;=$FK$3),EN21,AND(EN21&gt;0,EN21+CM21&gt;$FK$3),0),0)
)</f>
        <v>0</v>
      </c>
      <c r="GQ21" s="152" cm="1">
        <f t="array" ref="GQ21">IF($C21="Production",
IFERROR(_xlfn.IFS(AND(EO21&gt;0,EO21+SUM(CM21:CN21)&lt;=$FM$3),EO21,AND(EO21&gt;0,EO21+SUM(CM21:CN21)&gt;$FM$3),$FM$3-SUM(CM21:CN21)),0),
IFERROR(_xlfn.IFS(AND(EO21&gt;0,EO21+CN21&lt;=$FK$3),EO21,AND(EO21&gt;0,EO21+CN21&gt;$FK$3),0),0)
)</f>
        <v>0</v>
      </c>
      <c r="GR21" s="152" cm="1">
        <f t="array" ref="GR21">IF($C21="Production",
IFERROR(_xlfn.IFS(AND(EP21&gt;0,EP21+SUM(CN21:CO21)&lt;=$FM$3),EP21,AND(EP21&gt;0,EP21+SUM(CN21:CO21)&gt;$FM$3),$FM$3-SUM(CN21:CO21)),0),
IFERROR(_xlfn.IFS(AND(EP21&gt;0,EP21+CO21&lt;=$FK$3),EP21,AND(EP21&gt;0,EP21+CO21&gt;$FK$3),0),0)
)</f>
        <v>0</v>
      </c>
      <c r="GS21" s="152" cm="1">
        <f t="array" ref="GS21">IF($C21="Production",
IFERROR(_xlfn.IFS(AND(EQ21&gt;0,EQ21+SUM(CO21:CP21)&lt;=$FM$3),EQ21,AND(EQ21&gt;0,EQ21+SUM(CO21:CP21)&gt;$FM$3),$FM$3-SUM(CO21:CP21)),0),
IFERROR(_xlfn.IFS(AND(EQ21&gt;0,EQ21+CP21&lt;=$FK$3),EQ21,AND(EQ21&gt;0,EQ21+CP21&gt;$FK$3),0),0)
)</f>
        <v>0</v>
      </c>
      <c r="GT21" s="152" cm="1">
        <f t="array" ref="GT21">IF($C21="Production",
IFERROR(_xlfn.IFS(AND(ER21&gt;0,ER21+SUM(CP21:CQ21)&lt;=$FM$3),ER21,AND(ER21&gt;0,ER21+SUM(CP21:CQ21)&gt;$FM$3),$FM$3-SUM(CP21:CQ21)),0),
IFERROR(_xlfn.IFS(AND(ER21&gt;0,ER21+CQ21&lt;=$FK$3),ER21,AND(ER21&gt;0,ER21+CQ21&gt;$FK$3),0),0)
)</f>
        <v>0</v>
      </c>
      <c r="GU21" s="152" cm="1">
        <f t="array" ref="GU21">IF($C21="Production",
IFERROR(_xlfn.IFS(AND(ES21&gt;0,ES21+SUM(CQ21:CR21)&lt;=$FM$3),ES21,AND(ES21&gt;0,ES21+SUM(CQ21:CR21)&gt;$FM$3),$FM$3-SUM(CQ21:CR21)),0),
IFERROR(_xlfn.IFS(AND(ES21&gt;0,ES21+CR21&lt;=$FK$3),ES21,AND(ES21&gt;0,ES21+CR21&gt;$FK$3),0),0)
)</f>
        <v>0</v>
      </c>
      <c r="GV21" s="152" cm="1">
        <f t="array" ref="GV21">IF($C21="Production",
IFERROR(_xlfn.IFS(AND(ET21&gt;0,ET21+SUM(CR21:CS21)&lt;=$FM$3),ET21,AND(ET21&gt;0,ET21+SUM(CR21:CS21)&gt;$FM$3),$FM$3-SUM(CR21:CS21)),0),
IFERROR(_xlfn.IFS(AND(ET21&gt;0,ET21+CS21&lt;=$FK$3),ET21,AND(ET21&gt;0,ET21+CS21&gt;$FK$3),0),0)
)</f>
        <v>0</v>
      </c>
      <c r="GW21" s="152" cm="1">
        <f t="array" ref="GW21">IF($C21="Production",
IFERROR(_xlfn.IFS(AND(EU21&gt;0,EU21+SUM(CS21:CT21)&lt;=$FM$3),EU21,AND(EU21&gt;0,EU21+SUM(CS21:CT21)&gt;$FM$3),$FM$3-SUM(CS21:CT21)),0),
IFERROR(_xlfn.IFS(AND(EU21&gt;0,EU21+CT21&lt;=$FK$3),EU21,AND(EU21&gt;0,EU21+CT21&gt;$FK$3),0),0)
)</f>
        <v>0</v>
      </c>
      <c r="GX21" s="152" cm="1">
        <f t="array" ref="GX21">IF($C21="Production",
IFERROR(_xlfn.IFS(AND(EV21&gt;0,EV21+SUM(CT21:CU21)&lt;=$FM$3),EV21,AND(EV21&gt;0,EV21+SUM(CT21:CU21)&gt;$FM$3),$FM$3-SUM(CT21:CU21)),0),
IFERROR(_xlfn.IFS(AND(EV21&gt;0,EV21+CU21&lt;=$FK$3),EV21,AND(EV21&gt;0,EV21+CU21&gt;$FK$3),0),0)
)</f>
        <v>0</v>
      </c>
      <c r="GY21" s="152" cm="1">
        <f t="array" ref="GY21">IF($C21="Production",
IFERROR(_xlfn.IFS(AND(EW21&gt;0,EW21+SUM(CU21:CV21)&lt;=$FM$3),EW21,AND(EW21&gt;0,EW21+SUM(CU21:CV21)&gt;$FM$3),$FM$3-SUM(CU21:CV21)),0),
IFERROR(_xlfn.IFS(AND(EW21&gt;0,EW21+CV21&lt;=$FK$3),EW21,AND(EW21&gt;0,EW21+CV21&gt;$FK$3),0),0)
)</f>
        <v>0</v>
      </c>
      <c r="GZ21" s="152" cm="1">
        <f t="array" ref="GZ21">IF($C21="Production",
IFERROR(_xlfn.IFS(AND(EX21&gt;0,EX21+SUM(CV21:CW21)&lt;=$FM$3),EX21,AND(EX21&gt;0,EX21+SUM(CV21:CW21)&gt;$FM$3),$FM$3-SUM(CV21:CW21)),0),
IFERROR(_xlfn.IFS(AND(EX21&gt;0,EX21+CW21&lt;=$FK$3),EX21,AND(EX21&gt;0,EX21+CW21&gt;$FK$3),0),0)
)</f>
        <v>0</v>
      </c>
      <c r="HA21" s="152" cm="1">
        <f t="array" ref="HA21">IF($C21="Production",
IFERROR(_xlfn.IFS(AND(EY21&gt;0,EY21+SUM(CW21:CX21)&lt;=$FM$3),EY21,AND(EY21&gt;0,EY21+SUM(CW21:CX21)&gt;$FM$3),$FM$3-SUM(CW21:CX21)),0),
IFERROR(_xlfn.IFS(AND(EY21&gt;0,EY21+CX21&lt;=$FK$3),EY21,AND(EY21&gt;0,EY21+CX21&gt;$FK$3),0),0)
)</f>
        <v>0</v>
      </c>
      <c r="HB21" s="152" cm="1">
        <f t="array" ref="HB21">IF($C21="Production",
IFERROR(_xlfn.IFS(AND(EZ21&gt;0,EZ21+SUM(CX21:CY21)&lt;=$FM$3),EZ21,AND(EZ21&gt;0,EZ21+SUM(CX21:CY21)&gt;$FM$3),$FM$3-SUM(CX21:CY21)),0),
IFERROR(_xlfn.IFS(AND(EZ21&gt;0,EZ21+CY21&lt;=$FK$3),EZ21,AND(EZ21&gt;0,EZ21+CY21&gt;$FK$3),0),0)
)</f>
        <v>0</v>
      </c>
      <c r="HC21" s="152" cm="1">
        <f t="array" ref="HC21">IF($C21="Production",
IFERROR(_xlfn.IFS(AND(FA21&gt;0,FA21+SUM(CY21:CZ21)&lt;=$FM$3),FA21,AND(FA21&gt;0,FA21+SUM(CY21:CZ21)&gt;$FM$3),$FM$3-SUM(CY21:CZ21)),0),
IFERROR(_xlfn.IFS(AND(FA21&gt;0,FA21+CZ21&lt;=$FK$3),FA21,AND(FA21&gt;0,FA21+CZ21&gt;$FK$3),0),0)
)</f>
        <v>0</v>
      </c>
      <c r="HD21" s="152" cm="1">
        <f t="array" ref="HD21">IF($C21="Production",
IFERROR(_xlfn.IFS(AND(FB21&gt;0,FB21+SUM(CZ21:DA21)&lt;=$FM$3),FB21,AND(FB21&gt;0,FB21+SUM(CZ21:DA21)&gt;$FM$3),$FM$3-SUM(CZ21:DA21)),0),
IFERROR(_xlfn.IFS(AND(FB21&gt;0,FB21+DA21&lt;=$FK$3),FB21,AND(FB21&gt;0,FB21+DA21&gt;$FK$3),0),0)
)</f>
        <v>0</v>
      </c>
      <c r="HE21" s="152" cm="1">
        <f t="array" ref="HE21">IF($C21="Production",
IFERROR(_xlfn.IFS(AND(FC21&gt;0,FC21+SUM(DA21:DB21)&lt;=$FM$3),FC21,AND(FC21&gt;0,FC21+SUM(DA21:DB21)&gt;$FM$3),$FM$3-SUM(DA21:DB21)),0),
IFERROR(_xlfn.IFS(AND(FC21&gt;0,FC21+DB21&lt;=$FK$3),FC21,AND(FC21&gt;0,FC21+DB21&gt;$FK$3),0),0)
)</f>
        <v>0</v>
      </c>
      <c r="HF21" s="152" cm="1">
        <f t="array" ref="HF21">IF($C21="Production",
IFERROR(_xlfn.IFS(AND(FD21&gt;0,FD21+SUM(DB21:DC21)&lt;=$FM$3),FD21,AND(FD21&gt;0,FD21+SUM(DB21:DC21)&gt;$FM$3),$FM$3-SUM(DB21:DC21)),0),
IFERROR(_xlfn.IFS(AND(FD21&gt;0,FD21+DC21&lt;=$FK$3),FD21,AND(FD21&gt;0,FD21+DC21&gt;$FK$3),0),0)
)</f>
        <v>0</v>
      </c>
      <c r="HG21" s="152" cm="1">
        <f t="array" ref="HG21">IF($C21="Production",
IFERROR(_xlfn.IFS(AND(FE21&gt;0,FE21+SUM(DC21:DD21)&lt;=$FM$3),FE21,AND(FE21&gt;0,FE21+SUM(DC21:DD21)&gt;$FM$3),$FM$3-SUM(DC21:DD21)),0),
IFERROR(_xlfn.IFS(AND(FE21&gt;0,FE21+DD21&lt;=$FK$3),FE21,AND(FE21&gt;0,FE21+DD21&gt;$FK$3),0),0)
)</f>
        <v>0</v>
      </c>
      <c r="HH21" s="152" cm="1">
        <f t="array" ref="HH21">IF($C21="Production",
IFERROR(_xlfn.IFS(AND(FF21&gt;0,FF21+SUM(DD21:DE21)&lt;=$FM$3),FF21,AND(FF21&gt;0,FF21+SUM(DD21:DE21)&gt;$FM$3),$FM$3-SUM(DD21:DE21)),0),
IFERROR(_xlfn.IFS(AND(FF21&gt;0,FF21+DE21&lt;=$FK$3),FF21,AND(FF21&gt;0,FF21+DE21&gt;$FK$3),0),0)
)</f>
        <v>0</v>
      </c>
      <c r="HI21" s="156" cm="1">
        <f t="array" ref="HI21">IF($C21="Production",
IFERROR(_xlfn.IFS(AND(FG21&gt;0,FG21+SUM(DE21:DF21)&lt;=$FM$3),FG21,AND(FG21&gt;0,FG21+SUM(DE21:DF21)&gt;$FM$3),$FM$3-SUM(DE21:DF21)),0),
IFERROR(_xlfn.IFS(AND(FG21&gt;0,FG21+DF21&lt;=$FK$3),FG21,AND(FG21&gt;0,FG21+DF21&gt;$FK$3),0),0)
)</f>
        <v>0</v>
      </c>
      <c r="HJ21" s="113">
        <f t="shared" si="110"/>
        <v>0</v>
      </c>
      <c r="HK21" s="80"/>
      <c r="HL21" s="112">
        <f t="shared" si="56"/>
        <v>0</v>
      </c>
      <c r="HM21" s="138">
        <f t="shared" si="57"/>
        <v>0</v>
      </c>
      <c r="HN21" s="138">
        <f t="shared" si="58"/>
        <v>0</v>
      </c>
      <c r="HO21" s="138">
        <f t="shared" si="59"/>
        <v>0</v>
      </c>
      <c r="HP21" s="138">
        <f t="shared" si="60"/>
        <v>0</v>
      </c>
      <c r="HQ21" s="138">
        <f t="shared" si="61"/>
        <v>0</v>
      </c>
      <c r="HR21" s="138">
        <f t="shared" si="62"/>
        <v>0</v>
      </c>
      <c r="HS21" s="138">
        <f t="shared" si="63"/>
        <v>0</v>
      </c>
      <c r="HT21" s="138">
        <f t="shared" si="64"/>
        <v>0</v>
      </c>
      <c r="HU21" s="138">
        <f t="shared" si="65"/>
        <v>0</v>
      </c>
      <c r="HV21" s="138">
        <f t="shared" si="66"/>
        <v>0</v>
      </c>
      <c r="HW21" s="138">
        <f t="shared" si="67"/>
        <v>0</v>
      </c>
      <c r="HX21" s="138">
        <f t="shared" si="68"/>
        <v>0</v>
      </c>
      <c r="HY21" s="138">
        <f t="shared" si="69"/>
        <v>0</v>
      </c>
      <c r="HZ21" s="138">
        <f t="shared" si="70"/>
        <v>0</v>
      </c>
      <c r="IA21" s="138">
        <f t="shared" si="71"/>
        <v>0</v>
      </c>
      <c r="IB21" s="138">
        <f t="shared" si="72"/>
        <v>0</v>
      </c>
      <c r="IC21" s="138">
        <f t="shared" si="73"/>
        <v>0</v>
      </c>
      <c r="ID21" s="138">
        <f t="shared" si="74"/>
        <v>0</v>
      </c>
      <c r="IE21" s="138">
        <f t="shared" si="75"/>
        <v>0</v>
      </c>
      <c r="IF21" s="138">
        <f t="shared" si="76"/>
        <v>0</v>
      </c>
      <c r="IG21" s="138">
        <f t="shared" si="77"/>
        <v>0</v>
      </c>
      <c r="IH21" s="138">
        <f t="shared" si="78"/>
        <v>0</v>
      </c>
      <c r="II21" s="138">
        <f t="shared" si="79"/>
        <v>0</v>
      </c>
      <c r="IJ21" s="138">
        <f t="shared" si="80"/>
        <v>0</v>
      </c>
      <c r="IK21" s="138">
        <f t="shared" si="81"/>
        <v>0</v>
      </c>
      <c r="IL21" s="138">
        <f t="shared" si="82"/>
        <v>0</v>
      </c>
      <c r="IM21" s="138">
        <f t="shared" si="83"/>
        <v>0</v>
      </c>
      <c r="IN21" s="138">
        <f t="shared" si="84"/>
        <v>0</v>
      </c>
      <c r="IO21" s="138">
        <f t="shared" si="85"/>
        <v>0</v>
      </c>
      <c r="IP21" s="138">
        <f t="shared" si="86"/>
        <v>0</v>
      </c>
      <c r="IQ21" s="138">
        <f t="shared" si="87"/>
        <v>0</v>
      </c>
      <c r="IR21" s="138">
        <f t="shared" si="88"/>
        <v>0</v>
      </c>
      <c r="IS21" s="138">
        <f t="shared" si="89"/>
        <v>0</v>
      </c>
      <c r="IT21" s="138">
        <f t="shared" si="90"/>
        <v>0</v>
      </c>
      <c r="IU21" s="138">
        <f t="shared" si="91"/>
        <v>0</v>
      </c>
      <c r="IV21" s="138">
        <f t="shared" si="92"/>
        <v>0</v>
      </c>
      <c r="IW21" s="138">
        <f t="shared" si="93"/>
        <v>0</v>
      </c>
      <c r="IX21" s="138">
        <f t="shared" si="94"/>
        <v>0</v>
      </c>
      <c r="IY21" s="138">
        <f t="shared" si="95"/>
        <v>0</v>
      </c>
      <c r="IZ21" s="138">
        <f t="shared" si="96"/>
        <v>0</v>
      </c>
      <c r="JA21" s="138">
        <f t="shared" si="97"/>
        <v>0</v>
      </c>
      <c r="JB21" s="138">
        <f t="shared" si="98"/>
        <v>0</v>
      </c>
      <c r="JC21" s="138">
        <f t="shared" si="99"/>
        <v>0</v>
      </c>
      <c r="JD21" s="138">
        <f t="shared" si="100"/>
        <v>0</v>
      </c>
      <c r="JE21" s="138">
        <f t="shared" si="101"/>
        <v>0</v>
      </c>
      <c r="JF21" s="138">
        <f t="shared" si="102"/>
        <v>0</v>
      </c>
      <c r="JG21" s="138">
        <f t="shared" si="103"/>
        <v>0</v>
      </c>
      <c r="JH21" s="138">
        <f t="shared" si="104"/>
        <v>0</v>
      </c>
      <c r="JI21" s="138">
        <f t="shared" si="105"/>
        <v>0</v>
      </c>
      <c r="JJ21" s="138">
        <f t="shared" si="106"/>
        <v>0</v>
      </c>
      <c r="JK21" s="138">
        <f t="shared" si="107"/>
        <v>0</v>
      </c>
      <c r="JL21" s="118">
        <f t="shared" si="111"/>
        <v>0</v>
      </c>
      <c r="JO21" s="90">
        <f t="shared" si="112"/>
        <v>0</v>
      </c>
      <c r="JP21" s="79">
        <f t="shared" si="108"/>
        <v>0</v>
      </c>
      <c r="JQ21" s="91">
        <f t="shared" si="2"/>
        <v>0</v>
      </c>
      <c r="JS21" s="123">
        <f t="shared" si="109"/>
        <v>-8.25</v>
      </c>
      <c r="JU21" s="123">
        <f t="shared" si="113"/>
        <v>-8.25</v>
      </c>
    </row>
    <row r="22" spans="2:281" x14ac:dyDescent="0.15">
      <c r="B22" s="82" t="str">
        <f>'MODU 2025'!B25</f>
        <v>FENILLE Victoria</v>
      </c>
      <c r="C22" s="82" t="str">
        <f>'MODU 2025'!C25</f>
        <v>Production</v>
      </c>
      <c r="D22" s="82">
        <f>'MODU 2025'!D25</f>
        <v>37</v>
      </c>
      <c r="E22" s="82"/>
      <c r="F22" s="133">
        <f>'MODU 2025'!G25</f>
        <v>41</v>
      </c>
      <c r="G22" s="140">
        <f>'MODU 2025'!H25</f>
        <v>32.75</v>
      </c>
      <c r="H22" s="140">
        <f>'MODU 2025'!I25</f>
        <v>42</v>
      </c>
      <c r="I22" s="140">
        <f>'MODU 2025'!J25</f>
        <v>40.75</v>
      </c>
      <c r="J22" s="140">
        <f>'MODU 2025'!K25</f>
        <v>41.25</v>
      </c>
      <c r="K22" s="140">
        <f>'MODU 2025'!L25</f>
        <v>32.5</v>
      </c>
      <c r="L22" s="140">
        <f>'MODU 2025'!M25</f>
        <v>41.25</v>
      </c>
      <c r="M22" s="140">
        <f>'MODU 2025'!N25</f>
        <v>41.75</v>
      </c>
      <c r="N22" s="140">
        <f>'MODU 2025'!O25</f>
        <v>41</v>
      </c>
      <c r="O22" s="140">
        <f>'MODU 2025'!P25</f>
        <v>33.75</v>
      </c>
      <c r="P22" s="140">
        <f>'MODU 2025'!Q25</f>
        <v>41</v>
      </c>
      <c r="Q22" s="140">
        <f>'MODU 2025'!R25</f>
        <v>33</v>
      </c>
      <c r="R22" s="140">
        <f>'MODU 2025'!S25</f>
        <v>41</v>
      </c>
      <c r="S22" s="140">
        <f>'MODU 2025'!T25</f>
        <v>33</v>
      </c>
      <c r="T22" s="140">
        <f>'MODU 2025'!U25</f>
        <v>41</v>
      </c>
      <c r="U22" s="140">
        <f>'MODU 2025'!V25</f>
        <v>33</v>
      </c>
      <c r="V22" s="140">
        <f>'MODU 2025'!W25</f>
        <v>41</v>
      </c>
      <c r="W22" s="140">
        <f>'MODU 2025'!X25</f>
        <v>33</v>
      </c>
      <c r="X22" s="140">
        <f>'MODU 2025'!Y25</f>
        <v>41</v>
      </c>
      <c r="Y22" s="140">
        <f>'MODU 2025'!Z25</f>
        <v>33</v>
      </c>
      <c r="Z22" s="140">
        <f>'MODU 2025'!AA25</f>
        <v>41</v>
      </c>
      <c r="AA22" s="140">
        <f>'MODU 2025'!AB25</f>
        <v>33</v>
      </c>
      <c r="AB22" s="140">
        <f>'MODU 2025'!AC25</f>
        <v>41</v>
      </c>
      <c r="AC22" s="140">
        <f>'MODU 2025'!AD25</f>
        <v>33</v>
      </c>
      <c r="AD22" s="140">
        <f>'MODU 2025'!AE25</f>
        <v>41</v>
      </c>
      <c r="AE22" s="140">
        <f>'MODU 2025'!AF25</f>
        <v>33</v>
      </c>
      <c r="AF22" s="140">
        <f>'MODU 2025'!AG25</f>
        <v>41</v>
      </c>
      <c r="AG22" s="140">
        <f>'MODU 2025'!AH25</f>
        <v>33</v>
      </c>
      <c r="AH22" s="140">
        <f>'MODU 2025'!AI25</f>
        <v>41</v>
      </c>
      <c r="AI22" s="140">
        <f>'MODU 2025'!AJ25</f>
        <v>33</v>
      </c>
      <c r="AJ22" s="140">
        <f>'MODU 2025'!AK25</f>
        <v>41</v>
      </c>
      <c r="AK22" s="140">
        <f>'MODU 2025'!AL25</f>
        <v>33</v>
      </c>
      <c r="AL22" s="140">
        <f>'MODU 2025'!AM25</f>
        <v>41</v>
      </c>
      <c r="AM22" s="140">
        <f>'MODU 2025'!AN25</f>
        <v>33</v>
      </c>
      <c r="AN22" s="140">
        <f>'MODU 2025'!AO25</f>
        <v>41</v>
      </c>
      <c r="AO22" s="140">
        <f>'MODU 2025'!AP25</f>
        <v>33</v>
      </c>
      <c r="AP22" s="140">
        <f>'MODU 2025'!AQ25</f>
        <v>41</v>
      </c>
      <c r="AQ22" s="140">
        <f>'MODU 2025'!AR25</f>
        <v>33</v>
      </c>
      <c r="AR22" s="140">
        <f>'MODU 2025'!AS25</f>
        <v>41</v>
      </c>
      <c r="AS22" s="140">
        <f>'MODU 2025'!AT25</f>
        <v>33</v>
      </c>
      <c r="AT22" s="140">
        <f>'MODU 2025'!AU25</f>
        <v>41</v>
      </c>
      <c r="AU22" s="140">
        <f>'MODU 2025'!AV25</f>
        <v>33</v>
      </c>
      <c r="AV22" s="140">
        <f>'MODU 2025'!AW25</f>
        <v>41</v>
      </c>
      <c r="AW22" s="140">
        <f>'MODU 2025'!AX25</f>
        <v>33</v>
      </c>
      <c r="AX22" s="140">
        <f>'MODU 2025'!AY25</f>
        <v>41</v>
      </c>
      <c r="AY22" s="140">
        <f>'MODU 2025'!AZ25</f>
        <v>33</v>
      </c>
      <c r="AZ22" s="140">
        <f>'MODU 2025'!BA25</f>
        <v>41</v>
      </c>
      <c r="BA22" s="140">
        <f>'MODU 2025'!BB25</f>
        <v>33</v>
      </c>
      <c r="BB22" s="140">
        <f>'MODU 2025'!BC25</f>
        <v>41</v>
      </c>
      <c r="BC22" s="140">
        <f>'MODU 2025'!BD25</f>
        <v>33</v>
      </c>
      <c r="BD22" s="140">
        <f>'MODU 2025'!BE25</f>
        <v>41</v>
      </c>
      <c r="BE22" s="134">
        <f>'MODU 2025'!BF25</f>
        <v>33</v>
      </c>
      <c r="BF22" s="82"/>
      <c r="BG22" s="107">
        <v>41</v>
      </c>
      <c r="BH22" s="145">
        <v>33</v>
      </c>
      <c r="BI22" s="145">
        <v>41</v>
      </c>
      <c r="BJ22" s="145">
        <v>33</v>
      </c>
      <c r="BK22" s="145">
        <v>41</v>
      </c>
      <c r="BL22" s="145">
        <v>33</v>
      </c>
      <c r="BM22" s="145">
        <v>41</v>
      </c>
      <c r="BN22" s="145">
        <v>33</v>
      </c>
      <c r="BO22" s="145">
        <v>41</v>
      </c>
      <c r="BP22" s="145">
        <v>33</v>
      </c>
      <c r="BQ22" s="145">
        <v>41</v>
      </c>
      <c r="BR22" s="145">
        <v>33</v>
      </c>
      <c r="BS22" s="145">
        <v>41</v>
      </c>
      <c r="BT22" s="145">
        <v>33</v>
      </c>
      <c r="BU22" s="145">
        <v>41</v>
      </c>
      <c r="BV22" s="145">
        <v>33</v>
      </c>
      <c r="BW22" s="145">
        <v>41</v>
      </c>
      <c r="BX22" s="145">
        <v>33</v>
      </c>
      <c r="BY22" s="145">
        <v>41</v>
      </c>
      <c r="BZ22" s="145">
        <v>33</v>
      </c>
      <c r="CA22" s="145">
        <v>41</v>
      </c>
      <c r="CB22" s="145">
        <v>33</v>
      </c>
      <c r="CC22" s="145">
        <v>41</v>
      </c>
      <c r="CD22" s="145">
        <v>33</v>
      </c>
      <c r="CE22" s="145">
        <v>41</v>
      </c>
      <c r="CF22" s="145">
        <v>33</v>
      </c>
      <c r="CG22" s="145">
        <v>41</v>
      </c>
      <c r="CH22" s="145">
        <v>33</v>
      </c>
      <c r="CI22" s="145">
        <v>41</v>
      </c>
      <c r="CJ22" s="145">
        <v>33</v>
      </c>
      <c r="CK22" s="145">
        <v>41</v>
      </c>
      <c r="CL22" s="145">
        <v>33</v>
      </c>
      <c r="CM22" s="145">
        <v>41</v>
      </c>
      <c r="CN22" s="145">
        <v>33</v>
      </c>
      <c r="CO22" s="145">
        <v>41</v>
      </c>
      <c r="CP22" s="145">
        <v>33</v>
      </c>
      <c r="CQ22" s="145">
        <v>41</v>
      </c>
      <c r="CR22" s="145">
        <v>33</v>
      </c>
      <c r="CS22" s="145">
        <v>41</v>
      </c>
      <c r="CT22" s="145">
        <v>33</v>
      </c>
      <c r="CU22" s="145">
        <v>41</v>
      </c>
      <c r="CV22" s="145">
        <v>33</v>
      </c>
      <c r="CW22" s="145">
        <v>41</v>
      </c>
      <c r="CX22" s="145">
        <v>33</v>
      </c>
      <c r="CY22" s="145">
        <v>41</v>
      </c>
      <c r="CZ22" s="145">
        <v>33</v>
      </c>
      <c r="DA22" s="145">
        <v>41</v>
      </c>
      <c r="DB22" s="145">
        <v>33</v>
      </c>
      <c r="DC22" s="145">
        <v>41</v>
      </c>
      <c r="DD22" s="145">
        <v>33</v>
      </c>
      <c r="DE22" s="145">
        <v>41</v>
      </c>
      <c r="DF22" s="108">
        <v>33</v>
      </c>
      <c r="DG22" s="84"/>
      <c r="DH22" s="112">
        <f t="shared" si="3"/>
        <v>0</v>
      </c>
      <c r="DI22" s="138">
        <f t="shared" si="4"/>
        <v>-0.25</v>
      </c>
      <c r="DJ22" s="138">
        <f t="shared" si="5"/>
        <v>0</v>
      </c>
      <c r="DK22" s="138">
        <f t="shared" si="6"/>
        <v>8.75</v>
      </c>
      <c r="DL22" s="138">
        <f t="shared" si="7"/>
        <v>0</v>
      </c>
      <c r="DM22" s="138">
        <f t="shared" si="8"/>
        <v>-0.25</v>
      </c>
      <c r="DN22" s="138">
        <f t="shared" si="9"/>
        <v>0</v>
      </c>
      <c r="DO22" s="138">
        <f t="shared" si="10"/>
        <v>9</v>
      </c>
      <c r="DP22" s="138">
        <f t="shared" si="11"/>
        <v>0</v>
      </c>
      <c r="DQ22" s="138">
        <f t="shared" si="12"/>
        <v>0.75</v>
      </c>
      <c r="DR22" s="138">
        <f t="shared" si="13"/>
        <v>0</v>
      </c>
      <c r="DS22" s="138">
        <f t="shared" si="14"/>
        <v>0</v>
      </c>
      <c r="DT22" s="138">
        <f t="shared" si="15"/>
        <v>0</v>
      </c>
      <c r="DU22" s="138">
        <f t="shared" si="16"/>
        <v>0</v>
      </c>
      <c r="DV22" s="138">
        <f t="shared" si="17"/>
        <v>0</v>
      </c>
      <c r="DW22" s="138">
        <f t="shared" si="18"/>
        <v>0</v>
      </c>
      <c r="DX22" s="138">
        <f t="shared" si="19"/>
        <v>0</v>
      </c>
      <c r="DY22" s="138">
        <f t="shared" si="20"/>
        <v>0</v>
      </c>
      <c r="DZ22" s="138">
        <f t="shared" si="21"/>
        <v>0</v>
      </c>
      <c r="EA22" s="138">
        <f t="shared" si="22"/>
        <v>0</v>
      </c>
      <c r="EB22" s="138">
        <f t="shared" si="23"/>
        <v>0</v>
      </c>
      <c r="EC22" s="138">
        <f t="shared" si="24"/>
        <v>0</v>
      </c>
      <c r="ED22" s="138">
        <f t="shared" si="25"/>
        <v>0</v>
      </c>
      <c r="EE22" s="138">
        <f t="shared" si="26"/>
        <v>0</v>
      </c>
      <c r="EF22" s="138">
        <f t="shared" si="27"/>
        <v>0</v>
      </c>
      <c r="EG22" s="138">
        <f t="shared" si="28"/>
        <v>0</v>
      </c>
      <c r="EH22" s="138">
        <f t="shared" si="29"/>
        <v>0</v>
      </c>
      <c r="EI22" s="138">
        <f t="shared" si="30"/>
        <v>0</v>
      </c>
      <c r="EJ22" s="138">
        <f t="shared" si="31"/>
        <v>0</v>
      </c>
      <c r="EK22" s="138">
        <f t="shared" si="32"/>
        <v>0</v>
      </c>
      <c r="EL22" s="138">
        <f t="shared" si="33"/>
        <v>0</v>
      </c>
      <c r="EM22" s="138">
        <f t="shared" si="34"/>
        <v>0</v>
      </c>
      <c r="EN22" s="138">
        <f t="shared" si="35"/>
        <v>0</v>
      </c>
      <c r="EO22" s="138">
        <f t="shared" si="36"/>
        <v>0</v>
      </c>
      <c r="EP22" s="138">
        <f t="shared" si="37"/>
        <v>0</v>
      </c>
      <c r="EQ22" s="138">
        <f t="shared" si="38"/>
        <v>0</v>
      </c>
      <c r="ER22" s="138">
        <f t="shared" si="39"/>
        <v>0</v>
      </c>
      <c r="ES22" s="138">
        <f t="shared" si="40"/>
        <v>0</v>
      </c>
      <c r="ET22" s="138">
        <f t="shared" si="41"/>
        <v>0</v>
      </c>
      <c r="EU22" s="138">
        <f t="shared" si="42"/>
        <v>0</v>
      </c>
      <c r="EV22" s="138">
        <f t="shared" si="43"/>
        <v>0</v>
      </c>
      <c r="EW22" s="138">
        <f t="shared" si="44"/>
        <v>0</v>
      </c>
      <c r="EX22" s="138">
        <f t="shared" si="45"/>
        <v>0</v>
      </c>
      <c r="EY22" s="138">
        <f t="shared" si="46"/>
        <v>0</v>
      </c>
      <c r="EZ22" s="138">
        <f t="shared" si="47"/>
        <v>0</v>
      </c>
      <c r="FA22" s="138">
        <f t="shared" si="48"/>
        <v>0</v>
      </c>
      <c r="FB22" s="138">
        <f t="shared" si="49"/>
        <v>0</v>
      </c>
      <c r="FC22" s="138">
        <f t="shared" si="50"/>
        <v>0</v>
      </c>
      <c r="FD22" s="138">
        <f t="shared" si="51"/>
        <v>0</v>
      </c>
      <c r="FE22" s="138">
        <f t="shared" si="52"/>
        <v>0</v>
      </c>
      <c r="FF22" s="138">
        <f t="shared" si="53"/>
        <v>0</v>
      </c>
      <c r="FG22" s="113">
        <f t="shared" si="54"/>
        <v>0</v>
      </c>
      <c r="FH22" s="113">
        <f t="shared" si="55"/>
        <v>18</v>
      </c>
      <c r="FI22" s="35"/>
      <c r="FJ22" s="151" cm="1">
        <f t="array" ref="FJ22">IF($C22="Production",
IFERROR(_xlfn.IFS(AND(DH22&gt;0,DH22+SUM(BF22:BG22)&lt;=$FM$3),DH22,AND(DH22&gt;0,DH22+SUM(BF22:BG22)&gt;$FM$3),$FM$3-SUM(BF22:BG22)),0),
IFERROR(_xlfn.IFS(AND(DH22&gt;0,DH22+BG22&lt;=$FK$3),DH22,AND(DH22&gt;0,DH22+BG22&gt;$FK$3),0),0)
)</f>
        <v>0</v>
      </c>
      <c r="FK22" s="152" cm="1">
        <f t="array" ref="FK22">IF($C22="Production",
IFERROR(_xlfn.IFS(AND(DI22&gt;0,DI22+SUM(BG22:BH22)&lt;=$FM$3),DI22,AND(DI22&gt;0,DI22+SUM(BG22:BH22)&gt;$FM$3),$FM$3-SUM(BG22:BH22)),0),
IFERROR(_xlfn.IFS(AND(DI22&gt;0,DI22+BH22&lt;=$FK$3),DI22,AND(DI22&gt;0,DI22+BH22&gt;$FK$3),0),0)
)</f>
        <v>0</v>
      </c>
      <c r="FL22" s="152" cm="1">
        <f t="array" ref="FL22">IF($C22="Production",
IFERROR(_xlfn.IFS(AND(DJ22&gt;0,DJ22+SUM(BH22:BI22)&lt;=$FM$3),DJ22,AND(DJ22&gt;0,DJ22+SUM(BH22:BI22)&gt;$FM$3),$FM$3-SUM(BH22:BI22)),0),
IFERROR(_xlfn.IFS(AND(DJ22&gt;0,DJ22+BI22&lt;=$FK$3),DJ22,AND(DJ22&gt;0,DJ22+BI22&gt;$FK$3),0),0)
)</f>
        <v>0</v>
      </c>
      <c r="FM22" s="152" cm="1">
        <f t="array" ref="FM22">IF($C22="Production",
IFERROR(_xlfn.IFS(AND(DK22&gt;0,DK22+SUM(BI22:BJ22)&lt;=$FM$3),DK22,AND(DK22&gt;0,DK22+SUM(BI22:BJ22)&gt;$FM$3),$FM$3-SUM(BI22:BJ22)),0),
IFERROR(_xlfn.IFS(AND(DK22&gt;0,DK22+BJ22&lt;=$FK$3),DK22,AND(DK22&gt;0,DK22+BJ22&gt;$FK$3),0),0)
)</f>
        <v>8.75</v>
      </c>
      <c r="FN22" s="152" cm="1">
        <f t="array" ref="FN22">IF($C22="Production",
IFERROR(_xlfn.IFS(AND(DL22&gt;0,DL22+SUM(BJ22:BK22)&lt;=$FM$3),DL22,AND(DL22&gt;0,DL22+SUM(BJ22:BK22)&gt;$FM$3),$FM$3-SUM(BJ22:BK22)),0),
IFERROR(_xlfn.IFS(AND(DL22&gt;0,DL22+BK22&lt;=$FK$3),DL22,AND(DL22&gt;0,DL22+BK22&gt;$FK$3),0),0)
)</f>
        <v>0</v>
      </c>
      <c r="FO22" s="152" cm="1">
        <f t="array" ref="FO22">IF($C22="Production",
IFERROR(_xlfn.IFS(AND(DM22&gt;0,DM22+SUM(BK22:BL22)&lt;=$FM$3),DM22,AND(DM22&gt;0,DM22+SUM(BK22:BL22)&gt;$FM$3),$FM$3-SUM(BK22:BL22)),0),
IFERROR(_xlfn.IFS(AND(DM22&gt;0,DM22+BL22&lt;=$FK$3),DM22,AND(DM22&gt;0,DM22+BL22&gt;$FK$3),0),0)
)</f>
        <v>0</v>
      </c>
      <c r="FP22" s="152" cm="1">
        <f t="array" ref="FP22">IF($C22="Production",
IFERROR(_xlfn.IFS(AND(DN22&gt;0,DN22+SUM(BL22:BM22)&lt;=$FM$3),DN22,AND(DN22&gt;0,DN22+SUM(BL22:BM22)&gt;$FM$3),$FM$3-SUM(BL22:BM22)),0),
IFERROR(_xlfn.IFS(AND(DN22&gt;0,DN22+BM22&lt;=$FK$3),DN22,AND(DN22&gt;0,DN22+BM22&gt;$FK$3),0),0)
)</f>
        <v>0</v>
      </c>
      <c r="FQ22" s="152" cm="1">
        <f t="array" ref="FQ22">IF($C22="Production",
IFERROR(_xlfn.IFS(AND(DO22&gt;0,DO22+SUM(BM22:BN22)&lt;=$FM$3),DO22,AND(DO22&gt;0,DO22+SUM(BM22:BN22)&gt;$FM$3),$FM$3-SUM(BM22:BN22)),0),
IFERROR(_xlfn.IFS(AND(DO22&gt;0,DO22+BN22&lt;=$FK$3),DO22,AND(DO22&gt;0,DO22+BN22&gt;$FK$3),0),0)
)</f>
        <v>9</v>
      </c>
      <c r="FR22" s="152" cm="1">
        <f t="array" ref="FR22">IF($C22="Production",
IFERROR(_xlfn.IFS(AND(DP22&gt;0,DP22+SUM(BN22:BO22)&lt;=$FM$3),DP22,AND(DP22&gt;0,DP22+SUM(BN22:BO22)&gt;$FM$3),$FM$3-SUM(BN22:BO22)),0),
IFERROR(_xlfn.IFS(AND(DP22&gt;0,DP22+BO22&lt;=$FK$3),DP22,AND(DP22&gt;0,DP22+BO22&gt;$FK$3),0),0)
)</f>
        <v>0</v>
      </c>
      <c r="FS22" s="152" cm="1">
        <f t="array" ref="FS22">IF($C22="Production",
IFERROR(_xlfn.IFS(AND(DQ22&gt;0,DQ22+SUM(BO22:BP22)&lt;=$FM$3),DQ22,AND(DQ22&gt;0,DQ22+SUM(BO22:BP22)&gt;$FM$3),$FM$3-SUM(BO22:BP22)),0),
IFERROR(_xlfn.IFS(AND(DQ22&gt;0,DQ22+BP22&lt;=$FK$3),DQ22,AND(DQ22&gt;0,DQ22+BP22&gt;$FK$3),0),0)
)</f>
        <v>0.75</v>
      </c>
      <c r="FT22" s="152" cm="1">
        <f t="array" ref="FT22">IF($C22="Production",
IFERROR(_xlfn.IFS(AND(DR22&gt;0,DR22+SUM(BP22:BQ22)&lt;=$FM$3),DR22,AND(DR22&gt;0,DR22+SUM(BP22:BQ22)&gt;$FM$3),$FM$3-SUM(BP22:BQ22)),0),
IFERROR(_xlfn.IFS(AND(DR22&gt;0,DR22+BQ22&lt;=$FK$3),DR22,AND(DR22&gt;0,DR22+BQ22&gt;$FK$3),0),0)
)</f>
        <v>0</v>
      </c>
      <c r="FU22" s="152" cm="1">
        <f t="array" ref="FU22">IF($C22="Production",
IFERROR(_xlfn.IFS(AND(DS22&gt;0,DS22+SUM(BQ22:BR22)&lt;=$FM$3),DS22,AND(DS22&gt;0,DS22+SUM(BQ22:BR22)&gt;$FM$3),$FM$3-SUM(BQ22:BR22)),0),
IFERROR(_xlfn.IFS(AND(DS22&gt;0,DS22+BR22&lt;=$FK$3),DS22,AND(DS22&gt;0,DS22+BR22&gt;$FK$3),0),0)
)</f>
        <v>0</v>
      </c>
      <c r="FV22" s="152" cm="1">
        <f t="array" ref="FV22">IF($C22="Production",
IFERROR(_xlfn.IFS(AND(DT22&gt;0,DT22+SUM(BR22:BS22)&lt;=$FM$3),DT22,AND(DT22&gt;0,DT22+SUM(BR22:BS22)&gt;$FM$3),$FM$3-SUM(BR22:BS22)),0),
IFERROR(_xlfn.IFS(AND(DT22&gt;0,DT22+BS22&lt;=$FK$3),DT22,AND(DT22&gt;0,DT22+BS22&gt;$FK$3),0),0)
)</f>
        <v>0</v>
      </c>
      <c r="FW22" s="152" cm="1">
        <f t="array" ref="FW22">IF($C22="Production",
IFERROR(_xlfn.IFS(AND(DU22&gt;0,DU22+SUM(BS22:BT22)&lt;=$FM$3),DU22,AND(DU22&gt;0,DU22+SUM(BS22:BT22)&gt;$FM$3),$FM$3-SUM(BS22:BT22)),0),
IFERROR(_xlfn.IFS(AND(DU22&gt;0,DU22+BT22&lt;=$FK$3),DU22,AND(DU22&gt;0,DU22+BT22&gt;$FK$3),0),0)
)</f>
        <v>0</v>
      </c>
      <c r="FX22" s="152" cm="1">
        <f t="array" ref="FX22">IF($C22="Production",
IFERROR(_xlfn.IFS(AND(DV22&gt;0,DV22+SUM(BT22:BU22)&lt;=$FM$3),DV22,AND(DV22&gt;0,DV22+SUM(BT22:BU22)&gt;$FM$3),$FM$3-SUM(BT22:BU22)),0),
IFERROR(_xlfn.IFS(AND(DV22&gt;0,DV22+BU22&lt;=$FK$3),DV22,AND(DV22&gt;0,DV22+BU22&gt;$FK$3),0),0)
)</f>
        <v>0</v>
      </c>
      <c r="FY22" s="152" cm="1">
        <f t="array" ref="FY22">IF($C22="Production",
IFERROR(_xlfn.IFS(AND(DW22&gt;0,DW22+SUM(BU22:BV22)&lt;=$FM$3),DW22,AND(DW22&gt;0,DW22+SUM(BU22:BV22)&gt;$FM$3),$FM$3-SUM(BU22:BV22)),0),
IFERROR(_xlfn.IFS(AND(DW22&gt;0,DW22+BV22&lt;=$FK$3),DW22,AND(DW22&gt;0,DW22+BV22&gt;$FK$3),0),0)
)</f>
        <v>0</v>
      </c>
      <c r="FZ22" s="152" cm="1">
        <f t="array" ref="FZ22">IF($C22="Production",
IFERROR(_xlfn.IFS(AND(DX22&gt;0,DX22+SUM(BV22:BW22)&lt;=$FM$3),DX22,AND(DX22&gt;0,DX22+SUM(BV22:BW22)&gt;$FM$3),$FM$3-SUM(BV22:BW22)),0),
IFERROR(_xlfn.IFS(AND(DX22&gt;0,DX22+BW22&lt;=$FK$3),DX22,AND(DX22&gt;0,DX22+BW22&gt;$FK$3),0),0)
)</f>
        <v>0</v>
      </c>
      <c r="GA22" s="152" cm="1">
        <f t="array" ref="GA22">IF($C22="Production",
IFERROR(_xlfn.IFS(AND(DY22&gt;0,DY22+SUM(BW22:BX22)&lt;=$FM$3),DY22,AND(DY22&gt;0,DY22+SUM(BW22:BX22)&gt;$FM$3),$FM$3-SUM(BW22:BX22)),0),
IFERROR(_xlfn.IFS(AND(DY22&gt;0,DY22+BX22&lt;=$FK$3),DY22,AND(DY22&gt;0,DY22+BX22&gt;$FK$3),0),0)
)</f>
        <v>0</v>
      </c>
      <c r="GB22" s="152" cm="1">
        <f t="array" ref="GB22">IF($C22="Production",
IFERROR(_xlfn.IFS(AND(DZ22&gt;0,DZ22+SUM(BX22:BY22)&lt;=$FM$3),DZ22,AND(DZ22&gt;0,DZ22+SUM(BX22:BY22)&gt;$FM$3),$FM$3-SUM(BX22:BY22)),0),
IFERROR(_xlfn.IFS(AND(DZ22&gt;0,DZ22+BY22&lt;=$FK$3),DZ22,AND(DZ22&gt;0,DZ22+BY22&gt;$FK$3),0),0)
)</f>
        <v>0</v>
      </c>
      <c r="GC22" s="152" cm="1">
        <f t="array" ref="GC22">IF($C22="Production",
IFERROR(_xlfn.IFS(AND(EA22&gt;0,EA22+SUM(BY22:BZ22)&lt;=$FM$3),EA22,AND(EA22&gt;0,EA22+SUM(BY22:BZ22)&gt;$FM$3),$FM$3-SUM(BY22:BZ22)),0),
IFERROR(_xlfn.IFS(AND(EA22&gt;0,EA22+BZ22&lt;=$FK$3),EA22,AND(EA22&gt;0,EA22+BZ22&gt;$FK$3),0),0)
)</f>
        <v>0</v>
      </c>
      <c r="GD22" s="152" cm="1">
        <f t="array" ref="GD22">IF($C22="Production",
IFERROR(_xlfn.IFS(AND(EB22&gt;0,EB22+SUM(BZ22:CA22)&lt;=$FM$3),EB22,AND(EB22&gt;0,EB22+SUM(BZ22:CA22)&gt;$FM$3),$FM$3-SUM(BZ22:CA22)),0),
IFERROR(_xlfn.IFS(AND(EB22&gt;0,EB22+CA22&lt;=$FK$3),EB22,AND(EB22&gt;0,EB22+CA22&gt;$FK$3),0),0)
)</f>
        <v>0</v>
      </c>
      <c r="GE22" s="152" cm="1">
        <f t="array" ref="GE22">IF($C22="Production",
IFERROR(_xlfn.IFS(AND(EC22&gt;0,EC22+SUM(CA22:CB22)&lt;=$FM$3),EC22,AND(EC22&gt;0,EC22+SUM(CA22:CB22)&gt;$FM$3),$FM$3-SUM(CA22:CB22)),0),
IFERROR(_xlfn.IFS(AND(EC22&gt;0,EC22+CB22&lt;=$FK$3),EC22,AND(EC22&gt;0,EC22+CB22&gt;$FK$3),0),0)
)</f>
        <v>0</v>
      </c>
      <c r="GF22" s="152" cm="1">
        <f t="array" ref="GF22">IF($C22="Production",
IFERROR(_xlfn.IFS(AND(ED22&gt;0,ED22+SUM(CB22:CC22)&lt;=$FM$3),ED22,AND(ED22&gt;0,ED22+SUM(CB22:CC22)&gt;$FM$3),$FM$3-SUM(CB22:CC22)),0),
IFERROR(_xlfn.IFS(AND(ED22&gt;0,ED22+CC22&lt;=$FK$3),ED22,AND(ED22&gt;0,ED22+CC22&gt;$FK$3),0),0)
)</f>
        <v>0</v>
      </c>
      <c r="GG22" s="152" cm="1">
        <f t="array" ref="GG22">IF($C22="Production",
IFERROR(_xlfn.IFS(AND(EE22&gt;0,EE22+SUM(CC22:CD22)&lt;=$FM$3),EE22,AND(EE22&gt;0,EE22+SUM(CC22:CD22)&gt;$FM$3),$FM$3-SUM(CC22:CD22)),0),
IFERROR(_xlfn.IFS(AND(EE22&gt;0,EE22+CD22&lt;=$FK$3),EE22,AND(EE22&gt;0,EE22+CD22&gt;$FK$3),0),0)
)</f>
        <v>0</v>
      </c>
      <c r="GH22" s="152" cm="1">
        <f t="array" ref="GH22">IF($C22="Production",
IFERROR(_xlfn.IFS(AND(EF22&gt;0,EF22+SUM(CD22:CE22)&lt;=$FM$3),EF22,AND(EF22&gt;0,EF22+SUM(CD22:CE22)&gt;$FM$3),$FM$3-SUM(CD22:CE22)),0),
IFERROR(_xlfn.IFS(AND(EF22&gt;0,EF22+CE22&lt;=$FK$3),EF22,AND(EF22&gt;0,EF22+CE22&gt;$FK$3),0),0)
)</f>
        <v>0</v>
      </c>
      <c r="GI22" s="152" cm="1">
        <f t="array" ref="GI22">IF($C22="Production",
IFERROR(_xlfn.IFS(AND(EG22&gt;0,EG22+SUM(CE22:CF22)&lt;=$FM$3),EG22,AND(EG22&gt;0,EG22+SUM(CE22:CF22)&gt;$FM$3),$FM$3-SUM(CE22:CF22)),0),
IFERROR(_xlfn.IFS(AND(EG22&gt;0,EG22+CF22&lt;=$FK$3),EG22,AND(EG22&gt;0,EG22+CF22&gt;$FK$3),0),0)
)</f>
        <v>0</v>
      </c>
      <c r="GJ22" s="152" cm="1">
        <f t="array" ref="GJ22">IF($C22="Production",
IFERROR(_xlfn.IFS(AND(EH22&gt;0,EH22+SUM(CF22:CG22)&lt;=$FM$3),EH22,AND(EH22&gt;0,EH22+SUM(CF22:CG22)&gt;$FM$3),$FM$3-SUM(CF22:CG22)),0),
IFERROR(_xlfn.IFS(AND(EH22&gt;0,EH22+CG22&lt;=$FK$3),EH22,AND(EH22&gt;0,EH22+CG22&gt;$FK$3),0),0)
)</f>
        <v>0</v>
      </c>
      <c r="GK22" s="152" cm="1">
        <f t="array" ref="GK22">IF($C22="Production",
IFERROR(_xlfn.IFS(AND(EI22&gt;0,EI22+SUM(CG22:CH22)&lt;=$FM$3),EI22,AND(EI22&gt;0,EI22+SUM(CG22:CH22)&gt;$FM$3),$FM$3-SUM(CG22:CH22)),0),
IFERROR(_xlfn.IFS(AND(EI22&gt;0,EI22+CH22&lt;=$FK$3),EI22,AND(EI22&gt;0,EI22+CH22&gt;$FK$3),0),0)
)</f>
        <v>0</v>
      </c>
      <c r="GL22" s="152" cm="1">
        <f t="array" ref="GL22">IF($C22="Production",
IFERROR(_xlfn.IFS(AND(EJ22&gt;0,EJ22+SUM(CH22:CI22)&lt;=$FM$3),EJ22,AND(EJ22&gt;0,EJ22+SUM(CH22:CI22)&gt;$FM$3),$FM$3-SUM(CH22:CI22)),0),
IFERROR(_xlfn.IFS(AND(EJ22&gt;0,EJ22+CI22&lt;=$FK$3),EJ22,AND(EJ22&gt;0,EJ22+CI22&gt;$FK$3),0),0)
)</f>
        <v>0</v>
      </c>
      <c r="GM22" s="152" cm="1">
        <f t="array" ref="GM22">IF($C22="Production",
IFERROR(_xlfn.IFS(AND(EK22&gt;0,EK22+SUM(CI22:CJ22)&lt;=$FM$3),EK22,AND(EK22&gt;0,EK22+SUM(CI22:CJ22)&gt;$FM$3),$FM$3-SUM(CI22:CJ22)),0),
IFERROR(_xlfn.IFS(AND(EK22&gt;0,EK22+CJ22&lt;=$FK$3),EK22,AND(EK22&gt;0,EK22+CJ22&gt;$FK$3),0),0)
)</f>
        <v>0</v>
      </c>
      <c r="GN22" s="152" cm="1">
        <f t="array" ref="GN22">IF($C22="Production",
IFERROR(_xlfn.IFS(AND(EL22&gt;0,EL22+SUM(CJ22:CK22)&lt;=$FM$3),EL22,AND(EL22&gt;0,EL22+SUM(CJ22:CK22)&gt;$FM$3),$FM$3-SUM(CJ22:CK22)),0),
IFERROR(_xlfn.IFS(AND(EL22&gt;0,EL22+CK22&lt;=$FK$3),EL22,AND(EL22&gt;0,EL22+CK22&gt;$FK$3),0),0)
)</f>
        <v>0</v>
      </c>
      <c r="GO22" s="152" cm="1">
        <f t="array" ref="GO22">IF($C22="Production",
IFERROR(_xlfn.IFS(AND(EM22&gt;0,EM22+SUM(CK22:CL22)&lt;=$FM$3),EM22,AND(EM22&gt;0,EM22+SUM(CK22:CL22)&gt;$FM$3),$FM$3-SUM(CK22:CL22)),0),
IFERROR(_xlfn.IFS(AND(EM22&gt;0,EM22+CL22&lt;=$FK$3),EM22,AND(EM22&gt;0,EM22+CL22&gt;$FK$3),0),0)
)</f>
        <v>0</v>
      </c>
      <c r="GP22" s="152" cm="1">
        <f t="array" ref="GP22">IF($C22="Production",
IFERROR(_xlfn.IFS(AND(EN22&gt;0,EN22+SUM(CL22:CM22)&lt;=$FM$3),EN22,AND(EN22&gt;0,EN22+SUM(CL22:CM22)&gt;$FM$3),$FM$3-SUM(CL22:CM22)),0),
IFERROR(_xlfn.IFS(AND(EN22&gt;0,EN22+CM22&lt;=$FK$3),EN22,AND(EN22&gt;0,EN22+CM22&gt;$FK$3),0),0)
)</f>
        <v>0</v>
      </c>
      <c r="GQ22" s="152" cm="1">
        <f t="array" ref="GQ22">IF($C22="Production",
IFERROR(_xlfn.IFS(AND(EO22&gt;0,EO22+SUM(CM22:CN22)&lt;=$FM$3),EO22,AND(EO22&gt;0,EO22+SUM(CM22:CN22)&gt;$FM$3),$FM$3-SUM(CM22:CN22)),0),
IFERROR(_xlfn.IFS(AND(EO22&gt;0,EO22+CN22&lt;=$FK$3),EO22,AND(EO22&gt;0,EO22+CN22&gt;$FK$3),0),0)
)</f>
        <v>0</v>
      </c>
      <c r="GR22" s="152" cm="1">
        <f t="array" ref="GR22">IF($C22="Production",
IFERROR(_xlfn.IFS(AND(EP22&gt;0,EP22+SUM(CN22:CO22)&lt;=$FM$3),EP22,AND(EP22&gt;0,EP22+SUM(CN22:CO22)&gt;$FM$3),$FM$3-SUM(CN22:CO22)),0),
IFERROR(_xlfn.IFS(AND(EP22&gt;0,EP22+CO22&lt;=$FK$3),EP22,AND(EP22&gt;0,EP22+CO22&gt;$FK$3),0),0)
)</f>
        <v>0</v>
      </c>
      <c r="GS22" s="152" cm="1">
        <f t="array" ref="GS22">IF($C22="Production",
IFERROR(_xlfn.IFS(AND(EQ22&gt;0,EQ22+SUM(CO22:CP22)&lt;=$FM$3),EQ22,AND(EQ22&gt;0,EQ22+SUM(CO22:CP22)&gt;$FM$3),$FM$3-SUM(CO22:CP22)),0),
IFERROR(_xlfn.IFS(AND(EQ22&gt;0,EQ22+CP22&lt;=$FK$3),EQ22,AND(EQ22&gt;0,EQ22+CP22&gt;$FK$3),0),0)
)</f>
        <v>0</v>
      </c>
      <c r="GT22" s="152" cm="1">
        <f t="array" ref="GT22">IF($C22="Production",
IFERROR(_xlfn.IFS(AND(ER22&gt;0,ER22+SUM(CP22:CQ22)&lt;=$FM$3),ER22,AND(ER22&gt;0,ER22+SUM(CP22:CQ22)&gt;$FM$3),$FM$3-SUM(CP22:CQ22)),0),
IFERROR(_xlfn.IFS(AND(ER22&gt;0,ER22+CQ22&lt;=$FK$3),ER22,AND(ER22&gt;0,ER22+CQ22&gt;$FK$3),0),0)
)</f>
        <v>0</v>
      </c>
      <c r="GU22" s="152" cm="1">
        <f t="array" ref="GU22">IF($C22="Production",
IFERROR(_xlfn.IFS(AND(ES22&gt;0,ES22+SUM(CQ22:CR22)&lt;=$FM$3),ES22,AND(ES22&gt;0,ES22+SUM(CQ22:CR22)&gt;$FM$3),$FM$3-SUM(CQ22:CR22)),0),
IFERROR(_xlfn.IFS(AND(ES22&gt;0,ES22+CR22&lt;=$FK$3),ES22,AND(ES22&gt;0,ES22+CR22&gt;$FK$3),0),0)
)</f>
        <v>0</v>
      </c>
      <c r="GV22" s="152" cm="1">
        <f t="array" ref="GV22">IF($C22="Production",
IFERROR(_xlfn.IFS(AND(ET22&gt;0,ET22+SUM(CR22:CS22)&lt;=$FM$3),ET22,AND(ET22&gt;0,ET22+SUM(CR22:CS22)&gt;$FM$3),$FM$3-SUM(CR22:CS22)),0),
IFERROR(_xlfn.IFS(AND(ET22&gt;0,ET22+CS22&lt;=$FK$3),ET22,AND(ET22&gt;0,ET22+CS22&gt;$FK$3),0),0)
)</f>
        <v>0</v>
      </c>
      <c r="GW22" s="152" cm="1">
        <f t="array" ref="GW22">IF($C22="Production",
IFERROR(_xlfn.IFS(AND(EU22&gt;0,EU22+SUM(CS22:CT22)&lt;=$FM$3),EU22,AND(EU22&gt;0,EU22+SUM(CS22:CT22)&gt;$FM$3),$FM$3-SUM(CS22:CT22)),0),
IFERROR(_xlfn.IFS(AND(EU22&gt;0,EU22+CT22&lt;=$FK$3),EU22,AND(EU22&gt;0,EU22+CT22&gt;$FK$3),0),0)
)</f>
        <v>0</v>
      </c>
      <c r="GX22" s="152" cm="1">
        <f t="array" ref="GX22">IF($C22="Production",
IFERROR(_xlfn.IFS(AND(EV22&gt;0,EV22+SUM(CT22:CU22)&lt;=$FM$3),EV22,AND(EV22&gt;0,EV22+SUM(CT22:CU22)&gt;$FM$3),$FM$3-SUM(CT22:CU22)),0),
IFERROR(_xlfn.IFS(AND(EV22&gt;0,EV22+CU22&lt;=$FK$3),EV22,AND(EV22&gt;0,EV22+CU22&gt;$FK$3),0),0)
)</f>
        <v>0</v>
      </c>
      <c r="GY22" s="152" cm="1">
        <f t="array" ref="GY22">IF($C22="Production",
IFERROR(_xlfn.IFS(AND(EW22&gt;0,EW22+SUM(CU22:CV22)&lt;=$FM$3),EW22,AND(EW22&gt;0,EW22+SUM(CU22:CV22)&gt;$FM$3),$FM$3-SUM(CU22:CV22)),0),
IFERROR(_xlfn.IFS(AND(EW22&gt;0,EW22+CV22&lt;=$FK$3),EW22,AND(EW22&gt;0,EW22+CV22&gt;$FK$3),0),0)
)</f>
        <v>0</v>
      </c>
      <c r="GZ22" s="152" cm="1">
        <f t="array" ref="GZ22">IF($C22="Production",
IFERROR(_xlfn.IFS(AND(EX22&gt;0,EX22+SUM(CV22:CW22)&lt;=$FM$3),EX22,AND(EX22&gt;0,EX22+SUM(CV22:CW22)&gt;$FM$3),$FM$3-SUM(CV22:CW22)),0),
IFERROR(_xlfn.IFS(AND(EX22&gt;0,EX22+CW22&lt;=$FK$3),EX22,AND(EX22&gt;0,EX22+CW22&gt;$FK$3),0),0)
)</f>
        <v>0</v>
      </c>
      <c r="HA22" s="152" cm="1">
        <f t="array" ref="HA22">IF($C22="Production",
IFERROR(_xlfn.IFS(AND(EY22&gt;0,EY22+SUM(CW22:CX22)&lt;=$FM$3),EY22,AND(EY22&gt;0,EY22+SUM(CW22:CX22)&gt;$FM$3),$FM$3-SUM(CW22:CX22)),0),
IFERROR(_xlfn.IFS(AND(EY22&gt;0,EY22+CX22&lt;=$FK$3),EY22,AND(EY22&gt;0,EY22+CX22&gt;$FK$3),0),0)
)</f>
        <v>0</v>
      </c>
      <c r="HB22" s="152" cm="1">
        <f t="array" ref="HB22">IF($C22="Production",
IFERROR(_xlfn.IFS(AND(EZ22&gt;0,EZ22+SUM(CX22:CY22)&lt;=$FM$3),EZ22,AND(EZ22&gt;0,EZ22+SUM(CX22:CY22)&gt;$FM$3),$FM$3-SUM(CX22:CY22)),0),
IFERROR(_xlfn.IFS(AND(EZ22&gt;0,EZ22+CY22&lt;=$FK$3),EZ22,AND(EZ22&gt;0,EZ22+CY22&gt;$FK$3),0),0)
)</f>
        <v>0</v>
      </c>
      <c r="HC22" s="152" cm="1">
        <f t="array" ref="HC22">IF($C22="Production",
IFERROR(_xlfn.IFS(AND(FA22&gt;0,FA22+SUM(CY22:CZ22)&lt;=$FM$3),FA22,AND(FA22&gt;0,FA22+SUM(CY22:CZ22)&gt;$FM$3),$FM$3-SUM(CY22:CZ22)),0),
IFERROR(_xlfn.IFS(AND(FA22&gt;0,FA22+CZ22&lt;=$FK$3),FA22,AND(FA22&gt;0,FA22+CZ22&gt;$FK$3),0),0)
)</f>
        <v>0</v>
      </c>
      <c r="HD22" s="152" cm="1">
        <f t="array" ref="HD22">IF($C22="Production",
IFERROR(_xlfn.IFS(AND(FB22&gt;0,FB22+SUM(CZ22:DA22)&lt;=$FM$3),FB22,AND(FB22&gt;0,FB22+SUM(CZ22:DA22)&gt;$FM$3),$FM$3-SUM(CZ22:DA22)),0),
IFERROR(_xlfn.IFS(AND(FB22&gt;0,FB22+DA22&lt;=$FK$3),FB22,AND(FB22&gt;0,FB22+DA22&gt;$FK$3),0),0)
)</f>
        <v>0</v>
      </c>
      <c r="HE22" s="152" cm="1">
        <f t="array" ref="HE22">IF($C22="Production",
IFERROR(_xlfn.IFS(AND(FC22&gt;0,FC22+SUM(DA22:DB22)&lt;=$FM$3),FC22,AND(FC22&gt;0,FC22+SUM(DA22:DB22)&gt;$FM$3),$FM$3-SUM(DA22:DB22)),0),
IFERROR(_xlfn.IFS(AND(FC22&gt;0,FC22+DB22&lt;=$FK$3),FC22,AND(FC22&gt;0,FC22+DB22&gt;$FK$3),0),0)
)</f>
        <v>0</v>
      </c>
      <c r="HF22" s="152" cm="1">
        <f t="array" ref="HF22">IF($C22="Production",
IFERROR(_xlfn.IFS(AND(FD22&gt;0,FD22+SUM(DB22:DC22)&lt;=$FM$3),FD22,AND(FD22&gt;0,FD22+SUM(DB22:DC22)&gt;$FM$3),$FM$3-SUM(DB22:DC22)),0),
IFERROR(_xlfn.IFS(AND(FD22&gt;0,FD22+DC22&lt;=$FK$3),FD22,AND(FD22&gt;0,FD22+DC22&gt;$FK$3),0),0)
)</f>
        <v>0</v>
      </c>
      <c r="HG22" s="152" cm="1">
        <f t="array" ref="HG22">IF($C22="Production",
IFERROR(_xlfn.IFS(AND(FE22&gt;0,FE22+SUM(DC22:DD22)&lt;=$FM$3),FE22,AND(FE22&gt;0,FE22+SUM(DC22:DD22)&gt;$FM$3),$FM$3-SUM(DC22:DD22)),0),
IFERROR(_xlfn.IFS(AND(FE22&gt;0,FE22+DD22&lt;=$FK$3),FE22,AND(FE22&gt;0,FE22+DD22&gt;$FK$3),0),0)
)</f>
        <v>0</v>
      </c>
      <c r="HH22" s="152" cm="1">
        <f t="array" ref="HH22">IF($C22="Production",
IFERROR(_xlfn.IFS(AND(FF22&gt;0,FF22+SUM(DD22:DE22)&lt;=$FM$3),FF22,AND(FF22&gt;0,FF22+SUM(DD22:DE22)&gt;$FM$3),$FM$3-SUM(DD22:DE22)),0),
IFERROR(_xlfn.IFS(AND(FF22&gt;0,FF22+DE22&lt;=$FK$3),FF22,AND(FF22&gt;0,FF22+DE22&gt;$FK$3),0),0)
)</f>
        <v>0</v>
      </c>
      <c r="HI22" s="156" cm="1">
        <f t="array" ref="HI22">IF($C22="Production",
IFERROR(_xlfn.IFS(AND(FG22&gt;0,FG22+SUM(DE22:DF22)&lt;=$FM$3),FG22,AND(FG22&gt;0,FG22+SUM(DE22:DF22)&gt;$FM$3),$FM$3-SUM(DE22:DF22)),0),
IFERROR(_xlfn.IFS(AND(FG22&gt;0,FG22+DF22&lt;=$FK$3),FG22,AND(FG22&gt;0,FG22+DF22&gt;$FK$3),0),0)
)</f>
        <v>0</v>
      </c>
      <c r="HJ22" s="113">
        <f t="shared" si="110"/>
        <v>18.5</v>
      </c>
      <c r="HK22" s="80"/>
      <c r="HL22" s="112">
        <f t="shared" si="56"/>
        <v>0</v>
      </c>
      <c r="HM22" s="138">
        <f t="shared" si="57"/>
        <v>0</v>
      </c>
      <c r="HN22" s="138">
        <f t="shared" si="58"/>
        <v>0</v>
      </c>
      <c r="HO22" s="138">
        <f t="shared" si="59"/>
        <v>0</v>
      </c>
      <c r="HP22" s="138">
        <f t="shared" si="60"/>
        <v>0</v>
      </c>
      <c r="HQ22" s="138">
        <f t="shared" si="61"/>
        <v>0</v>
      </c>
      <c r="HR22" s="138">
        <f t="shared" si="62"/>
        <v>0</v>
      </c>
      <c r="HS22" s="138">
        <f t="shared" si="63"/>
        <v>0</v>
      </c>
      <c r="HT22" s="138">
        <f t="shared" si="64"/>
        <v>0</v>
      </c>
      <c r="HU22" s="138">
        <f t="shared" si="65"/>
        <v>0</v>
      </c>
      <c r="HV22" s="138">
        <f t="shared" si="66"/>
        <v>0</v>
      </c>
      <c r="HW22" s="138">
        <f t="shared" si="67"/>
        <v>0</v>
      </c>
      <c r="HX22" s="138">
        <f t="shared" si="68"/>
        <v>0</v>
      </c>
      <c r="HY22" s="138">
        <f t="shared" si="69"/>
        <v>0</v>
      </c>
      <c r="HZ22" s="138">
        <f t="shared" si="70"/>
        <v>0</v>
      </c>
      <c r="IA22" s="138">
        <f t="shared" si="71"/>
        <v>0</v>
      </c>
      <c r="IB22" s="138">
        <f t="shared" si="72"/>
        <v>0</v>
      </c>
      <c r="IC22" s="138">
        <f t="shared" si="73"/>
        <v>0</v>
      </c>
      <c r="ID22" s="138">
        <f t="shared" si="74"/>
        <v>0</v>
      </c>
      <c r="IE22" s="138">
        <f t="shared" si="75"/>
        <v>0</v>
      </c>
      <c r="IF22" s="138">
        <f t="shared" si="76"/>
        <v>0</v>
      </c>
      <c r="IG22" s="138">
        <f t="shared" si="77"/>
        <v>0</v>
      </c>
      <c r="IH22" s="138">
        <f t="shared" si="78"/>
        <v>0</v>
      </c>
      <c r="II22" s="138">
        <f t="shared" si="79"/>
        <v>0</v>
      </c>
      <c r="IJ22" s="138">
        <f t="shared" si="80"/>
        <v>0</v>
      </c>
      <c r="IK22" s="138">
        <f t="shared" si="81"/>
        <v>0</v>
      </c>
      <c r="IL22" s="138">
        <f t="shared" si="82"/>
        <v>0</v>
      </c>
      <c r="IM22" s="138">
        <f t="shared" si="83"/>
        <v>0</v>
      </c>
      <c r="IN22" s="138">
        <f t="shared" si="84"/>
        <v>0</v>
      </c>
      <c r="IO22" s="138">
        <f t="shared" si="85"/>
        <v>0</v>
      </c>
      <c r="IP22" s="138">
        <f t="shared" si="86"/>
        <v>0</v>
      </c>
      <c r="IQ22" s="138">
        <f t="shared" si="87"/>
        <v>0</v>
      </c>
      <c r="IR22" s="138">
        <f t="shared" si="88"/>
        <v>0</v>
      </c>
      <c r="IS22" s="138">
        <f t="shared" si="89"/>
        <v>0</v>
      </c>
      <c r="IT22" s="138">
        <f t="shared" si="90"/>
        <v>0</v>
      </c>
      <c r="IU22" s="138">
        <f t="shared" si="91"/>
        <v>0</v>
      </c>
      <c r="IV22" s="138">
        <f t="shared" si="92"/>
        <v>0</v>
      </c>
      <c r="IW22" s="138">
        <f t="shared" si="93"/>
        <v>0</v>
      </c>
      <c r="IX22" s="138">
        <f t="shared" si="94"/>
        <v>0</v>
      </c>
      <c r="IY22" s="138">
        <f t="shared" si="95"/>
        <v>0</v>
      </c>
      <c r="IZ22" s="138">
        <f t="shared" si="96"/>
        <v>0</v>
      </c>
      <c r="JA22" s="138">
        <f t="shared" si="97"/>
        <v>0</v>
      </c>
      <c r="JB22" s="138">
        <f t="shared" si="98"/>
        <v>0</v>
      </c>
      <c r="JC22" s="138">
        <f t="shared" si="99"/>
        <v>0</v>
      </c>
      <c r="JD22" s="138">
        <f t="shared" si="100"/>
        <v>0</v>
      </c>
      <c r="JE22" s="138">
        <f t="shared" si="101"/>
        <v>0</v>
      </c>
      <c r="JF22" s="138">
        <f t="shared" si="102"/>
        <v>0</v>
      </c>
      <c r="JG22" s="138">
        <f t="shared" si="103"/>
        <v>0</v>
      </c>
      <c r="JH22" s="138">
        <f t="shared" si="104"/>
        <v>0</v>
      </c>
      <c r="JI22" s="138">
        <f t="shared" si="105"/>
        <v>0</v>
      </c>
      <c r="JJ22" s="138">
        <f t="shared" si="106"/>
        <v>0</v>
      </c>
      <c r="JK22" s="138">
        <f t="shared" si="107"/>
        <v>0</v>
      </c>
      <c r="JL22" s="118">
        <f t="shared" si="111"/>
        <v>0</v>
      </c>
      <c r="JO22" s="90">
        <f t="shared" si="112"/>
        <v>18.5</v>
      </c>
      <c r="JP22" s="79">
        <f t="shared" si="108"/>
        <v>0</v>
      </c>
      <c r="JQ22" s="91">
        <f t="shared" si="2"/>
        <v>23.125</v>
      </c>
      <c r="JS22" s="123">
        <f t="shared" si="109"/>
        <v>-0.5</v>
      </c>
      <c r="JU22" s="123">
        <f t="shared" si="113"/>
        <v>22.625</v>
      </c>
    </row>
    <row r="23" spans="2:281" x14ac:dyDescent="0.15">
      <c r="B23" s="82" t="str">
        <f>'MODU 2025'!B26</f>
        <v>GARCIA Béatrice</v>
      </c>
      <c r="C23" s="82" t="str">
        <f>'MODU 2025'!C26</f>
        <v>Production</v>
      </c>
      <c r="D23" s="82">
        <f>'MODU 2025'!D26</f>
        <v>37</v>
      </c>
      <c r="E23" s="82"/>
      <c r="F23" s="133">
        <f>'MODU 2025'!G26</f>
        <v>41</v>
      </c>
      <c r="G23" s="140">
        <f>'MODU 2025'!H26</f>
        <v>33</v>
      </c>
      <c r="H23" s="140">
        <f>'MODU 2025'!I26</f>
        <v>41</v>
      </c>
      <c r="I23" s="140">
        <f>'MODU 2025'!J26</f>
        <v>33</v>
      </c>
      <c r="J23" s="140">
        <f>'MODU 2025'!K26</f>
        <v>41</v>
      </c>
      <c r="K23" s="140">
        <f>'MODU 2025'!L26</f>
        <v>33</v>
      </c>
      <c r="L23" s="140">
        <f>'MODU 2025'!M26</f>
        <v>41</v>
      </c>
      <c r="M23" s="140">
        <f>'MODU 2025'!N26</f>
        <v>33</v>
      </c>
      <c r="N23" s="140">
        <f>'MODU 2025'!O26</f>
        <v>41</v>
      </c>
      <c r="O23" s="140">
        <f>'MODU 2025'!P26</f>
        <v>33</v>
      </c>
      <c r="P23" s="140">
        <f>'MODU 2025'!Q26</f>
        <v>41</v>
      </c>
      <c r="Q23" s="140">
        <f>'MODU 2025'!R26</f>
        <v>33</v>
      </c>
      <c r="R23" s="140">
        <f>'MODU 2025'!S26</f>
        <v>41</v>
      </c>
      <c r="S23" s="140">
        <f>'MODU 2025'!T26</f>
        <v>33</v>
      </c>
      <c r="T23" s="140">
        <f>'MODU 2025'!U26</f>
        <v>41</v>
      </c>
      <c r="U23" s="140">
        <f>'MODU 2025'!V26</f>
        <v>33</v>
      </c>
      <c r="V23" s="140">
        <f>'MODU 2025'!W26</f>
        <v>41</v>
      </c>
      <c r="W23" s="140">
        <f>'MODU 2025'!X26</f>
        <v>33</v>
      </c>
      <c r="X23" s="140">
        <f>'MODU 2025'!Y26</f>
        <v>41</v>
      </c>
      <c r="Y23" s="140">
        <f>'MODU 2025'!Z26</f>
        <v>33</v>
      </c>
      <c r="Z23" s="140">
        <f>'MODU 2025'!AA26</f>
        <v>41</v>
      </c>
      <c r="AA23" s="140">
        <f>'MODU 2025'!AB26</f>
        <v>33</v>
      </c>
      <c r="AB23" s="140">
        <f>'MODU 2025'!AC26</f>
        <v>41</v>
      </c>
      <c r="AC23" s="140">
        <f>'MODU 2025'!AD26</f>
        <v>33</v>
      </c>
      <c r="AD23" s="140">
        <f>'MODU 2025'!AE26</f>
        <v>41</v>
      </c>
      <c r="AE23" s="140">
        <f>'MODU 2025'!AF26</f>
        <v>33</v>
      </c>
      <c r="AF23" s="140">
        <f>'MODU 2025'!AG26</f>
        <v>41</v>
      </c>
      <c r="AG23" s="140">
        <f>'MODU 2025'!AH26</f>
        <v>33</v>
      </c>
      <c r="AH23" s="140">
        <f>'MODU 2025'!AI26</f>
        <v>41</v>
      </c>
      <c r="AI23" s="140">
        <f>'MODU 2025'!AJ26</f>
        <v>33</v>
      </c>
      <c r="AJ23" s="140">
        <f>'MODU 2025'!AK26</f>
        <v>41</v>
      </c>
      <c r="AK23" s="140">
        <f>'MODU 2025'!AL26</f>
        <v>33</v>
      </c>
      <c r="AL23" s="140">
        <f>'MODU 2025'!AM26</f>
        <v>41</v>
      </c>
      <c r="AM23" s="140">
        <f>'MODU 2025'!AN26</f>
        <v>33</v>
      </c>
      <c r="AN23" s="140">
        <f>'MODU 2025'!AO26</f>
        <v>41</v>
      </c>
      <c r="AO23" s="140">
        <f>'MODU 2025'!AP26</f>
        <v>33</v>
      </c>
      <c r="AP23" s="140">
        <f>'MODU 2025'!AQ26</f>
        <v>41</v>
      </c>
      <c r="AQ23" s="140">
        <f>'MODU 2025'!AR26</f>
        <v>33</v>
      </c>
      <c r="AR23" s="140">
        <f>'MODU 2025'!AS26</f>
        <v>41</v>
      </c>
      <c r="AS23" s="140">
        <f>'MODU 2025'!AT26</f>
        <v>33</v>
      </c>
      <c r="AT23" s="140">
        <f>'MODU 2025'!AU26</f>
        <v>41</v>
      </c>
      <c r="AU23" s="140">
        <f>'MODU 2025'!AV26</f>
        <v>33</v>
      </c>
      <c r="AV23" s="140">
        <f>'MODU 2025'!AW26</f>
        <v>41</v>
      </c>
      <c r="AW23" s="140">
        <f>'MODU 2025'!AX26</f>
        <v>33</v>
      </c>
      <c r="AX23" s="140">
        <f>'MODU 2025'!AY26</f>
        <v>41</v>
      </c>
      <c r="AY23" s="140">
        <f>'MODU 2025'!AZ26</f>
        <v>33</v>
      </c>
      <c r="AZ23" s="140">
        <f>'MODU 2025'!BA26</f>
        <v>41</v>
      </c>
      <c r="BA23" s="140">
        <f>'MODU 2025'!BB26</f>
        <v>33</v>
      </c>
      <c r="BB23" s="140">
        <f>'MODU 2025'!BC26</f>
        <v>41</v>
      </c>
      <c r="BC23" s="140">
        <f>'MODU 2025'!BD26</f>
        <v>33</v>
      </c>
      <c r="BD23" s="140">
        <f>'MODU 2025'!BE26</f>
        <v>41</v>
      </c>
      <c r="BE23" s="134">
        <f>'MODU 2025'!BF26</f>
        <v>33</v>
      </c>
      <c r="BF23" s="82"/>
      <c r="BG23" s="107">
        <v>41</v>
      </c>
      <c r="BH23" s="145">
        <v>33</v>
      </c>
      <c r="BI23" s="145">
        <v>41</v>
      </c>
      <c r="BJ23" s="145">
        <v>33</v>
      </c>
      <c r="BK23" s="145">
        <v>41</v>
      </c>
      <c r="BL23" s="145">
        <v>33</v>
      </c>
      <c r="BM23" s="145">
        <v>41</v>
      </c>
      <c r="BN23" s="145">
        <v>33</v>
      </c>
      <c r="BO23" s="145">
        <v>41</v>
      </c>
      <c r="BP23" s="145">
        <v>33</v>
      </c>
      <c r="BQ23" s="145">
        <v>41</v>
      </c>
      <c r="BR23" s="145">
        <v>33</v>
      </c>
      <c r="BS23" s="145">
        <v>41</v>
      </c>
      <c r="BT23" s="145">
        <v>33</v>
      </c>
      <c r="BU23" s="145">
        <v>41</v>
      </c>
      <c r="BV23" s="145">
        <v>33</v>
      </c>
      <c r="BW23" s="145">
        <v>41</v>
      </c>
      <c r="BX23" s="145">
        <v>33</v>
      </c>
      <c r="BY23" s="145">
        <v>41</v>
      </c>
      <c r="BZ23" s="145">
        <v>33</v>
      </c>
      <c r="CA23" s="145">
        <v>41</v>
      </c>
      <c r="CB23" s="145">
        <v>33</v>
      </c>
      <c r="CC23" s="145">
        <v>41</v>
      </c>
      <c r="CD23" s="145">
        <v>33</v>
      </c>
      <c r="CE23" s="145">
        <v>41</v>
      </c>
      <c r="CF23" s="145">
        <v>33</v>
      </c>
      <c r="CG23" s="145">
        <v>41</v>
      </c>
      <c r="CH23" s="145">
        <v>33</v>
      </c>
      <c r="CI23" s="145">
        <v>41</v>
      </c>
      <c r="CJ23" s="145">
        <v>33</v>
      </c>
      <c r="CK23" s="145">
        <v>41</v>
      </c>
      <c r="CL23" s="145">
        <v>33</v>
      </c>
      <c r="CM23" s="145">
        <v>41</v>
      </c>
      <c r="CN23" s="145">
        <v>33</v>
      </c>
      <c r="CO23" s="145">
        <v>41</v>
      </c>
      <c r="CP23" s="145">
        <v>33</v>
      </c>
      <c r="CQ23" s="145">
        <v>41</v>
      </c>
      <c r="CR23" s="145">
        <v>33</v>
      </c>
      <c r="CS23" s="145">
        <v>41</v>
      </c>
      <c r="CT23" s="145">
        <v>33</v>
      </c>
      <c r="CU23" s="145">
        <v>41</v>
      </c>
      <c r="CV23" s="145">
        <v>33</v>
      </c>
      <c r="CW23" s="145">
        <v>41</v>
      </c>
      <c r="CX23" s="145">
        <v>33</v>
      </c>
      <c r="CY23" s="145">
        <v>41</v>
      </c>
      <c r="CZ23" s="145">
        <v>33</v>
      </c>
      <c r="DA23" s="145">
        <v>41</v>
      </c>
      <c r="DB23" s="145">
        <v>33</v>
      </c>
      <c r="DC23" s="145">
        <v>41</v>
      </c>
      <c r="DD23" s="145">
        <v>33</v>
      </c>
      <c r="DE23" s="145">
        <v>41</v>
      </c>
      <c r="DF23" s="108">
        <v>33</v>
      </c>
      <c r="DG23" s="84"/>
      <c r="DH23" s="112">
        <f t="shared" si="3"/>
        <v>0</v>
      </c>
      <c r="DI23" s="138">
        <f t="shared" si="4"/>
        <v>0</v>
      </c>
      <c r="DJ23" s="138">
        <f t="shared" si="5"/>
        <v>0</v>
      </c>
      <c r="DK23" s="138">
        <f t="shared" si="6"/>
        <v>0</v>
      </c>
      <c r="DL23" s="138">
        <f t="shared" si="7"/>
        <v>0</v>
      </c>
      <c r="DM23" s="138">
        <f t="shared" si="8"/>
        <v>0</v>
      </c>
      <c r="DN23" s="138">
        <f t="shared" si="9"/>
        <v>0</v>
      </c>
      <c r="DO23" s="138">
        <f t="shared" si="10"/>
        <v>0</v>
      </c>
      <c r="DP23" s="138">
        <f t="shared" si="11"/>
        <v>0</v>
      </c>
      <c r="DQ23" s="138">
        <f t="shared" si="12"/>
        <v>0</v>
      </c>
      <c r="DR23" s="138">
        <f t="shared" si="13"/>
        <v>0</v>
      </c>
      <c r="DS23" s="138">
        <f t="shared" si="14"/>
        <v>0</v>
      </c>
      <c r="DT23" s="138">
        <f t="shared" si="15"/>
        <v>0</v>
      </c>
      <c r="DU23" s="138">
        <f t="shared" si="16"/>
        <v>0</v>
      </c>
      <c r="DV23" s="138">
        <f t="shared" si="17"/>
        <v>0</v>
      </c>
      <c r="DW23" s="138">
        <f t="shared" si="18"/>
        <v>0</v>
      </c>
      <c r="DX23" s="138">
        <f t="shared" si="19"/>
        <v>0</v>
      </c>
      <c r="DY23" s="138">
        <f t="shared" si="20"/>
        <v>0</v>
      </c>
      <c r="DZ23" s="138">
        <f t="shared" si="21"/>
        <v>0</v>
      </c>
      <c r="EA23" s="138">
        <f t="shared" si="22"/>
        <v>0</v>
      </c>
      <c r="EB23" s="138">
        <f t="shared" si="23"/>
        <v>0</v>
      </c>
      <c r="EC23" s="138">
        <f t="shared" si="24"/>
        <v>0</v>
      </c>
      <c r="ED23" s="138">
        <f t="shared" si="25"/>
        <v>0</v>
      </c>
      <c r="EE23" s="138">
        <f t="shared" si="26"/>
        <v>0</v>
      </c>
      <c r="EF23" s="138">
        <f t="shared" si="27"/>
        <v>0</v>
      </c>
      <c r="EG23" s="138">
        <f t="shared" si="28"/>
        <v>0</v>
      </c>
      <c r="EH23" s="138">
        <f t="shared" si="29"/>
        <v>0</v>
      </c>
      <c r="EI23" s="138">
        <f t="shared" si="30"/>
        <v>0</v>
      </c>
      <c r="EJ23" s="138">
        <f t="shared" si="31"/>
        <v>0</v>
      </c>
      <c r="EK23" s="138">
        <f t="shared" si="32"/>
        <v>0</v>
      </c>
      <c r="EL23" s="138">
        <f t="shared" si="33"/>
        <v>0</v>
      </c>
      <c r="EM23" s="138">
        <f t="shared" si="34"/>
        <v>0</v>
      </c>
      <c r="EN23" s="138">
        <f t="shared" si="35"/>
        <v>0</v>
      </c>
      <c r="EO23" s="138">
        <f t="shared" si="36"/>
        <v>0</v>
      </c>
      <c r="EP23" s="138">
        <f t="shared" si="37"/>
        <v>0</v>
      </c>
      <c r="EQ23" s="138">
        <f t="shared" si="38"/>
        <v>0</v>
      </c>
      <c r="ER23" s="138">
        <f t="shared" si="39"/>
        <v>0</v>
      </c>
      <c r="ES23" s="138">
        <f t="shared" si="40"/>
        <v>0</v>
      </c>
      <c r="ET23" s="138">
        <f t="shared" si="41"/>
        <v>0</v>
      </c>
      <c r="EU23" s="138">
        <f t="shared" si="42"/>
        <v>0</v>
      </c>
      <c r="EV23" s="138">
        <f t="shared" si="43"/>
        <v>0</v>
      </c>
      <c r="EW23" s="138">
        <f t="shared" si="44"/>
        <v>0</v>
      </c>
      <c r="EX23" s="138">
        <f t="shared" si="45"/>
        <v>0</v>
      </c>
      <c r="EY23" s="138">
        <f t="shared" si="46"/>
        <v>0</v>
      </c>
      <c r="EZ23" s="138">
        <f t="shared" si="47"/>
        <v>0</v>
      </c>
      <c r="FA23" s="138">
        <f t="shared" si="48"/>
        <v>0</v>
      </c>
      <c r="FB23" s="138">
        <f t="shared" si="49"/>
        <v>0</v>
      </c>
      <c r="FC23" s="138">
        <f t="shared" si="50"/>
        <v>0</v>
      </c>
      <c r="FD23" s="138">
        <f t="shared" si="51"/>
        <v>0</v>
      </c>
      <c r="FE23" s="138">
        <f t="shared" si="52"/>
        <v>0</v>
      </c>
      <c r="FF23" s="138">
        <f t="shared" si="53"/>
        <v>0</v>
      </c>
      <c r="FG23" s="113">
        <f t="shared" si="54"/>
        <v>0</v>
      </c>
      <c r="FH23" s="113">
        <f t="shared" si="55"/>
        <v>0</v>
      </c>
      <c r="FI23" s="35"/>
      <c r="FJ23" s="151" cm="1">
        <f t="array" ref="FJ23">IF($C23="Production",
IFERROR(_xlfn.IFS(AND(DH23&gt;0,DH23+SUM(BF23:BG23)&lt;=$FM$3),DH23,AND(DH23&gt;0,DH23+SUM(BF23:BG23)&gt;$FM$3),$FM$3-SUM(BF23:BG23)),0),
IFERROR(_xlfn.IFS(AND(DH23&gt;0,DH23+BG23&lt;=$FK$3),DH23,AND(DH23&gt;0,DH23+BG23&gt;$FK$3),0),0)
)</f>
        <v>0</v>
      </c>
      <c r="FK23" s="152" cm="1">
        <f t="array" ref="FK23">IF($C23="Production",
IFERROR(_xlfn.IFS(AND(DI23&gt;0,DI23+SUM(BG23:BH23)&lt;=$FM$3),DI23,AND(DI23&gt;0,DI23+SUM(BG23:BH23)&gt;$FM$3),$FM$3-SUM(BG23:BH23)),0),
IFERROR(_xlfn.IFS(AND(DI23&gt;0,DI23+BH23&lt;=$FK$3),DI23,AND(DI23&gt;0,DI23+BH23&gt;$FK$3),0),0)
)</f>
        <v>0</v>
      </c>
      <c r="FL23" s="152" cm="1">
        <f t="array" ref="FL23">IF($C23="Production",
IFERROR(_xlfn.IFS(AND(DJ23&gt;0,DJ23+SUM(BH23:BI23)&lt;=$FM$3),DJ23,AND(DJ23&gt;0,DJ23+SUM(BH23:BI23)&gt;$FM$3),$FM$3-SUM(BH23:BI23)),0),
IFERROR(_xlfn.IFS(AND(DJ23&gt;0,DJ23+BI23&lt;=$FK$3),DJ23,AND(DJ23&gt;0,DJ23+BI23&gt;$FK$3),0),0)
)</f>
        <v>0</v>
      </c>
      <c r="FM23" s="152" cm="1">
        <f t="array" ref="FM23">IF($C23="Production",
IFERROR(_xlfn.IFS(AND(DK23&gt;0,DK23+SUM(BI23:BJ23)&lt;=$FM$3),DK23,AND(DK23&gt;0,DK23+SUM(BI23:BJ23)&gt;$FM$3),$FM$3-SUM(BI23:BJ23)),0),
IFERROR(_xlfn.IFS(AND(DK23&gt;0,DK23+BJ23&lt;=$FK$3),DK23,AND(DK23&gt;0,DK23+BJ23&gt;$FK$3),0),0)
)</f>
        <v>0</v>
      </c>
      <c r="FN23" s="152" cm="1">
        <f t="array" ref="FN23">IF($C23="Production",
IFERROR(_xlfn.IFS(AND(DL23&gt;0,DL23+SUM(BJ23:BK23)&lt;=$FM$3),DL23,AND(DL23&gt;0,DL23+SUM(BJ23:BK23)&gt;$FM$3),$FM$3-SUM(BJ23:BK23)),0),
IFERROR(_xlfn.IFS(AND(DL23&gt;0,DL23+BK23&lt;=$FK$3),DL23,AND(DL23&gt;0,DL23+BK23&gt;$FK$3),0),0)
)</f>
        <v>0</v>
      </c>
      <c r="FO23" s="152" cm="1">
        <f t="array" ref="FO23">IF($C23="Production",
IFERROR(_xlfn.IFS(AND(DM23&gt;0,DM23+SUM(BK23:BL23)&lt;=$FM$3),DM23,AND(DM23&gt;0,DM23+SUM(BK23:BL23)&gt;$FM$3),$FM$3-SUM(BK23:BL23)),0),
IFERROR(_xlfn.IFS(AND(DM23&gt;0,DM23+BL23&lt;=$FK$3),DM23,AND(DM23&gt;0,DM23+BL23&gt;$FK$3),0),0)
)</f>
        <v>0</v>
      </c>
      <c r="FP23" s="152" cm="1">
        <f t="array" ref="FP23">IF($C23="Production",
IFERROR(_xlfn.IFS(AND(DN23&gt;0,DN23+SUM(BL23:BM23)&lt;=$FM$3),DN23,AND(DN23&gt;0,DN23+SUM(BL23:BM23)&gt;$FM$3),$FM$3-SUM(BL23:BM23)),0),
IFERROR(_xlfn.IFS(AND(DN23&gt;0,DN23+BM23&lt;=$FK$3),DN23,AND(DN23&gt;0,DN23+BM23&gt;$FK$3),0),0)
)</f>
        <v>0</v>
      </c>
      <c r="FQ23" s="152" cm="1">
        <f t="array" ref="FQ23">IF($C23="Production",
IFERROR(_xlfn.IFS(AND(DO23&gt;0,DO23+SUM(BM23:BN23)&lt;=$FM$3),DO23,AND(DO23&gt;0,DO23+SUM(BM23:BN23)&gt;$FM$3),$FM$3-SUM(BM23:BN23)),0),
IFERROR(_xlfn.IFS(AND(DO23&gt;0,DO23+BN23&lt;=$FK$3),DO23,AND(DO23&gt;0,DO23+BN23&gt;$FK$3),0),0)
)</f>
        <v>0</v>
      </c>
      <c r="FR23" s="152" cm="1">
        <f t="array" ref="FR23">IF($C23="Production",
IFERROR(_xlfn.IFS(AND(DP23&gt;0,DP23+SUM(BN23:BO23)&lt;=$FM$3),DP23,AND(DP23&gt;0,DP23+SUM(BN23:BO23)&gt;$FM$3),$FM$3-SUM(BN23:BO23)),0),
IFERROR(_xlfn.IFS(AND(DP23&gt;0,DP23+BO23&lt;=$FK$3),DP23,AND(DP23&gt;0,DP23+BO23&gt;$FK$3),0),0)
)</f>
        <v>0</v>
      </c>
      <c r="FS23" s="152" cm="1">
        <f t="array" ref="FS23">IF($C23="Production",
IFERROR(_xlfn.IFS(AND(DQ23&gt;0,DQ23+SUM(BO23:BP23)&lt;=$FM$3),DQ23,AND(DQ23&gt;0,DQ23+SUM(BO23:BP23)&gt;$FM$3),$FM$3-SUM(BO23:BP23)),0),
IFERROR(_xlfn.IFS(AND(DQ23&gt;0,DQ23+BP23&lt;=$FK$3),DQ23,AND(DQ23&gt;0,DQ23+BP23&gt;$FK$3),0),0)
)</f>
        <v>0</v>
      </c>
      <c r="FT23" s="152" cm="1">
        <f t="array" ref="FT23">IF($C23="Production",
IFERROR(_xlfn.IFS(AND(DR23&gt;0,DR23+SUM(BP23:BQ23)&lt;=$FM$3),DR23,AND(DR23&gt;0,DR23+SUM(BP23:BQ23)&gt;$FM$3),$FM$3-SUM(BP23:BQ23)),0),
IFERROR(_xlfn.IFS(AND(DR23&gt;0,DR23+BQ23&lt;=$FK$3),DR23,AND(DR23&gt;0,DR23+BQ23&gt;$FK$3),0),0)
)</f>
        <v>0</v>
      </c>
      <c r="FU23" s="152" cm="1">
        <f t="array" ref="FU23">IF($C23="Production",
IFERROR(_xlfn.IFS(AND(DS23&gt;0,DS23+SUM(BQ23:BR23)&lt;=$FM$3),DS23,AND(DS23&gt;0,DS23+SUM(BQ23:BR23)&gt;$FM$3),$FM$3-SUM(BQ23:BR23)),0),
IFERROR(_xlfn.IFS(AND(DS23&gt;0,DS23+BR23&lt;=$FK$3),DS23,AND(DS23&gt;0,DS23+BR23&gt;$FK$3),0),0)
)</f>
        <v>0</v>
      </c>
      <c r="FV23" s="152" cm="1">
        <f t="array" ref="FV23">IF($C23="Production",
IFERROR(_xlfn.IFS(AND(DT23&gt;0,DT23+SUM(BR23:BS23)&lt;=$FM$3),DT23,AND(DT23&gt;0,DT23+SUM(BR23:BS23)&gt;$FM$3),$FM$3-SUM(BR23:BS23)),0),
IFERROR(_xlfn.IFS(AND(DT23&gt;0,DT23+BS23&lt;=$FK$3),DT23,AND(DT23&gt;0,DT23+BS23&gt;$FK$3),0),0)
)</f>
        <v>0</v>
      </c>
      <c r="FW23" s="152" cm="1">
        <f t="array" ref="FW23">IF($C23="Production",
IFERROR(_xlfn.IFS(AND(DU23&gt;0,DU23+SUM(BS23:BT23)&lt;=$FM$3),DU23,AND(DU23&gt;0,DU23+SUM(BS23:BT23)&gt;$FM$3),$FM$3-SUM(BS23:BT23)),0),
IFERROR(_xlfn.IFS(AND(DU23&gt;0,DU23+BT23&lt;=$FK$3),DU23,AND(DU23&gt;0,DU23+BT23&gt;$FK$3),0),0)
)</f>
        <v>0</v>
      </c>
      <c r="FX23" s="152" cm="1">
        <f t="array" ref="FX23">IF($C23="Production",
IFERROR(_xlfn.IFS(AND(DV23&gt;0,DV23+SUM(BT23:BU23)&lt;=$FM$3),DV23,AND(DV23&gt;0,DV23+SUM(BT23:BU23)&gt;$FM$3),$FM$3-SUM(BT23:BU23)),0),
IFERROR(_xlfn.IFS(AND(DV23&gt;0,DV23+BU23&lt;=$FK$3),DV23,AND(DV23&gt;0,DV23+BU23&gt;$FK$3),0),0)
)</f>
        <v>0</v>
      </c>
      <c r="FY23" s="152" cm="1">
        <f t="array" ref="FY23">IF($C23="Production",
IFERROR(_xlfn.IFS(AND(DW23&gt;0,DW23+SUM(BU23:BV23)&lt;=$FM$3),DW23,AND(DW23&gt;0,DW23+SUM(BU23:BV23)&gt;$FM$3),$FM$3-SUM(BU23:BV23)),0),
IFERROR(_xlfn.IFS(AND(DW23&gt;0,DW23+BV23&lt;=$FK$3),DW23,AND(DW23&gt;0,DW23+BV23&gt;$FK$3),0),0)
)</f>
        <v>0</v>
      </c>
      <c r="FZ23" s="152" cm="1">
        <f t="array" ref="FZ23">IF($C23="Production",
IFERROR(_xlfn.IFS(AND(DX23&gt;0,DX23+SUM(BV23:BW23)&lt;=$FM$3),DX23,AND(DX23&gt;0,DX23+SUM(BV23:BW23)&gt;$FM$3),$FM$3-SUM(BV23:BW23)),0),
IFERROR(_xlfn.IFS(AND(DX23&gt;0,DX23+BW23&lt;=$FK$3),DX23,AND(DX23&gt;0,DX23+BW23&gt;$FK$3),0),0)
)</f>
        <v>0</v>
      </c>
      <c r="GA23" s="152" cm="1">
        <f t="array" ref="GA23">IF($C23="Production",
IFERROR(_xlfn.IFS(AND(DY23&gt;0,DY23+SUM(BW23:BX23)&lt;=$FM$3),DY23,AND(DY23&gt;0,DY23+SUM(BW23:BX23)&gt;$FM$3),$FM$3-SUM(BW23:BX23)),0),
IFERROR(_xlfn.IFS(AND(DY23&gt;0,DY23+BX23&lt;=$FK$3),DY23,AND(DY23&gt;0,DY23+BX23&gt;$FK$3),0),0)
)</f>
        <v>0</v>
      </c>
      <c r="GB23" s="152" cm="1">
        <f t="array" ref="GB23">IF($C23="Production",
IFERROR(_xlfn.IFS(AND(DZ23&gt;0,DZ23+SUM(BX23:BY23)&lt;=$FM$3),DZ23,AND(DZ23&gt;0,DZ23+SUM(BX23:BY23)&gt;$FM$3),$FM$3-SUM(BX23:BY23)),0),
IFERROR(_xlfn.IFS(AND(DZ23&gt;0,DZ23+BY23&lt;=$FK$3),DZ23,AND(DZ23&gt;0,DZ23+BY23&gt;$FK$3),0),0)
)</f>
        <v>0</v>
      </c>
      <c r="GC23" s="152" cm="1">
        <f t="array" ref="GC23">IF($C23="Production",
IFERROR(_xlfn.IFS(AND(EA23&gt;0,EA23+SUM(BY23:BZ23)&lt;=$FM$3),EA23,AND(EA23&gt;0,EA23+SUM(BY23:BZ23)&gt;$FM$3),$FM$3-SUM(BY23:BZ23)),0),
IFERROR(_xlfn.IFS(AND(EA23&gt;0,EA23+BZ23&lt;=$FK$3),EA23,AND(EA23&gt;0,EA23+BZ23&gt;$FK$3),0),0)
)</f>
        <v>0</v>
      </c>
      <c r="GD23" s="152" cm="1">
        <f t="array" ref="GD23">IF($C23="Production",
IFERROR(_xlfn.IFS(AND(EB23&gt;0,EB23+SUM(BZ23:CA23)&lt;=$FM$3),EB23,AND(EB23&gt;0,EB23+SUM(BZ23:CA23)&gt;$FM$3),$FM$3-SUM(BZ23:CA23)),0),
IFERROR(_xlfn.IFS(AND(EB23&gt;0,EB23+CA23&lt;=$FK$3),EB23,AND(EB23&gt;0,EB23+CA23&gt;$FK$3),0),0)
)</f>
        <v>0</v>
      </c>
      <c r="GE23" s="152" cm="1">
        <f t="array" ref="GE23">IF($C23="Production",
IFERROR(_xlfn.IFS(AND(EC23&gt;0,EC23+SUM(CA23:CB23)&lt;=$FM$3),EC23,AND(EC23&gt;0,EC23+SUM(CA23:CB23)&gt;$FM$3),$FM$3-SUM(CA23:CB23)),0),
IFERROR(_xlfn.IFS(AND(EC23&gt;0,EC23+CB23&lt;=$FK$3),EC23,AND(EC23&gt;0,EC23+CB23&gt;$FK$3),0),0)
)</f>
        <v>0</v>
      </c>
      <c r="GF23" s="152" cm="1">
        <f t="array" ref="GF23">IF($C23="Production",
IFERROR(_xlfn.IFS(AND(ED23&gt;0,ED23+SUM(CB23:CC23)&lt;=$FM$3),ED23,AND(ED23&gt;0,ED23+SUM(CB23:CC23)&gt;$FM$3),$FM$3-SUM(CB23:CC23)),0),
IFERROR(_xlfn.IFS(AND(ED23&gt;0,ED23+CC23&lt;=$FK$3),ED23,AND(ED23&gt;0,ED23+CC23&gt;$FK$3),0),0)
)</f>
        <v>0</v>
      </c>
      <c r="GG23" s="152" cm="1">
        <f t="array" ref="GG23">IF($C23="Production",
IFERROR(_xlfn.IFS(AND(EE23&gt;0,EE23+SUM(CC23:CD23)&lt;=$FM$3),EE23,AND(EE23&gt;0,EE23+SUM(CC23:CD23)&gt;$FM$3),$FM$3-SUM(CC23:CD23)),0),
IFERROR(_xlfn.IFS(AND(EE23&gt;0,EE23+CD23&lt;=$FK$3),EE23,AND(EE23&gt;0,EE23+CD23&gt;$FK$3),0),0)
)</f>
        <v>0</v>
      </c>
      <c r="GH23" s="152" cm="1">
        <f t="array" ref="GH23">IF($C23="Production",
IFERROR(_xlfn.IFS(AND(EF23&gt;0,EF23+SUM(CD23:CE23)&lt;=$FM$3),EF23,AND(EF23&gt;0,EF23+SUM(CD23:CE23)&gt;$FM$3),$FM$3-SUM(CD23:CE23)),0),
IFERROR(_xlfn.IFS(AND(EF23&gt;0,EF23+CE23&lt;=$FK$3),EF23,AND(EF23&gt;0,EF23+CE23&gt;$FK$3),0),0)
)</f>
        <v>0</v>
      </c>
      <c r="GI23" s="152" cm="1">
        <f t="array" ref="GI23">IF($C23="Production",
IFERROR(_xlfn.IFS(AND(EG23&gt;0,EG23+SUM(CE23:CF23)&lt;=$FM$3),EG23,AND(EG23&gt;0,EG23+SUM(CE23:CF23)&gt;$FM$3),$FM$3-SUM(CE23:CF23)),0),
IFERROR(_xlfn.IFS(AND(EG23&gt;0,EG23+CF23&lt;=$FK$3),EG23,AND(EG23&gt;0,EG23+CF23&gt;$FK$3),0),0)
)</f>
        <v>0</v>
      </c>
      <c r="GJ23" s="152" cm="1">
        <f t="array" ref="GJ23">IF($C23="Production",
IFERROR(_xlfn.IFS(AND(EH23&gt;0,EH23+SUM(CF23:CG23)&lt;=$FM$3),EH23,AND(EH23&gt;0,EH23+SUM(CF23:CG23)&gt;$FM$3),$FM$3-SUM(CF23:CG23)),0),
IFERROR(_xlfn.IFS(AND(EH23&gt;0,EH23+CG23&lt;=$FK$3),EH23,AND(EH23&gt;0,EH23+CG23&gt;$FK$3),0),0)
)</f>
        <v>0</v>
      </c>
      <c r="GK23" s="152" cm="1">
        <f t="array" ref="GK23">IF($C23="Production",
IFERROR(_xlfn.IFS(AND(EI23&gt;0,EI23+SUM(CG23:CH23)&lt;=$FM$3),EI23,AND(EI23&gt;0,EI23+SUM(CG23:CH23)&gt;$FM$3),$FM$3-SUM(CG23:CH23)),0),
IFERROR(_xlfn.IFS(AND(EI23&gt;0,EI23+CH23&lt;=$FK$3),EI23,AND(EI23&gt;0,EI23+CH23&gt;$FK$3),0),0)
)</f>
        <v>0</v>
      </c>
      <c r="GL23" s="152" cm="1">
        <f t="array" ref="GL23">IF($C23="Production",
IFERROR(_xlfn.IFS(AND(EJ23&gt;0,EJ23+SUM(CH23:CI23)&lt;=$FM$3),EJ23,AND(EJ23&gt;0,EJ23+SUM(CH23:CI23)&gt;$FM$3),$FM$3-SUM(CH23:CI23)),0),
IFERROR(_xlfn.IFS(AND(EJ23&gt;0,EJ23+CI23&lt;=$FK$3),EJ23,AND(EJ23&gt;0,EJ23+CI23&gt;$FK$3),0),0)
)</f>
        <v>0</v>
      </c>
      <c r="GM23" s="152" cm="1">
        <f t="array" ref="GM23">IF($C23="Production",
IFERROR(_xlfn.IFS(AND(EK23&gt;0,EK23+SUM(CI23:CJ23)&lt;=$FM$3),EK23,AND(EK23&gt;0,EK23+SUM(CI23:CJ23)&gt;$FM$3),$FM$3-SUM(CI23:CJ23)),0),
IFERROR(_xlfn.IFS(AND(EK23&gt;0,EK23+CJ23&lt;=$FK$3),EK23,AND(EK23&gt;0,EK23+CJ23&gt;$FK$3),0),0)
)</f>
        <v>0</v>
      </c>
      <c r="GN23" s="152" cm="1">
        <f t="array" ref="GN23">IF($C23="Production",
IFERROR(_xlfn.IFS(AND(EL23&gt;0,EL23+SUM(CJ23:CK23)&lt;=$FM$3),EL23,AND(EL23&gt;0,EL23+SUM(CJ23:CK23)&gt;$FM$3),$FM$3-SUM(CJ23:CK23)),0),
IFERROR(_xlfn.IFS(AND(EL23&gt;0,EL23+CK23&lt;=$FK$3),EL23,AND(EL23&gt;0,EL23+CK23&gt;$FK$3),0),0)
)</f>
        <v>0</v>
      </c>
      <c r="GO23" s="152" cm="1">
        <f t="array" ref="GO23">IF($C23="Production",
IFERROR(_xlfn.IFS(AND(EM23&gt;0,EM23+SUM(CK23:CL23)&lt;=$FM$3),EM23,AND(EM23&gt;0,EM23+SUM(CK23:CL23)&gt;$FM$3),$FM$3-SUM(CK23:CL23)),0),
IFERROR(_xlfn.IFS(AND(EM23&gt;0,EM23+CL23&lt;=$FK$3),EM23,AND(EM23&gt;0,EM23+CL23&gt;$FK$3),0),0)
)</f>
        <v>0</v>
      </c>
      <c r="GP23" s="152" cm="1">
        <f t="array" ref="GP23">IF($C23="Production",
IFERROR(_xlfn.IFS(AND(EN23&gt;0,EN23+SUM(CL23:CM23)&lt;=$FM$3),EN23,AND(EN23&gt;0,EN23+SUM(CL23:CM23)&gt;$FM$3),$FM$3-SUM(CL23:CM23)),0),
IFERROR(_xlfn.IFS(AND(EN23&gt;0,EN23+CM23&lt;=$FK$3),EN23,AND(EN23&gt;0,EN23+CM23&gt;$FK$3),0),0)
)</f>
        <v>0</v>
      </c>
      <c r="GQ23" s="152" cm="1">
        <f t="array" ref="GQ23">IF($C23="Production",
IFERROR(_xlfn.IFS(AND(EO23&gt;0,EO23+SUM(CM23:CN23)&lt;=$FM$3),EO23,AND(EO23&gt;0,EO23+SUM(CM23:CN23)&gt;$FM$3),$FM$3-SUM(CM23:CN23)),0),
IFERROR(_xlfn.IFS(AND(EO23&gt;0,EO23+CN23&lt;=$FK$3),EO23,AND(EO23&gt;0,EO23+CN23&gt;$FK$3),0),0)
)</f>
        <v>0</v>
      </c>
      <c r="GR23" s="152" cm="1">
        <f t="array" ref="GR23">IF($C23="Production",
IFERROR(_xlfn.IFS(AND(EP23&gt;0,EP23+SUM(CN23:CO23)&lt;=$FM$3),EP23,AND(EP23&gt;0,EP23+SUM(CN23:CO23)&gt;$FM$3),$FM$3-SUM(CN23:CO23)),0),
IFERROR(_xlfn.IFS(AND(EP23&gt;0,EP23+CO23&lt;=$FK$3),EP23,AND(EP23&gt;0,EP23+CO23&gt;$FK$3),0),0)
)</f>
        <v>0</v>
      </c>
      <c r="GS23" s="152" cm="1">
        <f t="array" ref="GS23">IF($C23="Production",
IFERROR(_xlfn.IFS(AND(EQ23&gt;0,EQ23+SUM(CO23:CP23)&lt;=$FM$3),EQ23,AND(EQ23&gt;0,EQ23+SUM(CO23:CP23)&gt;$FM$3),$FM$3-SUM(CO23:CP23)),0),
IFERROR(_xlfn.IFS(AND(EQ23&gt;0,EQ23+CP23&lt;=$FK$3),EQ23,AND(EQ23&gt;0,EQ23+CP23&gt;$FK$3),0),0)
)</f>
        <v>0</v>
      </c>
      <c r="GT23" s="152" cm="1">
        <f t="array" ref="GT23">IF($C23="Production",
IFERROR(_xlfn.IFS(AND(ER23&gt;0,ER23+SUM(CP23:CQ23)&lt;=$FM$3),ER23,AND(ER23&gt;0,ER23+SUM(CP23:CQ23)&gt;$FM$3),$FM$3-SUM(CP23:CQ23)),0),
IFERROR(_xlfn.IFS(AND(ER23&gt;0,ER23+CQ23&lt;=$FK$3),ER23,AND(ER23&gt;0,ER23+CQ23&gt;$FK$3),0),0)
)</f>
        <v>0</v>
      </c>
      <c r="GU23" s="152" cm="1">
        <f t="array" ref="GU23">IF($C23="Production",
IFERROR(_xlfn.IFS(AND(ES23&gt;0,ES23+SUM(CQ23:CR23)&lt;=$FM$3),ES23,AND(ES23&gt;0,ES23+SUM(CQ23:CR23)&gt;$FM$3),$FM$3-SUM(CQ23:CR23)),0),
IFERROR(_xlfn.IFS(AND(ES23&gt;0,ES23+CR23&lt;=$FK$3),ES23,AND(ES23&gt;0,ES23+CR23&gt;$FK$3),0),0)
)</f>
        <v>0</v>
      </c>
      <c r="GV23" s="152" cm="1">
        <f t="array" ref="GV23">IF($C23="Production",
IFERROR(_xlfn.IFS(AND(ET23&gt;0,ET23+SUM(CR23:CS23)&lt;=$FM$3),ET23,AND(ET23&gt;0,ET23+SUM(CR23:CS23)&gt;$FM$3),$FM$3-SUM(CR23:CS23)),0),
IFERROR(_xlfn.IFS(AND(ET23&gt;0,ET23+CS23&lt;=$FK$3),ET23,AND(ET23&gt;0,ET23+CS23&gt;$FK$3),0),0)
)</f>
        <v>0</v>
      </c>
      <c r="GW23" s="152" cm="1">
        <f t="array" ref="GW23">IF($C23="Production",
IFERROR(_xlfn.IFS(AND(EU23&gt;0,EU23+SUM(CS23:CT23)&lt;=$FM$3),EU23,AND(EU23&gt;0,EU23+SUM(CS23:CT23)&gt;$FM$3),$FM$3-SUM(CS23:CT23)),0),
IFERROR(_xlfn.IFS(AND(EU23&gt;0,EU23+CT23&lt;=$FK$3),EU23,AND(EU23&gt;0,EU23+CT23&gt;$FK$3),0),0)
)</f>
        <v>0</v>
      </c>
      <c r="GX23" s="152" cm="1">
        <f t="array" ref="GX23">IF($C23="Production",
IFERROR(_xlfn.IFS(AND(EV23&gt;0,EV23+SUM(CT23:CU23)&lt;=$FM$3),EV23,AND(EV23&gt;0,EV23+SUM(CT23:CU23)&gt;$FM$3),$FM$3-SUM(CT23:CU23)),0),
IFERROR(_xlfn.IFS(AND(EV23&gt;0,EV23+CU23&lt;=$FK$3),EV23,AND(EV23&gt;0,EV23+CU23&gt;$FK$3),0),0)
)</f>
        <v>0</v>
      </c>
      <c r="GY23" s="152" cm="1">
        <f t="array" ref="GY23">IF($C23="Production",
IFERROR(_xlfn.IFS(AND(EW23&gt;0,EW23+SUM(CU23:CV23)&lt;=$FM$3),EW23,AND(EW23&gt;0,EW23+SUM(CU23:CV23)&gt;$FM$3),$FM$3-SUM(CU23:CV23)),0),
IFERROR(_xlfn.IFS(AND(EW23&gt;0,EW23+CV23&lt;=$FK$3),EW23,AND(EW23&gt;0,EW23+CV23&gt;$FK$3),0),0)
)</f>
        <v>0</v>
      </c>
      <c r="GZ23" s="152" cm="1">
        <f t="array" ref="GZ23">IF($C23="Production",
IFERROR(_xlfn.IFS(AND(EX23&gt;0,EX23+SUM(CV23:CW23)&lt;=$FM$3),EX23,AND(EX23&gt;0,EX23+SUM(CV23:CW23)&gt;$FM$3),$FM$3-SUM(CV23:CW23)),0),
IFERROR(_xlfn.IFS(AND(EX23&gt;0,EX23+CW23&lt;=$FK$3),EX23,AND(EX23&gt;0,EX23+CW23&gt;$FK$3),0),0)
)</f>
        <v>0</v>
      </c>
      <c r="HA23" s="152" cm="1">
        <f t="array" ref="HA23">IF($C23="Production",
IFERROR(_xlfn.IFS(AND(EY23&gt;0,EY23+SUM(CW23:CX23)&lt;=$FM$3),EY23,AND(EY23&gt;0,EY23+SUM(CW23:CX23)&gt;$FM$3),$FM$3-SUM(CW23:CX23)),0),
IFERROR(_xlfn.IFS(AND(EY23&gt;0,EY23+CX23&lt;=$FK$3),EY23,AND(EY23&gt;0,EY23+CX23&gt;$FK$3),0),0)
)</f>
        <v>0</v>
      </c>
      <c r="HB23" s="152" cm="1">
        <f t="array" ref="HB23">IF($C23="Production",
IFERROR(_xlfn.IFS(AND(EZ23&gt;0,EZ23+SUM(CX23:CY23)&lt;=$FM$3),EZ23,AND(EZ23&gt;0,EZ23+SUM(CX23:CY23)&gt;$FM$3),$FM$3-SUM(CX23:CY23)),0),
IFERROR(_xlfn.IFS(AND(EZ23&gt;0,EZ23+CY23&lt;=$FK$3),EZ23,AND(EZ23&gt;0,EZ23+CY23&gt;$FK$3),0),0)
)</f>
        <v>0</v>
      </c>
      <c r="HC23" s="152" cm="1">
        <f t="array" ref="HC23">IF($C23="Production",
IFERROR(_xlfn.IFS(AND(FA23&gt;0,FA23+SUM(CY23:CZ23)&lt;=$FM$3),FA23,AND(FA23&gt;0,FA23+SUM(CY23:CZ23)&gt;$FM$3),$FM$3-SUM(CY23:CZ23)),0),
IFERROR(_xlfn.IFS(AND(FA23&gt;0,FA23+CZ23&lt;=$FK$3),FA23,AND(FA23&gt;0,FA23+CZ23&gt;$FK$3),0),0)
)</f>
        <v>0</v>
      </c>
      <c r="HD23" s="152" cm="1">
        <f t="array" ref="HD23">IF($C23="Production",
IFERROR(_xlfn.IFS(AND(FB23&gt;0,FB23+SUM(CZ23:DA23)&lt;=$FM$3),FB23,AND(FB23&gt;0,FB23+SUM(CZ23:DA23)&gt;$FM$3),$FM$3-SUM(CZ23:DA23)),0),
IFERROR(_xlfn.IFS(AND(FB23&gt;0,FB23+DA23&lt;=$FK$3),FB23,AND(FB23&gt;0,FB23+DA23&gt;$FK$3),0),0)
)</f>
        <v>0</v>
      </c>
      <c r="HE23" s="152" cm="1">
        <f t="array" ref="HE23">IF($C23="Production",
IFERROR(_xlfn.IFS(AND(FC23&gt;0,FC23+SUM(DA23:DB23)&lt;=$FM$3),FC23,AND(FC23&gt;0,FC23+SUM(DA23:DB23)&gt;$FM$3),$FM$3-SUM(DA23:DB23)),0),
IFERROR(_xlfn.IFS(AND(FC23&gt;0,FC23+DB23&lt;=$FK$3),FC23,AND(FC23&gt;0,FC23+DB23&gt;$FK$3),0),0)
)</f>
        <v>0</v>
      </c>
      <c r="HF23" s="152" cm="1">
        <f t="array" ref="HF23">IF($C23="Production",
IFERROR(_xlfn.IFS(AND(FD23&gt;0,FD23+SUM(DB23:DC23)&lt;=$FM$3),FD23,AND(FD23&gt;0,FD23+SUM(DB23:DC23)&gt;$FM$3),$FM$3-SUM(DB23:DC23)),0),
IFERROR(_xlfn.IFS(AND(FD23&gt;0,FD23+DC23&lt;=$FK$3),FD23,AND(FD23&gt;0,FD23+DC23&gt;$FK$3),0),0)
)</f>
        <v>0</v>
      </c>
      <c r="HG23" s="152" cm="1">
        <f t="array" ref="HG23">IF($C23="Production",
IFERROR(_xlfn.IFS(AND(FE23&gt;0,FE23+SUM(DC23:DD23)&lt;=$FM$3),FE23,AND(FE23&gt;0,FE23+SUM(DC23:DD23)&gt;$FM$3),$FM$3-SUM(DC23:DD23)),0),
IFERROR(_xlfn.IFS(AND(FE23&gt;0,FE23+DD23&lt;=$FK$3),FE23,AND(FE23&gt;0,FE23+DD23&gt;$FK$3),0),0)
)</f>
        <v>0</v>
      </c>
      <c r="HH23" s="152" cm="1">
        <f t="array" ref="HH23">IF($C23="Production",
IFERROR(_xlfn.IFS(AND(FF23&gt;0,FF23+SUM(DD23:DE23)&lt;=$FM$3),FF23,AND(FF23&gt;0,FF23+SUM(DD23:DE23)&gt;$FM$3),$FM$3-SUM(DD23:DE23)),0),
IFERROR(_xlfn.IFS(AND(FF23&gt;0,FF23+DE23&lt;=$FK$3),FF23,AND(FF23&gt;0,FF23+DE23&gt;$FK$3),0),0)
)</f>
        <v>0</v>
      </c>
      <c r="HI23" s="156" cm="1">
        <f t="array" ref="HI23">IF($C23="Production",
IFERROR(_xlfn.IFS(AND(FG23&gt;0,FG23+SUM(DE23:DF23)&lt;=$FM$3),FG23,AND(FG23&gt;0,FG23+SUM(DE23:DF23)&gt;$FM$3),$FM$3-SUM(DE23:DF23)),0),
IFERROR(_xlfn.IFS(AND(FG23&gt;0,FG23+DF23&lt;=$FK$3),FG23,AND(FG23&gt;0,FG23+DF23&gt;$FK$3),0),0)
)</f>
        <v>0</v>
      </c>
      <c r="HJ23" s="113">
        <f t="shared" si="110"/>
        <v>0</v>
      </c>
      <c r="HK23" s="80"/>
      <c r="HL23" s="112">
        <f t="shared" si="56"/>
        <v>0</v>
      </c>
      <c r="HM23" s="138">
        <f t="shared" si="57"/>
        <v>0</v>
      </c>
      <c r="HN23" s="138">
        <f t="shared" si="58"/>
        <v>0</v>
      </c>
      <c r="HO23" s="138">
        <f t="shared" si="59"/>
        <v>0</v>
      </c>
      <c r="HP23" s="138">
        <f t="shared" si="60"/>
        <v>0</v>
      </c>
      <c r="HQ23" s="138">
        <f t="shared" si="61"/>
        <v>0</v>
      </c>
      <c r="HR23" s="138">
        <f t="shared" si="62"/>
        <v>0</v>
      </c>
      <c r="HS23" s="138">
        <f t="shared" si="63"/>
        <v>0</v>
      </c>
      <c r="HT23" s="138">
        <f t="shared" si="64"/>
        <v>0</v>
      </c>
      <c r="HU23" s="138">
        <f t="shared" si="65"/>
        <v>0</v>
      </c>
      <c r="HV23" s="138">
        <f t="shared" si="66"/>
        <v>0</v>
      </c>
      <c r="HW23" s="138">
        <f t="shared" si="67"/>
        <v>0</v>
      </c>
      <c r="HX23" s="138">
        <f t="shared" si="68"/>
        <v>0</v>
      </c>
      <c r="HY23" s="138">
        <f t="shared" si="69"/>
        <v>0</v>
      </c>
      <c r="HZ23" s="138">
        <f t="shared" si="70"/>
        <v>0</v>
      </c>
      <c r="IA23" s="138">
        <f t="shared" si="71"/>
        <v>0</v>
      </c>
      <c r="IB23" s="138">
        <f t="shared" si="72"/>
        <v>0</v>
      </c>
      <c r="IC23" s="138">
        <f t="shared" si="73"/>
        <v>0</v>
      </c>
      <c r="ID23" s="138">
        <f t="shared" si="74"/>
        <v>0</v>
      </c>
      <c r="IE23" s="138">
        <f t="shared" si="75"/>
        <v>0</v>
      </c>
      <c r="IF23" s="138">
        <f t="shared" si="76"/>
        <v>0</v>
      </c>
      <c r="IG23" s="138">
        <f t="shared" si="77"/>
        <v>0</v>
      </c>
      <c r="IH23" s="138">
        <f t="shared" si="78"/>
        <v>0</v>
      </c>
      <c r="II23" s="138">
        <f t="shared" si="79"/>
        <v>0</v>
      </c>
      <c r="IJ23" s="138">
        <f t="shared" si="80"/>
        <v>0</v>
      </c>
      <c r="IK23" s="138">
        <f t="shared" si="81"/>
        <v>0</v>
      </c>
      <c r="IL23" s="138">
        <f t="shared" si="82"/>
        <v>0</v>
      </c>
      <c r="IM23" s="138">
        <f t="shared" si="83"/>
        <v>0</v>
      </c>
      <c r="IN23" s="138">
        <f t="shared" si="84"/>
        <v>0</v>
      </c>
      <c r="IO23" s="138">
        <f t="shared" si="85"/>
        <v>0</v>
      </c>
      <c r="IP23" s="138">
        <f t="shared" si="86"/>
        <v>0</v>
      </c>
      <c r="IQ23" s="138">
        <f t="shared" si="87"/>
        <v>0</v>
      </c>
      <c r="IR23" s="138">
        <f t="shared" si="88"/>
        <v>0</v>
      </c>
      <c r="IS23" s="138">
        <f t="shared" si="89"/>
        <v>0</v>
      </c>
      <c r="IT23" s="138">
        <f t="shared" si="90"/>
        <v>0</v>
      </c>
      <c r="IU23" s="138">
        <f t="shared" si="91"/>
        <v>0</v>
      </c>
      <c r="IV23" s="138">
        <f t="shared" si="92"/>
        <v>0</v>
      </c>
      <c r="IW23" s="138">
        <f t="shared" si="93"/>
        <v>0</v>
      </c>
      <c r="IX23" s="138">
        <f t="shared" si="94"/>
        <v>0</v>
      </c>
      <c r="IY23" s="138">
        <f t="shared" si="95"/>
        <v>0</v>
      </c>
      <c r="IZ23" s="138">
        <f t="shared" si="96"/>
        <v>0</v>
      </c>
      <c r="JA23" s="138">
        <f t="shared" si="97"/>
        <v>0</v>
      </c>
      <c r="JB23" s="138">
        <f t="shared" si="98"/>
        <v>0</v>
      </c>
      <c r="JC23" s="138">
        <f t="shared" si="99"/>
        <v>0</v>
      </c>
      <c r="JD23" s="138">
        <f t="shared" si="100"/>
        <v>0</v>
      </c>
      <c r="JE23" s="138">
        <f t="shared" si="101"/>
        <v>0</v>
      </c>
      <c r="JF23" s="138">
        <f t="shared" si="102"/>
        <v>0</v>
      </c>
      <c r="JG23" s="138">
        <f t="shared" si="103"/>
        <v>0</v>
      </c>
      <c r="JH23" s="138">
        <f t="shared" si="104"/>
        <v>0</v>
      </c>
      <c r="JI23" s="138">
        <f t="shared" si="105"/>
        <v>0</v>
      </c>
      <c r="JJ23" s="138">
        <f t="shared" si="106"/>
        <v>0</v>
      </c>
      <c r="JK23" s="138">
        <f t="shared" si="107"/>
        <v>0</v>
      </c>
      <c r="JL23" s="118">
        <f t="shared" si="111"/>
        <v>0</v>
      </c>
      <c r="JO23" s="90">
        <f t="shared" si="112"/>
        <v>0</v>
      </c>
      <c r="JP23" s="79">
        <f t="shared" si="108"/>
        <v>0</v>
      </c>
      <c r="JQ23" s="91">
        <f t="shared" si="2"/>
        <v>0</v>
      </c>
      <c r="JS23" s="123">
        <f t="shared" si="109"/>
        <v>0</v>
      </c>
      <c r="JU23" s="123">
        <f t="shared" si="113"/>
        <v>0</v>
      </c>
    </row>
    <row r="24" spans="2:281" x14ac:dyDescent="0.15">
      <c r="B24" s="82" t="str">
        <f>'MODU 2025'!B27</f>
        <v>GOYON Marie Christine</v>
      </c>
      <c r="C24" s="82" t="str">
        <f>'MODU 2025'!C27</f>
        <v>Production</v>
      </c>
      <c r="D24" s="82">
        <f>'MODU 2025'!D27</f>
        <v>37</v>
      </c>
      <c r="E24" s="82"/>
      <c r="F24" s="133">
        <f>'MODU 2025'!G27</f>
        <v>38</v>
      </c>
      <c r="G24" s="140">
        <f>'MODU 2025'!H27</f>
        <v>33</v>
      </c>
      <c r="H24" s="140">
        <f>'MODU 2025'!I27</f>
        <v>41</v>
      </c>
      <c r="I24" s="140">
        <f>'MODU 2025'!J27</f>
        <v>40.75</v>
      </c>
      <c r="J24" s="140">
        <f>'MODU 2025'!K27</f>
        <v>41.25</v>
      </c>
      <c r="K24" s="140">
        <f>'MODU 2025'!L27</f>
        <v>33</v>
      </c>
      <c r="L24" s="140">
        <f>'MODU 2025'!M27</f>
        <v>37</v>
      </c>
      <c r="M24" s="140">
        <f>'MODU 2025'!N27</f>
        <v>37</v>
      </c>
      <c r="N24" s="140">
        <f>'MODU 2025'!O27</f>
        <v>37</v>
      </c>
      <c r="O24" s="140">
        <f>'MODU 2025'!P27</f>
        <v>37</v>
      </c>
      <c r="P24" s="140">
        <f>'MODU 2025'!Q27</f>
        <v>41</v>
      </c>
      <c r="Q24" s="140">
        <f>'MODU 2025'!R27</f>
        <v>33</v>
      </c>
      <c r="R24" s="140">
        <f>'MODU 2025'!S27</f>
        <v>41</v>
      </c>
      <c r="S24" s="140">
        <f>'MODU 2025'!T27</f>
        <v>33</v>
      </c>
      <c r="T24" s="140">
        <f>'MODU 2025'!U27</f>
        <v>41</v>
      </c>
      <c r="U24" s="140">
        <f>'MODU 2025'!V27</f>
        <v>33</v>
      </c>
      <c r="V24" s="140">
        <f>'MODU 2025'!W27</f>
        <v>41</v>
      </c>
      <c r="W24" s="140">
        <f>'MODU 2025'!X27</f>
        <v>33</v>
      </c>
      <c r="X24" s="140">
        <f>'MODU 2025'!Y27</f>
        <v>41</v>
      </c>
      <c r="Y24" s="140">
        <f>'MODU 2025'!Z27</f>
        <v>33</v>
      </c>
      <c r="Z24" s="140">
        <f>'MODU 2025'!AA27</f>
        <v>41</v>
      </c>
      <c r="AA24" s="140">
        <f>'MODU 2025'!AB27</f>
        <v>33</v>
      </c>
      <c r="AB24" s="140">
        <f>'MODU 2025'!AC27</f>
        <v>41</v>
      </c>
      <c r="AC24" s="140">
        <f>'MODU 2025'!AD27</f>
        <v>33</v>
      </c>
      <c r="AD24" s="140">
        <f>'MODU 2025'!AE27</f>
        <v>41</v>
      </c>
      <c r="AE24" s="140">
        <f>'MODU 2025'!AF27</f>
        <v>33</v>
      </c>
      <c r="AF24" s="140">
        <f>'MODU 2025'!AG27</f>
        <v>41</v>
      </c>
      <c r="AG24" s="140">
        <f>'MODU 2025'!AH27</f>
        <v>33</v>
      </c>
      <c r="AH24" s="140">
        <f>'MODU 2025'!AI27</f>
        <v>41</v>
      </c>
      <c r="AI24" s="140">
        <f>'MODU 2025'!AJ27</f>
        <v>33</v>
      </c>
      <c r="AJ24" s="140">
        <f>'MODU 2025'!AK27</f>
        <v>41</v>
      </c>
      <c r="AK24" s="140">
        <f>'MODU 2025'!AL27</f>
        <v>33</v>
      </c>
      <c r="AL24" s="140">
        <f>'MODU 2025'!AM27</f>
        <v>41</v>
      </c>
      <c r="AM24" s="140">
        <f>'MODU 2025'!AN27</f>
        <v>33</v>
      </c>
      <c r="AN24" s="140">
        <f>'MODU 2025'!AO27</f>
        <v>41</v>
      </c>
      <c r="AO24" s="140">
        <f>'MODU 2025'!AP27</f>
        <v>33</v>
      </c>
      <c r="AP24" s="140">
        <f>'MODU 2025'!AQ27</f>
        <v>41</v>
      </c>
      <c r="AQ24" s="140">
        <f>'MODU 2025'!AR27</f>
        <v>33</v>
      </c>
      <c r="AR24" s="140">
        <f>'MODU 2025'!AS27</f>
        <v>41</v>
      </c>
      <c r="AS24" s="140">
        <f>'MODU 2025'!AT27</f>
        <v>33</v>
      </c>
      <c r="AT24" s="140">
        <f>'MODU 2025'!AU27</f>
        <v>41</v>
      </c>
      <c r="AU24" s="140">
        <f>'MODU 2025'!AV27</f>
        <v>33</v>
      </c>
      <c r="AV24" s="140">
        <f>'MODU 2025'!AW27</f>
        <v>41</v>
      </c>
      <c r="AW24" s="140">
        <f>'MODU 2025'!AX27</f>
        <v>33</v>
      </c>
      <c r="AX24" s="140">
        <f>'MODU 2025'!AY27</f>
        <v>41</v>
      </c>
      <c r="AY24" s="140">
        <f>'MODU 2025'!AZ27</f>
        <v>33</v>
      </c>
      <c r="AZ24" s="140">
        <f>'MODU 2025'!BA27</f>
        <v>41</v>
      </c>
      <c r="BA24" s="140">
        <f>'MODU 2025'!BB27</f>
        <v>33</v>
      </c>
      <c r="BB24" s="140">
        <f>'MODU 2025'!BC27</f>
        <v>41</v>
      </c>
      <c r="BC24" s="140">
        <f>'MODU 2025'!BD27</f>
        <v>33</v>
      </c>
      <c r="BD24" s="140">
        <f>'MODU 2025'!BE27</f>
        <v>41</v>
      </c>
      <c r="BE24" s="134">
        <f>'MODU 2025'!BF27</f>
        <v>33</v>
      </c>
      <c r="BF24" s="82"/>
      <c r="BG24" s="107">
        <v>41</v>
      </c>
      <c r="BH24" s="145">
        <v>33</v>
      </c>
      <c r="BI24" s="145">
        <v>41</v>
      </c>
      <c r="BJ24" s="145">
        <v>33</v>
      </c>
      <c r="BK24" s="145">
        <v>41</v>
      </c>
      <c r="BL24" s="145">
        <v>33</v>
      </c>
      <c r="BM24" s="145">
        <v>41</v>
      </c>
      <c r="BN24" s="145">
        <v>33</v>
      </c>
      <c r="BO24" s="145">
        <v>41</v>
      </c>
      <c r="BP24" s="145">
        <v>33</v>
      </c>
      <c r="BQ24" s="145">
        <v>41</v>
      </c>
      <c r="BR24" s="145">
        <v>33</v>
      </c>
      <c r="BS24" s="145">
        <v>41</v>
      </c>
      <c r="BT24" s="145">
        <v>33</v>
      </c>
      <c r="BU24" s="145">
        <v>41</v>
      </c>
      <c r="BV24" s="145">
        <v>33</v>
      </c>
      <c r="BW24" s="145">
        <v>41</v>
      </c>
      <c r="BX24" s="145">
        <v>33</v>
      </c>
      <c r="BY24" s="145">
        <v>41</v>
      </c>
      <c r="BZ24" s="145">
        <v>33</v>
      </c>
      <c r="CA24" s="145">
        <v>41</v>
      </c>
      <c r="CB24" s="145">
        <v>33</v>
      </c>
      <c r="CC24" s="145">
        <v>41</v>
      </c>
      <c r="CD24" s="145">
        <v>33</v>
      </c>
      <c r="CE24" s="145">
        <v>41</v>
      </c>
      <c r="CF24" s="145">
        <v>33</v>
      </c>
      <c r="CG24" s="145">
        <v>41</v>
      </c>
      <c r="CH24" s="145">
        <v>33</v>
      </c>
      <c r="CI24" s="145">
        <v>41</v>
      </c>
      <c r="CJ24" s="145">
        <v>33</v>
      </c>
      <c r="CK24" s="145">
        <v>41</v>
      </c>
      <c r="CL24" s="145">
        <v>33</v>
      </c>
      <c r="CM24" s="145">
        <v>41</v>
      </c>
      <c r="CN24" s="145">
        <v>33</v>
      </c>
      <c r="CO24" s="145">
        <v>41</v>
      </c>
      <c r="CP24" s="145">
        <v>33</v>
      </c>
      <c r="CQ24" s="145">
        <v>41</v>
      </c>
      <c r="CR24" s="145">
        <v>33</v>
      </c>
      <c r="CS24" s="145">
        <v>41</v>
      </c>
      <c r="CT24" s="145">
        <v>33</v>
      </c>
      <c r="CU24" s="145">
        <v>41</v>
      </c>
      <c r="CV24" s="145">
        <v>33</v>
      </c>
      <c r="CW24" s="145">
        <v>41</v>
      </c>
      <c r="CX24" s="145">
        <v>33</v>
      </c>
      <c r="CY24" s="145">
        <v>41</v>
      </c>
      <c r="CZ24" s="145">
        <v>33</v>
      </c>
      <c r="DA24" s="145">
        <v>41</v>
      </c>
      <c r="DB24" s="145">
        <v>33</v>
      </c>
      <c r="DC24" s="145">
        <v>41</v>
      </c>
      <c r="DD24" s="145">
        <v>33</v>
      </c>
      <c r="DE24" s="145">
        <v>41</v>
      </c>
      <c r="DF24" s="108">
        <v>33</v>
      </c>
      <c r="DG24" s="84"/>
      <c r="DH24" s="112">
        <f t="shared" si="3"/>
        <v>0</v>
      </c>
      <c r="DI24" s="138">
        <f t="shared" si="4"/>
        <v>-3</v>
      </c>
      <c r="DJ24" s="138">
        <f t="shared" si="5"/>
        <v>0</v>
      </c>
      <c r="DK24" s="138">
        <f t="shared" si="6"/>
        <v>7.75</v>
      </c>
      <c r="DL24" s="138">
        <f t="shared" si="7"/>
        <v>0</v>
      </c>
      <c r="DM24" s="138">
        <f t="shared" si="8"/>
        <v>0.25</v>
      </c>
      <c r="DN24" s="138">
        <f t="shared" si="9"/>
        <v>0</v>
      </c>
      <c r="DO24" s="138">
        <f t="shared" si="10"/>
        <v>0</v>
      </c>
      <c r="DP24" s="138">
        <f t="shared" si="11"/>
        <v>0</v>
      </c>
      <c r="DQ24" s="138">
        <f t="shared" si="12"/>
        <v>0</v>
      </c>
      <c r="DR24" s="138">
        <f t="shared" si="13"/>
        <v>0</v>
      </c>
      <c r="DS24" s="138">
        <f t="shared" si="14"/>
        <v>0</v>
      </c>
      <c r="DT24" s="138">
        <f t="shared" si="15"/>
        <v>0</v>
      </c>
      <c r="DU24" s="138">
        <f t="shared" si="16"/>
        <v>0</v>
      </c>
      <c r="DV24" s="138">
        <f t="shared" si="17"/>
        <v>0</v>
      </c>
      <c r="DW24" s="138">
        <f t="shared" si="18"/>
        <v>0</v>
      </c>
      <c r="DX24" s="138">
        <f t="shared" si="19"/>
        <v>0</v>
      </c>
      <c r="DY24" s="138">
        <f t="shared" si="20"/>
        <v>0</v>
      </c>
      <c r="DZ24" s="138">
        <f t="shared" si="21"/>
        <v>0</v>
      </c>
      <c r="EA24" s="138">
        <f t="shared" si="22"/>
        <v>0</v>
      </c>
      <c r="EB24" s="138">
        <f t="shared" si="23"/>
        <v>0</v>
      </c>
      <c r="EC24" s="138">
        <f t="shared" si="24"/>
        <v>0</v>
      </c>
      <c r="ED24" s="138">
        <f t="shared" si="25"/>
        <v>0</v>
      </c>
      <c r="EE24" s="138">
        <f t="shared" si="26"/>
        <v>0</v>
      </c>
      <c r="EF24" s="138">
        <f t="shared" si="27"/>
        <v>0</v>
      </c>
      <c r="EG24" s="138">
        <f t="shared" si="28"/>
        <v>0</v>
      </c>
      <c r="EH24" s="138">
        <f t="shared" si="29"/>
        <v>0</v>
      </c>
      <c r="EI24" s="138">
        <f t="shared" si="30"/>
        <v>0</v>
      </c>
      <c r="EJ24" s="138">
        <f t="shared" si="31"/>
        <v>0</v>
      </c>
      <c r="EK24" s="138">
        <f t="shared" si="32"/>
        <v>0</v>
      </c>
      <c r="EL24" s="138">
        <f t="shared" si="33"/>
        <v>0</v>
      </c>
      <c r="EM24" s="138">
        <f t="shared" si="34"/>
        <v>0</v>
      </c>
      <c r="EN24" s="138">
        <f t="shared" si="35"/>
        <v>0</v>
      </c>
      <c r="EO24" s="138">
        <f t="shared" si="36"/>
        <v>0</v>
      </c>
      <c r="EP24" s="138">
        <f t="shared" si="37"/>
        <v>0</v>
      </c>
      <c r="EQ24" s="138">
        <f t="shared" si="38"/>
        <v>0</v>
      </c>
      <c r="ER24" s="138">
        <f t="shared" si="39"/>
        <v>0</v>
      </c>
      <c r="ES24" s="138">
        <f t="shared" si="40"/>
        <v>0</v>
      </c>
      <c r="ET24" s="138">
        <f t="shared" si="41"/>
        <v>0</v>
      </c>
      <c r="EU24" s="138">
        <f t="shared" si="42"/>
        <v>0</v>
      </c>
      <c r="EV24" s="138">
        <f t="shared" si="43"/>
        <v>0</v>
      </c>
      <c r="EW24" s="138">
        <f t="shared" si="44"/>
        <v>0</v>
      </c>
      <c r="EX24" s="138">
        <f t="shared" si="45"/>
        <v>0</v>
      </c>
      <c r="EY24" s="138">
        <f t="shared" si="46"/>
        <v>0</v>
      </c>
      <c r="EZ24" s="138">
        <f t="shared" si="47"/>
        <v>0</v>
      </c>
      <c r="FA24" s="138">
        <f t="shared" si="48"/>
        <v>0</v>
      </c>
      <c r="FB24" s="138">
        <f t="shared" si="49"/>
        <v>0</v>
      </c>
      <c r="FC24" s="138">
        <f t="shared" si="50"/>
        <v>0</v>
      </c>
      <c r="FD24" s="138">
        <f t="shared" si="51"/>
        <v>0</v>
      </c>
      <c r="FE24" s="138">
        <f t="shared" si="52"/>
        <v>0</v>
      </c>
      <c r="FF24" s="138">
        <f t="shared" si="53"/>
        <v>0</v>
      </c>
      <c r="FG24" s="113">
        <f t="shared" si="54"/>
        <v>0</v>
      </c>
      <c r="FH24" s="113">
        <f t="shared" si="55"/>
        <v>5</v>
      </c>
      <c r="FI24" s="35"/>
      <c r="FJ24" s="151" cm="1">
        <f t="array" ref="FJ24">IF($C24="Production",
IFERROR(_xlfn.IFS(AND(DH24&gt;0,DH24+SUM(BF24:BG24)&lt;=$FM$3),DH24,AND(DH24&gt;0,DH24+SUM(BF24:BG24)&gt;$FM$3),$FM$3-SUM(BF24:BG24)),0),
IFERROR(_xlfn.IFS(AND(DH24&gt;0,DH24+BG24&lt;=$FK$3),DH24,AND(DH24&gt;0,DH24+BG24&gt;$FK$3),0),0)
)</f>
        <v>0</v>
      </c>
      <c r="FK24" s="152" cm="1">
        <f t="array" ref="FK24">IF($C24="Production",
IFERROR(_xlfn.IFS(AND(DI24&gt;0,DI24+SUM(BG24:BH24)&lt;=$FM$3),DI24,AND(DI24&gt;0,DI24+SUM(BG24:BH24)&gt;$FM$3),$FM$3-SUM(BG24:BH24)),0),
IFERROR(_xlfn.IFS(AND(DI24&gt;0,DI24+BH24&lt;=$FK$3),DI24,AND(DI24&gt;0,DI24+BH24&gt;$FK$3),0),0)
)</f>
        <v>0</v>
      </c>
      <c r="FL24" s="152" cm="1">
        <f t="array" ref="FL24">IF($C24="Production",
IFERROR(_xlfn.IFS(AND(DJ24&gt;0,DJ24+SUM(BH24:BI24)&lt;=$FM$3),DJ24,AND(DJ24&gt;0,DJ24+SUM(BH24:BI24)&gt;$FM$3),$FM$3-SUM(BH24:BI24)),0),
IFERROR(_xlfn.IFS(AND(DJ24&gt;0,DJ24+BI24&lt;=$FK$3),DJ24,AND(DJ24&gt;0,DJ24+BI24&gt;$FK$3),0),0)
)</f>
        <v>0</v>
      </c>
      <c r="FM24" s="152" cm="1">
        <f t="array" ref="FM24">IF($C24="Production",
IFERROR(_xlfn.IFS(AND(DK24&gt;0,DK24+SUM(BI24:BJ24)&lt;=$FM$3),DK24,AND(DK24&gt;0,DK24+SUM(BI24:BJ24)&gt;$FM$3),$FM$3-SUM(BI24:BJ24)),0),
IFERROR(_xlfn.IFS(AND(DK24&gt;0,DK24+BJ24&lt;=$FK$3),DK24,AND(DK24&gt;0,DK24+BJ24&gt;$FK$3),0),0)
)</f>
        <v>7.75</v>
      </c>
      <c r="FN24" s="152" cm="1">
        <f t="array" ref="FN24">IF($C24="Production",
IFERROR(_xlfn.IFS(AND(DL24&gt;0,DL24+SUM(BJ24:BK24)&lt;=$FM$3),DL24,AND(DL24&gt;0,DL24+SUM(BJ24:BK24)&gt;$FM$3),$FM$3-SUM(BJ24:BK24)),0),
IFERROR(_xlfn.IFS(AND(DL24&gt;0,DL24+BK24&lt;=$FK$3),DL24,AND(DL24&gt;0,DL24+BK24&gt;$FK$3),0),0)
)</f>
        <v>0</v>
      </c>
      <c r="FO24" s="152" cm="1">
        <f t="array" ref="FO24">IF($C24="Production",
IFERROR(_xlfn.IFS(AND(DM24&gt;0,DM24+SUM(BK24:BL24)&lt;=$FM$3),DM24,AND(DM24&gt;0,DM24+SUM(BK24:BL24)&gt;$FM$3),$FM$3-SUM(BK24:BL24)),0),
IFERROR(_xlfn.IFS(AND(DM24&gt;0,DM24+BL24&lt;=$FK$3),DM24,AND(DM24&gt;0,DM24+BL24&gt;$FK$3),0),0)
)</f>
        <v>0.25</v>
      </c>
      <c r="FP24" s="152" cm="1">
        <f t="array" ref="FP24">IF($C24="Production",
IFERROR(_xlfn.IFS(AND(DN24&gt;0,DN24+SUM(BL24:BM24)&lt;=$FM$3),DN24,AND(DN24&gt;0,DN24+SUM(BL24:BM24)&gt;$FM$3),$FM$3-SUM(BL24:BM24)),0),
IFERROR(_xlfn.IFS(AND(DN24&gt;0,DN24+BM24&lt;=$FK$3),DN24,AND(DN24&gt;0,DN24+BM24&gt;$FK$3),0),0)
)</f>
        <v>0</v>
      </c>
      <c r="FQ24" s="152" cm="1">
        <f t="array" ref="FQ24">IF($C24="Production",
IFERROR(_xlfn.IFS(AND(DO24&gt;0,DO24+SUM(BM24:BN24)&lt;=$FM$3),DO24,AND(DO24&gt;0,DO24+SUM(BM24:BN24)&gt;$FM$3),$FM$3-SUM(BM24:BN24)),0),
IFERROR(_xlfn.IFS(AND(DO24&gt;0,DO24+BN24&lt;=$FK$3),DO24,AND(DO24&gt;0,DO24+BN24&gt;$FK$3),0),0)
)</f>
        <v>0</v>
      </c>
      <c r="FR24" s="152" cm="1">
        <f t="array" ref="FR24">IF($C24="Production",
IFERROR(_xlfn.IFS(AND(DP24&gt;0,DP24+SUM(BN24:BO24)&lt;=$FM$3),DP24,AND(DP24&gt;0,DP24+SUM(BN24:BO24)&gt;$FM$3),$FM$3-SUM(BN24:BO24)),0),
IFERROR(_xlfn.IFS(AND(DP24&gt;0,DP24+BO24&lt;=$FK$3),DP24,AND(DP24&gt;0,DP24+BO24&gt;$FK$3),0),0)
)</f>
        <v>0</v>
      </c>
      <c r="FS24" s="152" cm="1">
        <f t="array" ref="FS24">IF($C24="Production",
IFERROR(_xlfn.IFS(AND(DQ24&gt;0,DQ24+SUM(BO24:BP24)&lt;=$FM$3),DQ24,AND(DQ24&gt;0,DQ24+SUM(BO24:BP24)&gt;$FM$3),$FM$3-SUM(BO24:BP24)),0),
IFERROR(_xlfn.IFS(AND(DQ24&gt;0,DQ24+BP24&lt;=$FK$3),DQ24,AND(DQ24&gt;0,DQ24+BP24&gt;$FK$3),0),0)
)</f>
        <v>0</v>
      </c>
      <c r="FT24" s="152" cm="1">
        <f t="array" ref="FT24">IF($C24="Production",
IFERROR(_xlfn.IFS(AND(DR24&gt;0,DR24+SUM(BP24:BQ24)&lt;=$FM$3),DR24,AND(DR24&gt;0,DR24+SUM(BP24:BQ24)&gt;$FM$3),$FM$3-SUM(BP24:BQ24)),0),
IFERROR(_xlfn.IFS(AND(DR24&gt;0,DR24+BQ24&lt;=$FK$3),DR24,AND(DR24&gt;0,DR24+BQ24&gt;$FK$3),0),0)
)</f>
        <v>0</v>
      </c>
      <c r="FU24" s="152" cm="1">
        <f t="array" ref="FU24">IF($C24="Production",
IFERROR(_xlfn.IFS(AND(DS24&gt;0,DS24+SUM(BQ24:BR24)&lt;=$FM$3),DS24,AND(DS24&gt;0,DS24+SUM(BQ24:BR24)&gt;$FM$3),$FM$3-SUM(BQ24:BR24)),0),
IFERROR(_xlfn.IFS(AND(DS24&gt;0,DS24+BR24&lt;=$FK$3),DS24,AND(DS24&gt;0,DS24+BR24&gt;$FK$3),0),0)
)</f>
        <v>0</v>
      </c>
      <c r="FV24" s="152" cm="1">
        <f t="array" ref="FV24">IF($C24="Production",
IFERROR(_xlfn.IFS(AND(DT24&gt;0,DT24+SUM(BR24:BS24)&lt;=$FM$3),DT24,AND(DT24&gt;0,DT24+SUM(BR24:BS24)&gt;$FM$3),$FM$3-SUM(BR24:BS24)),0),
IFERROR(_xlfn.IFS(AND(DT24&gt;0,DT24+BS24&lt;=$FK$3),DT24,AND(DT24&gt;0,DT24+BS24&gt;$FK$3),0),0)
)</f>
        <v>0</v>
      </c>
      <c r="FW24" s="152" cm="1">
        <f t="array" ref="FW24">IF($C24="Production",
IFERROR(_xlfn.IFS(AND(DU24&gt;0,DU24+SUM(BS24:BT24)&lt;=$FM$3),DU24,AND(DU24&gt;0,DU24+SUM(BS24:BT24)&gt;$FM$3),$FM$3-SUM(BS24:BT24)),0),
IFERROR(_xlfn.IFS(AND(DU24&gt;0,DU24+BT24&lt;=$FK$3),DU24,AND(DU24&gt;0,DU24+BT24&gt;$FK$3),0),0)
)</f>
        <v>0</v>
      </c>
      <c r="FX24" s="152" cm="1">
        <f t="array" ref="FX24">IF($C24="Production",
IFERROR(_xlfn.IFS(AND(DV24&gt;0,DV24+SUM(BT24:BU24)&lt;=$FM$3),DV24,AND(DV24&gt;0,DV24+SUM(BT24:BU24)&gt;$FM$3),$FM$3-SUM(BT24:BU24)),0),
IFERROR(_xlfn.IFS(AND(DV24&gt;0,DV24+BU24&lt;=$FK$3),DV24,AND(DV24&gt;0,DV24+BU24&gt;$FK$3),0),0)
)</f>
        <v>0</v>
      </c>
      <c r="FY24" s="152" cm="1">
        <f t="array" ref="FY24">IF($C24="Production",
IFERROR(_xlfn.IFS(AND(DW24&gt;0,DW24+SUM(BU24:BV24)&lt;=$FM$3),DW24,AND(DW24&gt;0,DW24+SUM(BU24:BV24)&gt;$FM$3),$FM$3-SUM(BU24:BV24)),0),
IFERROR(_xlfn.IFS(AND(DW24&gt;0,DW24+BV24&lt;=$FK$3),DW24,AND(DW24&gt;0,DW24+BV24&gt;$FK$3),0),0)
)</f>
        <v>0</v>
      </c>
      <c r="FZ24" s="152" cm="1">
        <f t="array" ref="FZ24">IF($C24="Production",
IFERROR(_xlfn.IFS(AND(DX24&gt;0,DX24+SUM(BV24:BW24)&lt;=$FM$3),DX24,AND(DX24&gt;0,DX24+SUM(BV24:BW24)&gt;$FM$3),$FM$3-SUM(BV24:BW24)),0),
IFERROR(_xlfn.IFS(AND(DX24&gt;0,DX24+BW24&lt;=$FK$3),DX24,AND(DX24&gt;0,DX24+BW24&gt;$FK$3),0),0)
)</f>
        <v>0</v>
      </c>
      <c r="GA24" s="152" cm="1">
        <f t="array" ref="GA24">IF($C24="Production",
IFERROR(_xlfn.IFS(AND(DY24&gt;0,DY24+SUM(BW24:BX24)&lt;=$FM$3),DY24,AND(DY24&gt;0,DY24+SUM(BW24:BX24)&gt;$FM$3),$FM$3-SUM(BW24:BX24)),0),
IFERROR(_xlfn.IFS(AND(DY24&gt;0,DY24+BX24&lt;=$FK$3),DY24,AND(DY24&gt;0,DY24+BX24&gt;$FK$3),0),0)
)</f>
        <v>0</v>
      </c>
      <c r="GB24" s="152" cm="1">
        <f t="array" ref="GB24">IF($C24="Production",
IFERROR(_xlfn.IFS(AND(DZ24&gt;0,DZ24+SUM(BX24:BY24)&lt;=$FM$3),DZ24,AND(DZ24&gt;0,DZ24+SUM(BX24:BY24)&gt;$FM$3),$FM$3-SUM(BX24:BY24)),0),
IFERROR(_xlfn.IFS(AND(DZ24&gt;0,DZ24+BY24&lt;=$FK$3),DZ24,AND(DZ24&gt;0,DZ24+BY24&gt;$FK$3),0),0)
)</f>
        <v>0</v>
      </c>
      <c r="GC24" s="152" cm="1">
        <f t="array" ref="GC24">IF($C24="Production",
IFERROR(_xlfn.IFS(AND(EA24&gt;0,EA24+SUM(BY24:BZ24)&lt;=$FM$3),EA24,AND(EA24&gt;0,EA24+SUM(BY24:BZ24)&gt;$FM$3),$FM$3-SUM(BY24:BZ24)),0),
IFERROR(_xlfn.IFS(AND(EA24&gt;0,EA24+BZ24&lt;=$FK$3),EA24,AND(EA24&gt;0,EA24+BZ24&gt;$FK$3),0),0)
)</f>
        <v>0</v>
      </c>
      <c r="GD24" s="152" cm="1">
        <f t="array" ref="GD24">IF($C24="Production",
IFERROR(_xlfn.IFS(AND(EB24&gt;0,EB24+SUM(BZ24:CA24)&lt;=$FM$3),EB24,AND(EB24&gt;0,EB24+SUM(BZ24:CA24)&gt;$FM$3),$FM$3-SUM(BZ24:CA24)),0),
IFERROR(_xlfn.IFS(AND(EB24&gt;0,EB24+CA24&lt;=$FK$3),EB24,AND(EB24&gt;0,EB24+CA24&gt;$FK$3),0),0)
)</f>
        <v>0</v>
      </c>
      <c r="GE24" s="152" cm="1">
        <f t="array" ref="GE24">IF($C24="Production",
IFERROR(_xlfn.IFS(AND(EC24&gt;0,EC24+SUM(CA24:CB24)&lt;=$FM$3),EC24,AND(EC24&gt;0,EC24+SUM(CA24:CB24)&gt;$FM$3),$FM$3-SUM(CA24:CB24)),0),
IFERROR(_xlfn.IFS(AND(EC24&gt;0,EC24+CB24&lt;=$FK$3),EC24,AND(EC24&gt;0,EC24+CB24&gt;$FK$3),0),0)
)</f>
        <v>0</v>
      </c>
      <c r="GF24" s="152" cm="1">
        <f t="array" ref="GF24">IF($C24="Production",
IFERROR(_xlfn.IFS(AND(ED24&gt;0,ED24+SUM(CB24:CC24)&lt;=$FM$3),ED24,AND(ED24&gt;0,ED24+SUM(CB24:CC24)&gt;$FM$3),$FM$3-SUM(CB24:CC24)),0),
IFERROR(_xlfn.IFS(AND(ED24&gt;0,ED24+CC24&lt;=$FK$3),ED24,AND(ED24&gt;0,ED24+CC24&gt;$FK$3),0),0)
)</f>
        <v>0</v>
      </c>
      <c r="GG24" s="152" cm="1">
        <f t="array" ref="GG24">IF($C24="Production",
IFERROR(_xlfn.IFS(AND(EE24&gt;0,EE24+SUM(CC24:CD24)&lt;=$FM$3),EE24,AND(EE24&gt;0,EE24+SUM(CC24:CD24)&gt;$FM$3),$FM$3-SUM(CC24:CD24)),0),
IFERROR(_xlfn.IFS(AND(EE24&gt;0,EE24+CD24&lt;=$FK$3),EE24,AND(EE24&gt;0,EE24+CD24&gt;$FK$3),0),0)
)</f>
        <v>0</v>
      </c>
      <c r="GH24" s="152" cm="1">
        <f t="array" ref="GH24">IF($C24="Production",
IFERROR(_xlfn.IFS(AND(EF24&gt;0,EF24+SUM(CD24:CE24)&lt;=$FM$3),EF24,AND(EF24&gt;0,EF24+SUM(CD24:CE24)&gt;$FM$3),$FM$3-SUM(CD24:CE24)),0),
IFERROR(_xlfn.IFS(AND(EF24&gt;0,EF24+CE24&lt;=$FK$3),EF24,AND(EF24&gt;0,EF24+CE24&gt;$FK$3),0),0)
)</f>
        <v>0</v>
      </c>
      <c r="GI24" s="152" cm="1">
        <f t="array" ref="GI24">IF($C24="Production",
IFERROR(_xlfn.IFS(AND(EG24&gt;0,EG24+SUM(CE24:CF24)&lt;=$FM$3),EG24,AND(EG24&gt;0,EG24+SUM(CE24:CF24)&gt;$FM$3),$FM$3-SUM(CE24:CF24)),0),
IFERROR(_xlfn.IFS(AND(EG24&gt;0,EG24+CF24&lt;=$FK$3),EG24,AND(EG24&gt;0,EG24+CF24&gt;$FK$3),0),0)
)</f>
        <v>0</v>
      </c>
      <c r="GJ24" s="152" cm="1">
        <f t="array" ref="GJ24">IF($C24="Production",
IFERROR(_xlfn.IFS(AND(EH24&gt;0,EH24+SUM(CF24:CG24)&lt;=$FM$3),EH24,AND(EH24&gt;0,EH24+SUM(CF24:CG24)&gt;$FM$3),$FM$3-SUM(CF24:CG24)),0),
IFERROR(_xlfn.IFS(AND(EH24&gt;0,EH24+CG24&lt;=$FK$3),EH24,AND(EH24&gt;0,EH24+CG24&gt;$FK$3),0),0)
)</f>
        <v>0</v>
      </c>
      <c r="GK24" s="152" cm="1">
        <f t="array" ref="GK24">IF($C24="Production",
IFERROR(_xlfn.IFS(AND(EI24&gt;0,EI24+SUM(CG24:CH24)&lt;=$FM$3),EI24,AND(EI24&gt;0,EI24+SUM(CG24:CH24)&gt;$FM$3),$FM$3-SUM(CG24:CH24)),0),
IFERROR(_xlfn.IFS(AND(EI24&gt;0,EI24+CH24&lt;=$FK$3),EI24,AND(EI24&gt;0,EI24+CH24&gt;$FK$3),0),0)
)</f>
        <v>0</v>
      </c>
      <c r="GL24" s="152" cm="1">
        <f t="array" ref="GL24">IF($C24="Production",
IFERROR(_xlfn.IFS(AND(EJ24&gt;0,EJ24+SUM(CH24:CI24)&lt;=$FM$3),EJ24,AND(EJ24&gt;0,EJ24+SUM(CH24:CI24)&gt;$FM$3),$FM$3-SUM(CH24:CI24)),0),
IFERROR(_xlfn.IFS(AND(EJ24&gt;0,EJ24+CI24&lt;=$FK$3),EJ24,AND(EJ24&gt;0,EJ24+CI24&gt;$FK$3),0),0)
)</f>
        <v>0</v>
      </c>
      <c r="GM24" s="152" cm="1">
        <f t="array" ref="GM24">IF($C24="Production",
IFERROR(_xlfn.IFS(AND(EK24&gt;0,EK24+SUM(CI24:CJ24)&lt;=$FM$3),EK24,AND(EK24&gt;0,EK24+SUM(CI24:CJ24)&gt;$FM$3),$FM$3-SUM(CI24:CJ24)),0),
IFERROR(_xlfn.IFS(AND(EK24&gt;0,EK24+CJ24&lt;=$FK$3),EK24,AND(EK24&gt;0,EK24+CJ24&gt;$FK$3),0),0)
)</f>
        <v>0</v>
      </c>
      <c r="GN24" s="152" cm="1">
        <f t="array" ref="GN24">IF($C24="Production",
IFERROR(_xlfn.IFS(AND(EL24&gt;0,EL24+SUM(CJ24:CK24)&lt;=$FM$3),EL24,AND(EL24&gt;0,EL24+SUM(CJ24:CK24)&gt;$FM$3),$FM$3-SUM(CJ24:CK24)),0),
IFERROR(_xlfn.IFS(AND(EL24&gt;0,EL24+CK24&lt;=$FK$3),EL24,AND(EL24&gt;0,EL24+CK24&gt;$FK$3),0),0)
)</f>
        <v>0</v>
      </c>
      <c r="GO24" s="152" cm="1">
        <f t="array" ref="GO24">IF($C24="Production",
IFERROR(_xlfn.IFS(AND(EM24&gt;0,EM24+SUM(CK24:CL24)&lt;=$FM$3),EM24,AND(EM24&gt;0,EM24+SUM(CK24:CL24)&gt;$FM$3),$FM$3-SUM(CK24:CL24)),0),
IFERROR(_xlfn.IFS(AND(EM24&gt;0,EM24+CL24&lt;=$FK$3),EM24,AND(EM24&gt;0,EM24+CL24&gt;$FK$3),0),0)
)</f>
        <v>0</v>
      </c>
      <c r="GP24" s="152" cm="1">
        <f t="array" ref="GP24">IF($C24="Production",
IFERROR(_xlfn.IFS(AND(EN24&gt;0,EN24+SUM(CL24:CM24)&lt;=$FM$3),EN24,AND(EN24&gt;0,EN24+SUM(CL24:CM24)&gt;$FM$3),$FM$3-SUM(CL24:CM24)),0),
IFERROR(_xlfn.IFS(AND(EN24&gt;0,EN24+CM24&lt;=$FK$3),EN24,AND(EN24&gt;0,EN24+CM24&gt;$FK$3),0),0)
)</f>
        <v>0</v>
      </c>
      <c r="GQ24" s="152" cm="1">
        <f t="array" ref="GQ24">IF($C24="Production",
IFERROR(_xlfn.IFS(AND(EO24&gt;0,EO24+SUM(CM24:CN24)&lt;=$FM$3),EO24,AND(EO24&gt;0,EO24+SUM(CM24:CN24)&gt;$FM$3),$FM$3-SUM(CM24:CN24)),0),
IFERROR(_xlfn.IFS(AND(EO24&gt;0,EO24+CN24&lt;=$FK$3),EO24,AND(EO24&gt;0,EO24+CN24&gt;$FK$3),0),0)
)</f>
        <v>0</v>
      </c>
      <c r="GR24" s="152" cm="1">
        <f t="array" ref="GR24">IF($C24="Production",
IFERROR(_xlfn.IFS(AND(EP24&gt;0,EP24+SUM(CN24:CO24)&lt;=$FM$3),EP24,AND(EP24&gt;0,EP24+SUM(CN24:CO24)&gt;$FM$3),$FM$3-SUM(CN24:CO24)),0),
IFERROR(_xlfn.IFS(AND(EP24&gt;0,EP24+CO24&lt;=$FK$3),EP24,AND(EP24&gt;0,EP24+CO24&gt;$FK$3),0),0)
)</f>
        <v>0</v>
      </c>
      <c r="GS24" s="152" cm="1">
        <f t="array" ref="GS24">IF($C24="Production",
IFERROR(_xlfn.IFS(AND(EQ24&gt;0,EQ24+SUM(CO24:CP24)&lt;=$FM$3),EQ24,AND(EQ24&gt;0,EQ24+SUM(CO24:CP24)&gt;$FM$3),$FM$3-SUM(CO24:CP24)),0),
IFERROR(_xlfn.IFS(AND(EQ24&gt;0,EQ24+CP24&lt;=$FK$3),EQ24,AND(EQ24&gt;0,EQ24+CP24&gt;$FK$3),0),0)
)</f>
        <v>0</v>
      </c>
      <c r="GT24" s="152" cm="1">
        <f t="array" ref="GT24">IF($C24="Production",
IFERROR(_xlfn.IFS(AND(ER24&gt;0,ER24+SUM(CP24:CQ24)&lt;=$FM$3),ER24,AND(ER24&gt;0,ER24+SUM(CP24:CQ24)&gt;$FM$3),$FM$3-SUM(CP24:CQ24)),0),
IFERROR(_xlfn.IFS(AND(ER24&gt;0,ER24+CQ24&lt;=$FK$3),ER24,AND(ER24&gt;0,ER24+CQ24&gt;$FK$3),0),0)
)</f>
        <v>0</v>
      </c>
      <c r="GU24" s="152" cm="1">
        <f t="array" ref="GU24">IF($C24="Production",
IFERROR(_xlfn.IFS(AND(ES24&gt;0,ES24+SUM(CQ24:CR24)&lt;=$FM$3),ES24,AND(ES24&gt;0,ES24+SUM(CQ24:CR24)&gt;$FM$3),$FM$3-SUM(CQ24:CR24)),0),
IFERROR(_xlfn.IFS(AND(ES24&gt;0,ES24+CR24&lt;=$FK$3),ES24,AND(ES24&gt;0,ES24+CR24&gt;$FK$3),0),0)
)</f>
        <v>0</v>
      </c>
      <c r="GV24" s="152" cm="1">
        <f t="array" ref="GV24">IF($C24="Production",
IFERROR(_xlfn.IFS(AND(ET24&gt;0,ET24+SUM(CR24:CS24)&lt;=$FM$3),ET24,AND(ET24&gt;0,ET24+SUM(CR24:CS24)&gt;$FM$3),$FM$3-SUM(CR24:CS24)),0),
IFERROR(_xlfn.IFS(AND(ET24&gt;0,ET24+CS24&lt;=$FK$3),ET24,AND(ET24&gt;0,ET24+CS24&gt;$FK$3),0),0)
)</f>
        <v>0</v>
      </c>
      <c r="GW24" s="152" cm="1">
        <f t="array" ref="GW24">IF($C24="Production",
IFERROR(_xlfn.IFS(AND(EU24&gt;0,EU24+SUM(CS24:CT24)&lt;=$FM$3),EU24,AND(EU24&gt;0,EU24+SUM(CS24:CT24)&gt;$FM$3),$FM$3-SUM(CS24:CT24)),0),
IFERROR(_xlfn.IFS(AND(EU24&gt;0,EU24+CT24&lt;=$FK$3),EU24,AND(EU24&gt;0,EU24+CT24&gt;$FK$3),0),0)
)</f>
        <v>0</v>
      </c>
      <c r="GX24" s="152" cm="1">
        <f t="array" ref="GX24">IF($C24="Production",
IFERROR(_xlfn.IFS(AND(EV24&gt;0,EV24+SUM(CT24:CU24)&lt;=$FM$3),EV24,AND(EV24&gt;0,EV24+SUM(CT24:CU24)&gt;$FM$3),$FM$3-SUM(CT24:CU24)),0),
IFERROR(_xlfn.IFS(AND(EV24&gt;0,EV24+CU24&lt;=$FK$3),EV24,AND(EV24&gt;0,EV24+CU24&gt;$FK$3),0),0)
)</f>
        <v>0</v>
      </c>
      <c r="GY24" s="152" cm="1">
        <f t="array" ref="GY24">IF($C24="Production",
IFERROR(_xlfn.IFS(AND(EW24&gt;0,EW24+SUM(CU24:CV24)&lt;=$FM$3),EW24,AND(EW24&gt;0,EW24+SUM(CU24:CV24)&gt;$FM$3),$FM$3-SUM(CU24:CV24)),0),
IFERROR(_xlfn.IFS(AND(EW24&gt;0,EW24+CV24&lt;=$FK$3),EW24,AND(EW24&gt;0,EW24+CV24&gt;$FK$3),0),0)
)</f>
        <v>0</v>
      </c>
      <c r="GZ24" s="152" cm="1">
        <f t="array" ref="GZ24">IF($C24="Production",
IFERROR(_xlfn.IFS(AND(EX24&gt;0,EX24+SUM(CV24:CW24)&lt;=$FM$3),EX24,AND(EX24&gt;0,EX24+SUM(CV24:CW24)&gt;$FM$3),$FM$3-SUM(CV24:CW24)),0),
IFERROR(_xlfn.IFS(AND(EX24&gt;0,EX24+CW24&lt;=$FK$3),EX24,AND(EX24&gt;0,EX24+CW24&gt;$FK$3),0),0)
)</f>
        <v>0</v>
      </c>
      <c r="HA24" s="152" cm="1">
        <f t="array" ref="HA24">IF($C24="Production",
IFERROR(_xlfn.IFS(AND(EY24&gt;0,EY24+SUM(CW24:CX24)&lt;=$FM$3),EY24,AND(EY24&gt;0,EY24+SUM(CW24:CX24)&gt;$FM$3),$FM$3-SUM(CW24:CX24)),0),
IFERROR(_xlfn.IFS(AND(EY24&gt;0,EY24+CX24&lt;=$FK$3),EY24,AND(EY24&gt;0,EY24+CX24&gt;$FK$3),0),0)
)</f>
        <v>0</v>
      </c>
      <c r="HB24" s="152" cm="1">
        <f t="array" ref="HB24">IF($C24="Production",
IFERROR(_xlfn.IFS(AND(EZ24&gt;0,EZ24+SUM(CX24:CY24)&lt;=$FM$3),EZ24,AND(EZ24&gt;0,EZ24+SUM(CX24:CY24)&gt;$FM$3),$FM$3-SUM(CX24:CY24)),0),
IFERROR(_xlfn.IFS(AND(EZ24&gt;0,EZ24+CY24&lt;=$FK$3),EZ24,AND(EZ24&gt;0,EZ24+CY24&gt;$FK$3),0),0)
)</f>
        <v>0</v>
      </c>
      <c r="HC24" s="152" cm="1">
        <f t="array" ref="HC24">IF($C24="Production",
IFERROR(_xlfn.IFS(AND(FA24&gt;0,FA24+SUM(CY24:CZ24)&lt;=$FM$3),FA24,AND(FA24&gt;0,FA24+SUM(CY24:CZ24)&gt;$FM$3),$FM$3-SUM(CY24:CZ24)),0),
IFERROR(_xlfn.IFS(AND(FA24&gt;0,FA24+CZ24&lt;=$FK$3),FA24,AND(FA24&gt;0,FA24+CZ24&gt;$FK$3),0),0)
)</f>
        <v>0</v>
      </c>
      <c r="HD24" s="152" cm="1">
        <f t="array" ref="HD24">IF($C24="Production",
IFERROR(_xlfn.IFS(AND(FB24&gt;0,FB24+SUM(CZ24:DA24)&lt;=$FM$3),FB24,AND(FB24&gt;0,FB24+SUM(CZ24:DA24)&gt;$FM$3),$FM$3-SUM(CZ24:DA24)),0),
IFERROR(_xlfn.IFS(AND(FB24&gt;0,FB24+DA24&lt;=$FK$3),FB24,AND(FB24&gt;0,FB24+DA24&gt;$FK$3),0),0)
)</f>
        <v>0</v>
      </c>
      <c r="HE24" s="152" cm="1">
        <f t="array" ref="HE24">IF($C24="Production",
IFERROR(_xlfn.IFS(AND(FC24&gt;0,FC24+SUM(DA24:DB24)&lt;=$FM$3),FC24,AND(FC24&gt;0,FC24+SUM(DA24:DB24)&gt;$FM$3),$FM$3-SUM(DA24:DB24)),0),
IFERROR(_xlfn.IFS(AND(FC24&gt;0,FC24+DB24&lt;=$FK$3),FC24,AND(FC24&gt;0,FC24+DB24&gt;$FK$3),0),0)
)</f>
        <v>0</v>
      </c>
      <c r="HF24" s="152" cm="1">
        <f t="array" ref="HF24">IF($C24="Production",
IFERROR(_xlfn.IFS(AND(FD24&gt;0,FD24+SUM(DB24:DC24)&lt;=$FM$3),FD24,AND(FD24&gt;0,FD24+SUM(DB24:DC24)&gt;$FM$3),$FM$3-SUM(DB24:DC24)),0),
IFERROR(_xlfn.IFS(AND(FD24&gt;0,FD24+DC24&lt;=$FK$3),FD24,AND(FD24&gt;0,FD24+DC24&gt;$FK$3),0),0)
)</f>
        <v>0</v>
      </c>
      <c r="HG24" s="152" cm="1">
        <f t="array" ref="HG24">IF($C24="Production",
IFERROR(_xlfn.IFS(AND(FE24&gt;0,FE24+SUM(DC24:DD24)&lt;=$FM$3),FE24,AND(FE24&gt;0,FE24+SUM(DC24:DD24)&gt;$FM$3),$FM$3-SUM(DC24:DD24)),0),
IFERROR(_xlfn.IFS(AND(FE24&gt;0,FE24+DD24&lt;=$FK$3),FE24,AND(FE24&gt;0,FE24+DD24&gt;$FK$3),0),0)
)</f>
        <v>0</v>
      </c>
      <c r="HH24" s="152" cm="1">
        <f t="array" ref="HH24">IF($C24="Production",
IFERROR(_xlfn.IFS(AND(FF24&gt;0,FF24+SUM(DD24:DE24)&lt;=$FM$3),FF24,AND(FF24&gt;0,FF24+SUM(DD24:DE24)&gt;$FM$3),$FM$3-SUM(DD24:DE24)),0),
IFERROR(_xlfn.IFS(AND(FF24&gt;0,FF24+DE24&lt;=$FK$3),FF24,AND(FF24&gt;0,FF24+DE24&gt;$FK$3),0),0)
)</f>
        <v>0</v>
      </c>
      <c r="HI24" s="156" cm="1">
        <f t="array" ref="HI24">IF($C24="Production",
IFERROR(_xlfn.IFS(AND(FG24&gt;0,FG24+SUM(DE24:DF24)&lt;=$FM$3),FG24,AND(FG24&gt;0,FG24+SUM(DE24:DF24)&gt;$FM$3),$FM$3-SUM(DE24:DF24)),0),
IFERROR(_xlfn.IFS(AND(FG24&gt;0,FG24+DF24&lt;=$FK$3),FG24,AND(FG24&gt;0,FG24+DF24&gt;$FK$3),0),0)
)</f>
        <v>0</v>
      </c>
      <c r="HJ24" s="113">
        <f t="shared" si="110"/>
        <v>8</v>
      </c>
      <c r="HK24" s="80"/>
      <c r="HL24" s="112">
        <f t="shared" si="56"/>
        <v>0</v>
      </c>
      <c r="HM24" s="138">
        <f t="shared" si="57"/>
        <v>0</v>
      </c>
      <c r="HN24" s="138">
        <f t="shared" si="58"/>
        <v>0</v>
      </c>
      <c r="HO24" s="138">
        <f t="shared" si="59"/>
        <v>0</v>
      </c>
      <c r="HP24" s="138">
        <f t="shared" si="60"/>
        <v>0</v>
      </c>
      <c r="HQ24" s="138">
        <f t="shared" si="61"/>
        <v>0</v>
      </c>
      <c r="HR24" s="138">
        <f t="shared" si="62"/>
        <v>0</v>
      </c>
      <c r="HS24" s="138">
        <f t="shared" si="63"/>
        <v>0</v>
      </c>
      <c r="HT24" s="138">
        <f t="shared" si="64"/>
        <v>0</v>
      </c>
      <c r="HU24" s="138">
        <f t="shared" si="65"/>
        <v>0</v>
      </c>
      <c r="HV24" s="138">
        <f t="shared" si="66"/>
        <v>0</v>
      </c>
      <c r="HW24" s="138">
        <f t="shared" si="67"/>
        <v>0</v>
      </c>
      <c r="HX24" s="138">
        <f t="shared" si="68"/>
        <v>0</v>
      </c>
      <c r="HY24" s="138">
        <f t="shared" si="69"/>
        <v>0</v>
      </c>
      <c r="HZ24" s="138">
        <f t="shared" si="70"/>
        <v>0</v>
      </c>
      <c r="IA24" s="138">
        <f t="shared" si="71"/>
        <v>0</v>
      </c>
      <c r="IB24" s="138">
        <f t="shared" si="72"/>
        <v>0</v>
      </c>
      <c r="IC24" s="138">
        <f t="shared" si="73"/>
        <v>0</v>
      </c>
      <c r="ID24" s="138">
        <f t="shared" si="74"/>
        <v>0</v>
      </c>
      <c r="IE24" s="138">
        <f t="shared" si="75"/>
        <v>0</v>
      </c>
      <c r="IF24" s="138">
        <f t="shared" si="76"/>
        <v>0</v>
      </c>
      <c r="IG24" s="138">
        <f t="shared" si="77"/>
        <v>0</v>
      </c>
      <c r="IH24" s="138">
        <f t="shared" si="78"/>
        <v>0</v>
      </c>
      <c r="II24" s="138">
        <f t="shared" si="79"/>
        <v>0</v>
      </c>
      <c r="IJ24" s="138">
        <f t="shared" si="80"/>
        <v>0</v>
      </c>
      <c r="IK24" s="138">
        <f t="shared" si="81"/>
        <v>0</v>
      </c>
      <c r="IL24" s="138">
        <f t="shared" si="82"/>
        <v>0</v>
      </c>
      <c r="IM24" s="138">
        <f t="shared" si="83"/>
        <v>0</v>
      </c>
      <c r="IN24" s="138">
        <f t="shared" si="84"/>
        <v>0</v>
      </c>
      <c r="IO24" s="138">
        <f t="shared" si="85"/>
        <v>0</v>
      </c>
      <c r="IP24" s="138">
        <f t="shared" si="86"/>
        <v>0</v>
      </c>
      <c r="IQ24" s="138">
        <f t="shared" si="87"/>
        <v>0</v>
      </c>
      <c r="IR24" s="138">
        <f t="shared" si="88"/>
        <v>0</v>
      </c>
      <c r="IS24" s="138">
        <f t="shared" si="89"/>
        <v>0</v>
      </c>
      <c r="IT24" s="138">
        <f t="shared" si="90"/>
        <v>0</v>
      </c>
      <c r="IU24" s="138">
        <f t="shared" si="91"/>
        <v>0</v>
      </c>
      <c r="IV24" s="138">
        <f t="shared" si="92"/>
        <v>0</v>
      </c>
      <c r="IW24" s="138">
        <f t="shared" si="93"/>
        <v>0</v>
      </c>
      <c r="IX24" s="138">
        <f t="shared" si="94"/>
        <v>0</v>
      </c>
      <c r="IY24" s="138">
        <f t="shared" si="95"/>
        <v>0</v>
      </c>
      <c r="IZ24" s="138">
        <f t="shared" si="96"/>
        <v>0</v>
      </c>
      <c r="JA24" s="138">
        <f t="shared" si="97"/>
        <v>0</v>
      </c>
      <c r="JB24" s="138">
        <f t="shared" si="98"/>
        <v>0</v>
      </c>
      <c r="JC24" s="138">
        <f t="shared" si="99"/>
        <v>0</v>
      </c>
      <c r="JD24" s="138">
        <f t="shared" si="100"/>
        <v>0</v>
      </c>
      <c r="JE24" s="138">
        <f t="shared" si="101"/>
        <v>0</v>
      </c>
      <c r="JF24" s="138">
        <f t="shared" si="102"/>
        <v>0</v>
      </c>
      <c r="JG24" s="138">
        <f t="shared" si="103"/>
        <v>0</v>
      </c>
      <c r="JH24" s="138">
        <f t="shared" si="104"/>
        <v>0</v>
      </c>
      <c r="JI24" s="138">
        <f t="shared" si="105"/>
        <v>0</v>
      </c>
      <c r="JJ24" s="138">
        <f t="shared" si="106"/>
        <v>0</v>
      </c>
      <c r="JK24" s="138">
        <f t="shared" si="107"/>
        <v>0</v>
      </c>
      <c r="JL24" s="118">
        <f t="shared" si="111"/>
        <v>0</v>
      </c>
      <c r="JO24" s="90">
        <f t="shared" si="112"/>
        <v>8</v>
      </c>
      <c r="JP24" s="79">
        <f t="shared" si="108"/>
        <v>0</v>
      </c>
      <c r="JQ24" s="91">
        <f t="shared" si="2"/>
        <v>10</v>
      </c>
      <c r="JS24" s="123">
        <f t="shared" si="109"/>
        <v>-3</v>
      </c>
      <c r="JU24" s="123">
        <f t="shared" si="113"/>
        <v>7</v>
      </c>
    </row>
    <row r="25" spans="2:281" x14ac:dyDescent="0.15">
      <c r="B25" s="82" t="str">
        <f>'MODU 2025'!B28</f>
        <v>LECAPITAINE Angélique</v>
      </c>
      <c r="C25" s="82" t="str">
        <f>'MODU 2025'!C28</f>
        <v>Production</v>
      </c>
      <c r="D25" s="82">
        <f>'MODU 2025'!D28</f>
        <v>37</v>
      </c>
      <c r="E25" s="82"/>
      <c r="F25" s="133">
        <f>'MODU 2025'!G28</f>
        <v>41</v>
      </c>
      <c r="G25" s="140">
        <f>'MODU 2025'!H28</f>
        <v>33</v>
      </c>
      <c r="H25" s="140">
        <f>'MODU 2025'!I28</f>
        <v>41</v>
      </c>
      <c r="I25" s="140">
        <f>'MODU 2025'!J28</f>
        <v>33</v>
      </c>
      <c r="J25" s="140">
        <f>'MODU 2025'!K28</f>
        <v>41</v>
      </c>
      <c r="K25" s="140">
        <f>'MODU 2025'!L28</f>
        <v>40.75</v>
      </c>
      <c r="L25" s="140">
        <f>'MODU 2025'!M28</f>
        <v>41</v>
      </c>
      <c r="M25" s="140">
        <f>'MODU 2025'!N28</f>
        <v>33</v>
      </c>
      <c r="N25" s="140">
        <f>'MODU 2025'!O28</f>
        <v>41.25</v>
      </c>
      <c r="O25" s="140">
        <f>'MODU 2025'!P28</f>
        <v>40.75</v>
      </c>
      <c r="P25" s="140">
        <f>'MODU 2025'!Q28</f>
        <v>41</v>
      </c>
      <c r="Q25" s="140">
        <f>'MODU 2025'!R28</f>
        <v>33</v>
      </c>
      <c r="R25" s="140">
        <f>'MODU 2025'!S28</f>
        <v>41</v>
      </c>
      <c r="S25" s="140">
        <f>'MODU 2025'!T28</f>
        <v>33</v>
      </c>
      <c r="T25" s="140">
        <f>'MODU 2025'!U28</f>
        <v>41</v>
      </c>
      <c r="U25" s="140">
        <f>'MODU 2025'!V28</f>
        <v>33</v>
      </c>
      <c r="V25" s="140">
        <f>'MODU 2025'!W28</f>
        <v>41</v>
      </c>
      <c r="W25" s="140">
        <f>'MODU 2025'!X28</f>
        <v>33</v>
      </c>
      <c r="X25" s="140">
        <f>'MODU 2025'!Y28</f>
        <v>41</v>
      </c>
      <c r="Y25" s="140">
        <f>'MODU 2025'!Z28</f>
        <v>33</v>
      </c>
      <c r="Z25" s="140">
        <f>'MODU 2025'!AA28</f>
        <v>41</v>
      </c>
      <c r="AA25" s="140">
        <f>'MODU 2025'!AB28</f>
        <v>33</v>
      </c>
      <c r="AB25" s="140">
        <f>'MODU 2025'!AC28</f>
        <v>41</v>
      </c>
      <c r="AC25" s="140">
        <f>'MODU 2025'!AD28</f>
        <v>33</v>
      </c>
      <c r="AD25" s="140">
        <f>'MODU 2025'!AE28</f>
        <v>41</v>
      </c>
      <c r="AE25" s="140">
        <f>'MODU 2025'!AF28</f>
        <v>33</v>
      </c>
      <c r="AF25" s="140">
        <f>'MODU 2025'!AG28</f>
        <v>41</v>
      </c>
      <c r="AG25" s="140">
        <f>'MODU 2025'!AH28</f>
        <v>33</v>
      </c>
      <c r="AH25" s="140">
        <f>'MODU 2025'!AI28</f>
        <v>41</v>
      </c>
      <c r="AI25" s="140">
        <f>'MODU 2025'!AJ28</f>
        <v>33</v>
      </c>
      <c r="AJ25" s="140">
        <f>'MODU 2025'!AK28</f>
        <v>41</v>
      </c>
      <c r="AK25" s="140">
        <f>'MODU 2025'!AL28</f>
        <v>33</v>
      </c>
      <c r="AL25" s="140">
        <f>'MODU 2025'!AM28</f>
        <v>41</v>
      </c>
      <c r="AM25" s="140">
        <f>'MODU 2025'!AN28</f>
        <v>33</v>
      </c>
      <c r="AN25" s="140">
        <f>'MODU 2025'!AO28</f>
        <v>41</v>
      </c>
      <c r="AO25" s="140">
        <f>'MODU 2025'!AP28</f>
        <v>33</v>
      </c>
      <c r="AP25" s="140">
        <f>'MODU 2025'!AQ28</f>
        <v>41</v>
      </c>
      <c r="AQ25" s="140">
        <f>'MODU 2025'!AR28</f>
        <v>33</v>
      </c>
      <c r="AR25" s="140">
        <f>'MODU 2025'!AS28</f>
        <v>41</v>
      </c>
      <c r="AS25" s="140">
        <f>'MODU 2025'!AT28</f>
        <v>33</v>
      </c>
      <c r="AT25" s="140">
        <f>'MODU 2025'!AU28</f>
        <v>41</v>
      </c>
      <c r="AU25" s="140">
        <f>'MODU 2025'!AV28</f>
        <v>33</v>
      </c>
      <c r="AV25" s="140">
        <f>'MODU 2025'!AW28</f>
        <v>41</v>
      </c>
      <c r="AW25" s="140">
        <f>'MODU 2025'!AX28</f>
        <v>33</v>
      </c>
      <c r="AX25" s="140">
        <f>'MODU 2025'!AY28</f>
        <v>41</v>
      </c>
      <c r="AY25" s="140">
        <f>'MODU 2025'!AZ28</f>
        <v>33</v>
      </c>
      <c r="AZ25" s="140">
        <f>'MODU 2025'!BA28</f>
        <v>41</v>
      </c>
      <c r="BA25" s="140">
        <f>'MODU 2025'!BB28</f>
        <v>33</v>
      </c>
      <c r="BB25" s="140">
        <f>'MODU 2025'!BC28</f>
        <v>41</v>
      </c>
      <c r="BC25" s="140">
        <f>'MODU 2025'!BD28</f>
        <v>33</v>
      </c>
      <c r="BD25" s="140">
        <f>'MODU 2025'!BE28</f>
        <v>41</v>
      </c>
      <c r="BE25" s="134">
        <f>'MODU 2025'!BF28</f>
        <v>33</v>
      </c>
      <c r="BF25" s="82"/>
      <c r="BG25" s="107">
        <v>41</v>
      </c>
      <c r="BH25" s="145">
        <v>33</v>
      </c>
      <c r="BI25" s="145">
        <v>41</v>
      </c>
      <c r="BJ25" s="145">
        <v>33</v>
      </c>
      <c r="BK25" s="145">
        <v>41</v>
      </c>
      <c r="BL25" s="145">
        <v>33</v>
      </c>
      <c r="BM25" s="145">
        <v>41</v>
      </c>
      <c r="BN25" s="145">
        <v>33</v>
      </c>
      <c r="BO25" s="145">
        <v>41</v>
      </c>
      <c r="BP25" s="145">
        <v>33</v>
      </c>
      <c r="BQ25" s="145">
        <v>41</v>
      </c>
      <c r="BR25" s="145">
        <v>33</v>
      </c>
      <c r="BS25" s="145">
        <v>41</v>
      </c>
      <c r="BT25" s="145">
        <v>33</v>
      </c>
      <c r="BU25" s="145">
        <v>41</v>
      </c>
      <c r="BV25" s="145">
        <v>33</v>
      </c>
      <c r="BW25" s="145">
        <v>41</v>
      </c>
      <c r="BX25" s="145">
        <v>33</v>
      </c>
      <c r="BY25" s="145">
        <v>41</v>
      </c>
      <c r="BZ25" s="145">
        <v>33</v>
      </c>
      <c r="CA25" s="145">
        <v>41</v>
      </c>
      <c r="CB25" s="145">
        <v>33</v>
      </c>
      <c r="CC25" s="145">
        <v>41</v>
      </c>
      <c r="CD25" s="145">
        <v>33</v>
      </c>
      <c r="CE25" s="145">
        <v>41</v>
      </c>
      <c r="CF25" s="145">
        <v>33</v>
      </c>
      <c r="CG25" s="145">
        <v>41</v>
      </c>
      <c r="CH25" s="145">
        <v>33</v>
      </c>
      <c r="CI25" s="145">
        <v>41</v>
      </c>
      <c r="CJ25" s="145">
        <v>33</v>
      </c>
      <c r="CK25" s="145">
        <v>41</v>
      </c>
      <c r="CL25" s="145">
        <v>33</v>
      </c>
      <c r="CM25" s="145">
        <v>41</v>
      </c>
      <c r="CN25" s="145">
        <v>33</v>
      </c>
      <c r="CO25" s="145">
        <v>41</v>
      </c>
      <c r="CP25" s="145">
        <v>33</v>
      </c>
      <c r="CQ25" s="145">
        <v>41</v>
      </c>
      <c r="CR25" s="145">
        <v>33</v>
      </c>
      <c r="CS25" s="145">
        <v>41</v>
      </c>
      <c r="CT25" s="145">
        <v>33</v>
      </c>
      <c r="CU25" s="145">
        <v>41</v>
      </c>
      <c r="CV25" s="145">
        <v>33</v>
      </c>
      <c r="CW25" s="145">
        <v>41</v>
      </c>
      <c r="CX25" s="145">
        <v>33</v>
      </c>
      <c r="CY25" s="145">
        <v>41</v>
      </c>
      <c r="CZ25" s="145">
        <v>33</v>
      </c>
      <c r="DA25" s="145">
        <v>41</v>
      </c>
      <c r="DB25" s="145">
        <v>33</v>
      </c>
      <c r="DC25" s="145">
        <v>41</v>
      </c>
      <c r="DD25" s="145">
        <v>33</v>
      </c>
      <c r="DE25" s="145">
        <v>41</v>
      </c>
      <c r="DF25" s="108">
        <v>33</v>
      </c>
      <c r="DG25" s="84"/>
      <c r="DH25" s="112">
        <f t="shared" si="3"/>
        <v>0</v>
      </c>
      <c r="DI25" s="138">
        <f t="shared" si="4"/>
        <v>0</v>
      </c>
      <c r="DJ25" s="138">
        <f t="shared" si="5"/>
        <v>0</v>
      </c>
      <c r="DK25" s="138">
        <f t="shared" si="6"/>
        <v>0</v>
      </c>
      <c r="DL25" s="138">
        <f t="shared" si="7"/>
        <v>0</v>
      </c>
      <c r="DM25" s="138">
        <f t="shared" si="8"/>
        <v>7.75</v>
      </c>
      <c r="DN25" s="138">
        <f t="shared" si="9"/>
        <v>0</v>
      </c>
      <c r="DO25" s="138">
        <f t="shared" si="10"/>
        <v>0</v>
      </c>
      <c r="DP25" s="138">
        <f t="shared" si="11"/>
        <v>0</v>
      </c>
      <c r="DQ25" s="138">
        <f t="shared" si="12"/>
        <v>8</v>
      </c>
      <c r="DR25" s="138">
        <f t="shared" si="13"/>
        <v>0</v>
      </c>
      <c r="DS25" s="138">
        <f t="shared" si="14"/>
        <v>0</v>
      </c>
      <c r="DT25" s="138">
        <f t="shared" si="15"/>
        <v>0</v>
      </c>
      <c r="DU25" s="138">
        <f t="shared" si="16"/>
        <v>0</v>
      </c>
      <c r="DV25" s="138">
        <f t="shared" si="17"/>
        <v>0</v>
      </c>
      <c r="DW25" s="138">
        <f t="shared" si="18"/>
        <v>0</v>
      </c>
      <c r="DX25" s="138">
        <f t="shared" si="19"/>
        <v>0</v>
      </c>
      <c r="DY25" s="138">
        <f t="shared" si="20"/>
        <v>0</v>
      </c>
      <c r="DZ25" s="138">
        <f t="shared" si="21"/>
        <v>0</v>
      </c>
      <c r="EA25" s="138">
        <f t="shared" si="22"/>
        <v>0</v>
      </c>
      <c r="EB25" s="138">
        <f t="shared" si="23"/>
        <v>0</v>
      </c>
      <c r="EC25" s="138">
        <f t="shared" si="24"/>
        <v>0</v>
      </c>
      <c r="ED25" s="138">
        <f t="shared" si="25"/>
        <v>0</v>
      </c>
      <c r="EE25" s="138">
        <f t="shared" si="26"/>
        <v>0</v>
      </c>
      <c r="EF25" s="138">
        <f t="shared" si="27"/>
        <v>0</v>
      </c>
      <c r="EG25" s="138">
        <f t="shared" si="28"/>
        <v>0</v>
      </c>
      <c r="EH25" s="138">
        <f t="shared" si="29"/>
        <v>0</v>
      </c>
      <c r="EI25" s="138">
        <f t="shared" si="30"/>
        <v>0</v>
      </c>
      <c r="EJ25" s="138">
        <f t="shared" si="31"/>
        <v>0</v>
      </c>
      <c r="EK25" s="138">
        <f t="shared" si="32"/>
        <v>0</v>
      </c>
      <c r="EL25" s="138">
        <f t="shared" si="33"/>
        <v>0</v>
      </c>
      <c r="EM25" s="138">
        <f t="shared" si="34"/>
        <v>0</v>
      </c>
      <c r="EN25" s="138">
        <f t="shared" si="35"/>
        <v>0</v>
      </c>
      <c r="EO25" s="138">
        <f t="shared" si="36"/>
        <v>0</v>
      </c>
      <c r="EP25" s="138">
        <f t="shared" si="37"/>
        <v>0</v>
      </c>
      <c r="EQ25" s="138">
        <f t="shared" si="38"/>
        <v>0</v>
      </c>
      <c r="ER25" s="138">
        <f t="shared" si="39"/>
        <v>0</v>
      </c>
      <c r="ES25" s="138">
        <f t="shared" si="40"/>
        <v>0</v>
      </c>
      <c r="ET25" s="138">
        <f t="shared" si="41"/>
        <v>0</v>
      </c>
      <c r="EU25" s="138">
        <f t="shared" si="42"/>
        <v>0</v>
      </c>
      <c r="EV25" s="138">
        <f t="shared" si="43"/>
        <v>0</v>
      </c>
      <c r="EW25" s="138">
        <f t="shared" si="44"/>
        <v>0</v>
      </c>
      <c r="EX25" s="138">
        <f t="shared" si="45"/>
        <v>0</v>
      </c>
      <c r="EY25" s="138">
        <f t="shared" si="46"/>
        <v>0</v>
      </c>
      <c r="EZ25" s="138">
        <f t="shared" si="47"/>
        <v>0</v>
      </c>
      <c r="FA25" s="138">
        <f t="shared" si="48"/>
        <v>0</v>
      </c>
      <c r="FB25" s="138">
        <f t="shared" si="49"/>
        <v>0</v>
      </c>
      <c r="FC25" s="138">
        <f t="shared" si="50"/>
        <v>0</v>
      </c>
      <c r="FD25" s="138">
        <f t="shared" si="51"/>
        <v>0</v>
      </c>
      <c r="FE25" s="138">
        <f t="shared" si="52"/>
        <v>0</v>
      </c>
      <c r="FF25" s="138">
        <f t="shared" si="53"/>
        <v>0</v>
      </c>
      <c r="FG25" s="113">
        <f t="shared" si="54"/>
        <v>0</v>
      </c>
      <c r="FH25" s="113">
        <f t="shared" si="55"/>
        <v>15.75</v>
      </c>
      <c r="FI25" s="35"/>
      <c r="FJ25" s="151" cm="1">
        <f t="array" ref="FJ25">IF($C25="Production",
IFERROR(_xlfn.IFS(AND(DH25&gt;0,DH25+SUM(BF25:BG25)&lt;=$FM$3),DH25,AND(DH25&gt;0,DH25+SUM(BF25:BG25)&gt;$FM$3),$FM$3-SUM(BF25:BG25)),0),
IFERROR(_xlfn.IFS(AND(DH25&gt;0,DH25+BG25&lt;=$FK$3),DH25,AND(DH25&gt;0,DH25+BG25&gt;$FK$3),0),0)
)</f>
        <v>0</v>
      </c>
      <c r="FK25" s="152" cm="1">
        <f t="array" ref="FK25">IF($C25="Production",
IFERROR(_xlfn.IFS(AND(DI25&gt;0,DI25+SUM(BG25:BH25)&lt;=$FM$3),DI25,AND(DI25&gt;0,DI25+SUM(BG25:BH25)&gt;$FM$3),$FM$3-SUM(BG25:BH25)),0),
IFERROR(_xlfn.IFS(AND(DI25&gt;0,DI25+BH25&lt;=$FK$3),DI25,AND(DI25&gt;0,DI25+BH25&gt;$FK$3),0),0)
)</f>
        <v>0</v>
      </c>
      <c r="FL25" s="152" cm="1">
        <f t="array" ref="FL25">IF($C25="Production",
IFERROR(_xlfn.IFS(AND(DJ25&gt;0,DJ25+SUM(BH25:BI25)&lt;=$FM$3),DJ25,AND(DJ25&gt;0,DJ25+SUM(BH25:BI25)&gt;$FM$3),$FM$3-SUM(BH25:BI25)),0),
IFERROR(_xlfn.IFS(AND(DJ25&gt;0,DJ25+BI25&lt;=$FK$3),DJ25,AND(DJ25&gt;0,DJ25+BI25&gt;$FK$3),0),0)
)</f>
        <v>0</v>
      </c>
      <c r="FM25" s="152" cm="1">
        <f t="array" ref="FM25">IF($C25="Production",
IFERROR(_xlfn.IFS(AND(DK25&gt;0,DK25+SUM(BI25:BJ25)&lt;=$FM$3),DK25,AND(DK25&gt;0,DK25+SUM(BI25:BJ25)&gt;$FM$3),$FM$3-SUM(BI25:BJ25)),0),
IFERROR(_xlfn.IFS(AND(DK25&gt;0,DK25+BJ25&lt;=$FK$3),DK25,AND(DK25&gt;0,DK25+BJ25&gt;$FK$3),0),0)
)</f>
        <v>0</v>
      </c>
      <c r="FN25" s="152" cm="1">
        <f t="array" ref="FN25">IF($C25="Production",
IFERROR(_xlfn.IFS(AND(DL25&gt;0,DL25+SUM(BJ25:BK25)&lt;=$FM$3),DL25,AND(DL25&gt;0,DL25+SUM(BJ25:BK25)&gt;$FM$3),$FM$3-SUM(BJ25:BK25)),0),
IFERROR(_xlfn.IFS(AND(DL25&gt;0,DL25+BK25&lt;=$FK$3),DL25,AND(DL25&gt;0,DL25+BK25&gt;$FK$3),0),0)
)</f>
        <v>0</v>
      </c>
      <c r="FO25" s="152" cm="1">
        <f t="array" ref="FO25">IF($C25="Production",
IFERROR(_xlfn.IFS(AND(DM25&gt;0,DM25+SUM(BK25:BL25)&lt;=$FM$3),DM25,AND(DM25&gt;0,DM25+SUM(BK25:BL25)&gt;$FM$3),$FM$3-SUM(BK25:BL25)),0),
IFERROR(_xlfn.IFS(AND(DM25&gt;0,DM25+BL25&lt;=$FK$3),DM25,AND(DM25&gt;0,DM25+BL25&gt;$FK$3),0),0)
)</f>
        <v>7.75</v>
      </c>
      <c r="FP25" s="152" cm="1">
        <f t="array" ref="FP25">IF($C25="Production",
IFERROR(_xlfn.IFS(AND(DN25&gt;0,DN25+SUM(BL25:BM25)&lt;=$FM$3),DN25,AND(DN25&gt;0,DN25+SUM(BL25:BM25)&gt;$FM$3),$FM$3-SUM(BL25:BM25)),0),
IFERROR(_xlfn.IFS(AND(DN25&gt;0,DN25+BM25&lt;=$FK$3),DN25,AND(DN25&gt;0,DN25+BM25&gt;$FK$3),0),0)
)</f>
        <v>0</v>
      </c>
      <c r="FQ25" s="152" cm="1">
        <f t="array" ref="FQ25">IF($C25="Production",
IFERROR(_xlfn.IFS(AND(DO25&gt;0,DO25+SUM(BM25:BN25)&lt;=$FM$3),DO25,AND(DO25&gt;0,DO25+SUM(BM25:BN25)&gt;$FM$3),$FM$3-SUM(BM25:BN25)),0),
IFERROR(_xlfn.IFS(AND(DO25&gt;0,DO25+BN25&lt;=$FK$3),DO25,AND(DO25&gt;0,DO25+BN25&gt;$FK$3),0),0)
)</f>
        <v>0</v>
      </c>
      <c r="FR25" s="152" cm="1">
        <f t="array" ref="FR25">IF($C25="Production",
IFERROR(_xlfn.IFS(AND(DP25&gt;0,DP25+SUM(BN25:BO25)&lt;=$FM$3),DP25,AND(DP25&gt;0,DP25+SUM(BN25:BO25)&gt;$FM$3),$FM$3-SUM(BN25:BO25)),0),
IFERROR(_xlfn.IFS(AND(DP25&gt;0,DP25+BO25&lt;=$FK$3),DP25,AND(DP25&gt;0,DP25+BO25&gt;$FK$3),0),0)
)</f>
        <v>0</v>
      </c>
      <c r="FS25" s="152" cm="1">
        <f t="array" ref="FS25">IF($C25="Production",
IFERROR(_xlfn.IFS(AND(DQ25&gt;0,DQ25+SUM(BO25:BP25)&lt;=$FM$3),DQ25,AND(DQ25&gt;0,DQ25+SUM(BO25:BP25)&gt;$FM$3),$FM$3-SUM(BO25:BP25)),0),
IFERROR(_xlfn.IFS(AND(DQ25&gt;0,DQ25+BP25&lt;=$FK$3),DQ25,AND(DQ25&gt;0,DQ25+BP25&gt;$FK$3),0),0)
)</f>
        <v>8</v>
      </c>
      <c r="FT25" s="152" cm="1">
        <f t="array" ref="FT25">IF($C25="Production",
IFERROR(_xlfn.IFS(AND(DR25&gt;0,DR25+SUM(BP25:BQ25)&lt;=$FM$3),DR25,AND(DR25&gt;0,DR25+SUM(BP25:BQ25)&gt;$FM$3),$FM$3-SUM(BP25:BQ25)),0),
IFERROR(_xlfn.IFS(AND(DR25&gt;0,DR25+BQ25&lt;=$FK$3),DR25,AND(DR25&gt;0,DR25+BQ25&gt;$FK$3),0),0)
)</f>
        <v>0</v>
      </c>
      <c r="FU25" s="152" cm="1">
        <f t="array" ref="FU25">IF($C25="Production",
IFERROR(_xlfn.IFS(AND(DS25&gt;0,DS25+SUM(BQ25:BR25)&lt;=$FM$3),DS25,AND(DS25&gt;0,DS25+SUM(BQ25:BR25)&gt;$FM$3),$FM$3-SUM(BQ25:BR25)),0),
IFERROR(_xlfn.IFS(AND(DS25&gt;0,DS25+BR25&lt;=$FK$3),DS25,AND(DS25&gt;0,DS25+BR25&gt;$FK$3),0),0)
)</f>
        <v>0</v>
      </c>
      <c r="FV25" s="152" cm="1">
        <f t="array" ref="FV25">IF($C25="Production",
IFERROR(_xlfn.IFS(AND(DT25&gt;0,DT25+SUM(BR25:BS25)&lt;=$FM$3),DT25,AND(DT25&gt;0,DT25+SUM(BR25:BS25)&gt;$FM$3),$FM$3-SUM(BR25:BS25)),0),
IFERROR(_xlfn.IFS(AND(DT25&gt;0,DT25+BS25&lt;=$FK$3),DT25,AND(DT25&gt;0,DT25+BS25&gt;$FK$3),0),0)
)</f>
        <v>0</v>
      </c>
      <c r="FW25" s="152" cm="1">
        <f t="array" ref="FW25">IF($C25="Production",
IFERROR(_xlfn.IFS(AND(DU25&gt;0,DU25+SUM(BS25:BT25)&lt;=$FM$3),DU25,AND(DU25&gt;0,DU25+SUM(BS25:BT25)&gt;$FM$3),$FM$3-SUM(BS25:BT25)),0),
IFERROR(_xlfn.IFS(AND(DU25&gt;0,DU25+BT25&lt;=$FK$3),DU25,AND(DU25&gt;0,DU25+BT25&gt;$FK$3),0),0)
)</f>
        <v>0</v>
      </c>
      <c r="FX25" s="152" cm="1">
        <f t="array" ref="FX25">IF($C25="Production",
IFERROR(_xlfn.IFS(AND(DV25&gt;0,DV25+SUM(BT25:BU25)&lt;=$FM$3),DV25,AND(DV25&gt;0,DV25+SUM(BT25:BU25)&gt;$FM$3),$FM$3-SUM(BT25:BU25)),0),
IFERROR(_xlfn.IFS(AND(DV25&gt;0,DV25+BU25&lt;=$FK$3),DV25,AND(DV25&gt;0,DV25+BU25&gt;$FK$3),0),0)
)</f>
        <v>0</v>
      </c>
      <c r="FY25" s="152" cm="1">
        <f t="array" ref="FY25">IF($C25="Production",
IFERROR(_xlfn.IFS(AND(DW25&gt;0,DW25+SUM(BU25:BV25)&lt;=$FM$3),DW25,AND(DW25&gt;0,DW25+SUM(BU25:BV25)&gt;$FM$3),$FM$3-SUM(BU25:BV25)),0),
IFERROR(_xlfn.IFS(AND(DW25&gt;0,DW25+BV25&lt;=$FK$3),DW25,AND(DW25&gt;0,DW25+BV25&gt;$FK$3),0),0)
)</f>
        <v>0</v>
      </c>
      <c r="FZ25" s="152" cm="1">
        <f t="array" ref="FZ25">IF($C25="Production",
IFERROR(_xlfn.IFS(AND(DX25&gt;0,DX25+SUM(BV25:BW25)&lt;=$FM$3),DX25,AND(DX25&gt;0,DX25+SUM(BV25:BW25)&gt;$FM$3),$FM$3-SUM(BV25:BW25)),0),
IFERROR(_xlfn.IFS(AND(DX25&gt;0,DX25+BW25&lt;=$FK$3),DX25,AND(DX25&gt;0,DX25+BW25&gt;$FK$3),0),0)
)</f>
        <v>0</v>
      </c>
      <c r="GA25" s="152" cm="1">
        <f t="array" ref="GA25">IF($C25="Production",
IFERROR(_xlfn.IFS(AND(DY25&gt;0,DY25+SUM(BW25:BX25)&lt;=$FM$3),DY25,AND(DY25&gt;0,DY25+SUM(BW25:BX25)&gt;$FM$3),$FM$3-SUM(BW25:BX25)),0),
IFERROR(_xlfn.IFS(AND(DY25&gt;0,DY25+BX25&lt;=$FK$3),DY25,AND(DY25&gt;0,DY25+BX25&gt;$FK$3),0),0)
)</f>
        <v>0</v>
      </c>
      <c r="GB25" s="152" cm="1">
        <f t="array" ref="GB25">IF($C25="Production",
IFERROR(_xlfn.IFS(AND(DZ25&gt;0,DZ25+SUM(BX25:BY25)&lt;=$FM$3),DZ25,AND(DZ25&gt;0,DZ25+SUM(BX25:BY25)&gt;$FM$3),$FM$3-SUM(BX25:BY25)),0),
IFERROR(_xlfn.IFS(AND(DZ25&gt;0,DZ25+BY25&lt;=$FK$3),DZ25,AND(DZ25&gt;0,DZ25+BY25&gt;$FK$3),0),0)
)</f>
        <v>0</v>
      </c>
      <c r="GC25" s="152" cm="1">
        <f t="array" ref="GC25">IF($C25="Production",
IFERROR(_xlfn.IFS(AND(EA25&gt;0,EA25+SUM(BY25:BZ25)&lt;=$FM$3),EA25,AND(EA25&gt;0,EA25+SUM(BY25:BZ25)&gt;$FM$3),$FM$3-SUM(BY25:BZ25)),0),
IFERROR(_xlfn.IFS(AND(EA25&gt;0,EA25+BZ25&lt;=$FK$3),EA25,AND(EA25&gt;0,EA25+BZ25&gt;$FK$3),0),0)
)</f>
        <v>0</v>
      </c>
      <c r="GD25" s="152" cm="1">
        <f t="array" ref="GD25">IF($C25="Production",
IFERROR(_xlfn.IFS(AND(EB25&gt;0,EB25+SUM(BZ25:CA25)&lt;=$FM$3),EB25,AND(EB25&gt;0,EB25+SUM(BZ25:CA25)&gt;$FM$3),$FM$3-SUM(BZ25:CA25)),0),
IFERROR(_xlfn.IFS(AND(EB25&gt;0,EB25+CA25&lt;=$FK$3),EB25,AND(EB25&gt;0,EB25+CA25&gt;$FK$3),0),0)
)</f>
        <v>0</v>
      </c>
      <c r="GE25" s="152" cm="1">
        <f t="array" ref="GE25">IF($C25="Production",
IFERROR(_xlfn.IFS(AND(EC25&gt;0,EC25+SUM(CA25:CB25)&lt;=$FM$3),EC25,AND(EC25&gt;0,EC25+SUM(CA25:CB25)&gt;$FM$3),$FM$3-SUM(CA25:CB25)),0),
IFERROR(_xlfn.IFS(AND(EC25&gt;0,EC25+CB25&lt;=$FK$3),EC25,AND(EC25&gt;0,EC25+CB25&gt;$FK$3),0),0)
)</f>
        <v>0</v>
      </c>
      <c r="GF25" s="152" cm="1">
        <f t="array" ref="GF25">IF($C25="Production",
IFERROR(_xlfn.IFS(AND(ED25&gt;0,ED25+SUM(CB25:CC25)&lt;=$FM$3),ED25,AND(ED25&gt;0,ED25+SUM(CB25:CC25)&gt;$FM$3),$FM$3-SUM(CB25:CC25)),0),
IFERROR(_xlfn.IFS(AND(ED25&gt;0,ED25+CC25&lt;=$FK$3),ED25,AND(ED25&gt;0,ED25+CC25&gt;$FK$3),0),0)
)</f>
        <v>0</v>
      </c>
      <c r="GG25" s="152" cm="1">
        <f t="array" ref="GG25">IF($C25="Production",
IFERROR(_xlfn.IFS(AND(EE25&gt;0,EE25+SUM(CC25:CD25)&lt;=$FM$3),EE25,AND(EE25&gt;0,EE25+SUM(CC25:CD25)&gt;$FM$3),$FM$3-SUM(CC25:CD25)),0),
IFERROR(_xlfn.IFS(AND(EE25&gt;0,EE25+CD25&lt;=$FK$3),EE25,AND(EE25&gt;0,EE25+CD25&gt;$FK$3),0),0)
)</f>
        <v>0</v>
      </c>
      <c r="GH25" s="152" cm="1">
        <f t="array" ref="GH25">IF($C25="Production",
IFERROR(_xlfn.IFS(AND(EF25&gt;0,EF25+SUM(CD25:CE25)&lt;=$FM$3),EF25,AND(EF25&gt;0,EF25+SUM(CD25:CE25)&gt;$FM$3),$FM$3-SUM(CD25:CE25)),0),
IFERROR(_xlfn.IFS(AND(EF25&gt;0,EF25+CE25&lt;=$FK$3),EF25,AND(EF25&gt;0,EF25+CE25&gt;$FK$3),0),0)
)</f>
        <v>0</v>
      </c>
      <c r="GI25" s="152" cm="1">
        <f t="array" ref="GI25">IF($C25="Production",
IFERROR(_xlfn.IFS(AND(EG25&gt;0,EG25+SUM(CE25:CF25)&lt;=$FM$3),EG25,AND(EG25&gt;0,EG25+SUM(CE25:CF25)&gt;$FM$3),$FM$3-SUM(CE25:CF25)),0),
IFERROR(_xlfn.IFS(AND(EG25&gt;0,EG25+CF25&lt;=$FK$3),EG25,AND(EG25&gt;0,EG25+CF25&gt;$FK$3),0),0)
)</f>
        <v>0</v>
      </c>
      <c r="GJ25" s="152" cm="1">
        <f t="array" ref="GJ25">IF($C25="Production",
IFERROR(_xlfn.IFS(AND(EH25&gt;0,EH25+SUM(CF25:CG25)&lt;=$FM$3),EH25,AND(EH25&gt;0,EH25+SUM(CF25:CG25)&gt;$FM$3),$FM$3-SUM(CF25:CG25)),0),
IFERROR(_xlfn.IFS(AND(EH25&gt;0,EH25+CG25&lt;=$FK$3),EH25,AND(EH25&gt;0,EH25+CG25&gt;$FK$3),0),0)
)</f>
        <v>0</v>
      </c>
      <c r="GK25" s="152" cm="1">
        <f t="array" ref="GK25">IF($C25="Production",
IFERROR(_xlfn.IFS(AND(EI25&gt;0,EI25+SUM(CG25:CH25)&lt;=$FM$3),EI25,AND(EI25&gt;0,EI25+SUM(CG25:CH25)&gt;$FM$3),$FM$3-SUM(CG25:CH25)),0),
IFERROR(_xlfn.IFS(AND(EI25&gt;0,EI25+CH25&lt;=$FK$3),EI25,AND(EI25&gt;0,EI25+CH25&gt;$FK$3),0),0)
)</f>
        <v>0</v>
      </c>
      <c r="GL25" s="152" cm="1">
        <f t="array" ref="GL25">IF($C25="Production",
IFERROR(_xlfn.IFS(AND(EJ25&gt;0,EJ25+SUM(CH25:CI25)&lt;=$FM$3),EJ25,AND(EJ25&gt;0,EJ25+SUM(CH25:CI25)&gt;$FM$3),$FM$3-SUM(CH25:CI25)),0),
IFERROR(_xlfn.IFS(AND(EJ25&gt;0,EJ25+CI25&lt;=$FK$3),EJ25,AND(EJ25&gt;0,EJ25+CI25&gt;$FK$3),0),0)
)</f>
        <v>0</v>
      </c>
      <c r="GM25" s="152" cm="1">
        <f t="array" ref="GM25">IF($C25="Production",
IFERROR(_xlfn.IFS(AND(EK25&gt;0,EK25+SUM(CI25:CJ25)&lt;=$FM$3),EK25,AND(EK25&gt;0,EK25+SUM(CI25:CJ25)&gt;$FM$3),$FM$3-SUM(CI25:CJ25)),0),
IFERROR(_xlfn.IFS(AND(EK25&gt;0,EK25+CJ25&lt;=$FK$3),EK25,AND(EK25&gt;0,EK25+CJ25&gt;$FK$3),0),0)
)</f>
        <v>0</v>
      </c>
      <c r="GN25" s="152" cm="1">
        <f t="array" ref="GN25">IF($C25="Production",
IFERROR(_xlfn.IFS(AND(EL25&gt;0,EL25+SUM(CJ25:CK25)&lt;=$FM$3),EL25,AND(EL25&gt;0,EL25+SUM(CJ25:CK25)&gt;$FM$3),$FM$3-SUM(CJ25:CK25)),0),
IFERROR(_xlfn.IFS(AND(EL25&gt;0,EL25+CK25&lt;=$FK$3),EL25,AND(EL25&gt;0,EL25+CK25&gt;$FK$3),0),0)
)</f>
        <v>0</v>
      </c>
      <c r="GO25" s="152" cm="1">
        <f t="array" ref="GO25">IF($C25="Production",
IFERROR(_xlfn.IFS(AND(EM25&gt;0,EM25+SUM(CK25:CL25)&lt;=$FM$3),EM25,AND(EM25&gt;0,EM25+SUM(CK25:CL25)&gt;$FM$3),$FM$3-SUM(CK25:CL25)),0),
IFERROR(_xlfn.IFS(AND(EM25&gt;0,EM25+CL25&lt;=$FK$3),EM25,AND(EM25&gt;0,EM25+CL25&gt;$FK$3),0),0)
)</f>
        <v>0</v>
      </c>
      <c r="GP25" s="152" cm="1">
        <f t="array" ref="GP25">IF($C25="Production",
IFERROR(_xlfn.IFS(AND(EN25&gt;0,EN25+SUM(CL25:CM25)&lt;=$FM$3),EN25,AND(EN25&gt;0,EN25+SUM(CL25:CM25)&gt;$FM$3),$FM$3-SUM(CL25:CM25)),0),
IFERROR(_xlfn.IFS(AND(EN25&gt;0,EN25+CM25&lt;=$FK$3),EN25,AND(EN25&gt;0,EN25+CM25&gt;$FK$3),0),0)
)</f>
        <v>0</v>
      </c>
      <c r="GQ25" s="152" cm="1">
        <f t="array" ref="GQ25">IF($C25="Production",
IFERROR(_xlfn.IFS(AND(EO25&gt;0,EO25+SUM(CM25:CN25)&lt;=$FM$3),EO25,AND(EO25&gt;0,EO25+SUM(CM25:CN25)&gt;$FM$3),$FM$3-SUM(CM25:CN25)),0),
IFERROR(_xlfn.IFS(AND(EO25&gt;0,EO25+CN25&lt;=$FK$3),EO25,AND(EO25&gt;0,EO25+CN25&gt;$FK$3),0),0)
)</f>
        <v>0</v>
      </c>
      <c r="GR25" s="152" cm="1">
        <f t="array" ref="GR25">IF($C25="Production",
IFERROR(_xlfn.IFS(AND(EP25&gt;0,EP25+SUM(CN25:CO25)&lt;=$FM$3),EP25,AND(EP25&gt;0,EP25+SUM(CN25:CO25)&gt;$FM$3),$FM$3-SUM(CN25:CO25)),0),
IFERROR(_xlfn.IFS(AND(EP25&gt;0,EP25+CO25&lt;=$FK$3),EP25,AND(EP25&gt;0,EP25+CO25&gt;$FK$3),0),0)
)</f>
        <v>0</v>
      </c>
      <c r="GS25" s="152" cm="1">
        <f t="array" ref="GS25">IF($C25="Production",
IFERROR(_xlfn.IFS(AND(EQ25&gt;0,EQ25+SUM(CO25:CP25)&lt;=$FM$3),EQ25,AND(EQ25&gt;0,EQ25+SUM(CO25:CP25)&gt;$FM$3),$FM$3-SUM(CO25:CP25)),0),
IFERROR(_xlfn.IFS(AND(EQ25&gt;0,EQ25+CP25&lt;=$FK$3),EQ25,AND(EQ25&gt;0,EQ25+CP25&gt;$FK$3),0),0)
)</f>
        <v>0</v>
      </c>
      <c r="GT25" s="152" cm="1">
        <f t="array" ref="GT25">IF($C25="Production",
IFERROR(_xlfn.IFS(AND(ER25&gt;0,ER25+SUM(CP25:CQ25)&lt;=$FM$3),ER25,AND(ER25&gt;0,ER25+SUM(CP25:CQ25)&gt;$FM$3),$FM$3-SUM(CP25:CQ25)),0),
IFERROR(_xlfn.IFS(AND(ER25&gt;0,ER25+CQ25&lt;=$FK$3),ER25,AND(ER25&gt;0,ER25+CQ25&gt;$FK$3),0),0)
)</f>
        <v>0</v>
      </c>
      <c r="GU25" s="152" cm="1">
        <f t="array" ref="GU25">IF($C25="Production",
IFERROR(_xlfn.IFS(AND(ES25&gt;0,ES25+SUM(CQ25:CR25)&lt;=$FM$3),ES25,AND(ES25&gt;0,ES25+SUM(CQ25:CR25)&gt;$FM$3),$FM$3-SUM(CQ25:CR25)),0),
IFERROR(_xlfn.IFS(AND(ES25&gt;0,ES25+CR25&lt;=$FK$3),ES25,AND(ES25&gt;0,ES25+CR25&gt;$FK$3),0),0)
)</f>
        <v>0</v>
      </c>
      <c r="GV25" s="152" cm="1">
        <f t="array" ref="GV25">IF($C25="Production",
IFERROR(_xlfn.IFS(AND(ET25&gt;0,ET25+SUM(CR25:CS25)&lt;=$FM$3),ET25,AND(ET25&gt;0,ET25+SUM(CR25:CS25)&gt;$FM$3),$FM$3-SUM(CR25:CS25)),0),
IFERROR(_xlfn.IFS(AND(ET25&gt;0,ET25+CS25&lt;=$FK$3),ET25,AND(ET25&gt;0,ET25+CS25&gt;$FK$3),0),0)
)</f>
        <v>0</v>
      </c>
      <c r="GW25" s="152" cm="1">
        <f t="array" ref="GW25">IF($C25="Production",
IFERROR(_xlfn.IFS(AND(EU25&gt;0,EU25+SUM(CS25:CT25)&lt;=$FM$3),EU25,AND(EU25&gt;0,EU25+SUM(CS25:CT25)&gt;$FM$3),$FM$3-SUM(CS25:CT25)),0),
IFERROR(_xlfn.IFS(AND(EU25&gt;0,EU25+CT25&lt;=$FK$3),EU25,AND(EU25&gt;0,EU25+CT25&gt;$FK$3),0),0)
)</f>
        <v>0</v>
      </c>
      <c r="GX25" s="152" cm="1">
        <f t="array" ref="GX25">IF($C25="Production",
IFERROR(_xlfn.IFS(AND(EV25&gt;0,EV25+SUM(CT25:CU25)&lt;=$FM$3),EV25,AND(EV25&gt;0,EV25+SUM(CT25:CU25)&gt;$FM$3),$FM$3-SUM(CT25:CU25)),0),
IFERROR(_xlfn.IFS(AND(EV25&gt;0,EV25+CU25&lt;=$FK$3),EV25,AND(EV25&gt;0,EV25+CU25&gt;$FK$3),0),0)
)</f>
        <v>0</v>
      </c>
      <c r="GY25" s="152" cm="1">
        <f t="array" ref="GY25">IF($C25="Production",
IFERROR(_xlfn.IFS(AND(EW25&gt;0,EW25+SUM(CU25:CV25)&lt;=$FM$3),EW25,AND(EW25&gt;0,EW25+SUM(CU25:CV25)&gt;$FM$3),$FM$3-SUM(CU25:CV25)),0),
IFERROR(_xlfn.IFS(AND(EW25&gt;0,EW25+CV25&lt;=$FK$3),EW25,AND(EW25&gt;0,EW25+CV25&gt;$FK$3),0),0)
)</f>
        <v>0</v>
      </c>
      <c r="GZ25" s="152" cm="1">
        <f t="array" ref="GZ25">IF($C25="Production",
IFERROR(_xlfn.IFS(AND(EX25&gt;0,EX25+SUM(CV25:CW25)&lt;=$FM$3),EX25,AND(EX25&gt;0,EX25+SUM(CV25:CW25)&gt;$FM$3),$FM$3-SUM(CV25:CW25)),0),
IFERROR(_xlfn.IFS(AND(EX25&gt;0,EX25+CW25&lt;=$FK$3),EX25,AND(EX25&gt;0,EX25+CW25&gt;$FK$3),0),0)
)</f>
        <v>0</v>
      </c>
      <c r="HA25" s="152" cm="1">
        <f t="array" ref="HA25">IF($C25="Production",
IFERROR(_xlfn.IFS(AND(EY25&gt;0,EY25+SUM(CW25:CX25)&lt;=$FM$3),EY25,AND(EY25&gt;0,EY25+SUM(CW25:CX25)&gt;$FM$3),$FM$3-SUM(CW25:CX25)),0),
IFERROR(_xlfn.IFS(AND(EY25&gt;0,EY25+CX25&lt;=$FK$3),EY25,AND(EY25&gt;0,EY25+CX25&gt;$FK$3),0),0)
)</f>
        <v>0</v>
      </c>
      <c r="HB25" s="152" cm="1">
        <f t="array" ref="HB25">IF($C25="Production",
IFERROR(_xlfn.IFS(AND(EZ25&gt;0,EZ25+SUM(CX25:CY25)&lt;=$FM$3),EZ25,AND(EZ25&gt;0,EZ25+SUM(CX25:CY25)&gt;$FM$3),$FM$3-SUM(CX25:CY25)),0),
IFERROR(_xlfn.IFS(AND(EZ25&gt;0,EZ25+CY25&lt;=$FK$3),EZ25,AND(EZ25&gt;0,EZ25+CY25&gt;$FK$3),0),0)
)</f>
        <v>0</v>
      </c>
      <c r="HC25" s="152" cm="1">
        <f t="array" ref="HC25">IF($C25="Production",
IFERROR(_xlfn.IFS(AND(FA25&gt;0,FA25+SUM(CY25:CZ25)&lt;=$FM$3),FA25,AND(FA25&gt;0,FA25+SUM(CY25:CZ25)&gt;$FM$3),$FM$3-SUM(CY25:CZ25)),0),
IFERROR(_xlfn.IFS(AND(FA25&gt;0,FA25+CZ25&lt;=$FK$3),FA25,AND(FA25&gt;0,FA25+CZ25&gt;$FK$3),0),0)
)</f>
        <v>0</v>
      </c>
      <c r="HD25" s="152" cm="1">
        <f t="array" ref="HD25">IF($C25="Production",
IFERROR(_xlfn.IFS(AND(FB25&gt;0,FB25+SUM(CZ25:DA25)&lt;=$FM$3),FB25,AND(FB25&gt;0,FB25+SUM(CZ25:DA25)&gt;$FM$3),$FM$3-SUM(CZ25:DA25)),0),
IFERROR(_xlfn.IFS(AND(FB25&gt;0,FB25+DA25&lt;=$FK$3),FB25,AND(FB25&gt;0,FB25+DA25&gt;$FK$3),0),0)
)</f>
        <v>0</v>
      </c>
      <c r="HE25" s="152" cm="1">
        <f t="array" ref="HE25">IF($C25="Production",
IFERROR(_xlfn.IFS(AND(FC25&gt;0,FC25+SUM(DA25:DB25)&lt;=$FM$3),FC25,AND(FC25&gt;0,FC25+SUM(DA25:DB25)&gt;$FM$3),$FM$3-SUM(DA25:DB25)),0),
IFERROR(_xlfn.IFS(AND(FC25&gt;0,FC25+DB25&lt;=$FK$3),FC25,AND(FC25&gt;0,FC25+DB25&gt;$FK$3),0),0)
)</f>
        <v>0</v>
      </c>
      <c r="HF25" s="152" cm="1">
        <f t="array" ref="HF25">IF($C25="Production",
IFERROR(_xlfn.IFS(AND(FD25&gt;0,FD25+SUM(DB25:DC25)&lt;=$FM$3),FD25,AND(FD25&gt;0,FD25+SUM(DB25:DC25)&gt;$FM$3),$FM$3-SUM(DB25:DC25)),0),
IFERROR(_xlfn.IFS(AND(FD25&gt;0,FD25+DC25&lt;=$FK$3),FD25,AND(FD25&gt;0,FD25+DC25&gt;$FK$3),0),0)
)</f>
        <v>0</v>
      </c>
      <c r="HG25" s="152" cm="1">
        <f t="array" ref="HG25">IF($C25="Production",
IFERROR(_xlfn.IFS(AND(FE25&gt;0,FE25+SUM(DC25:DD25)&lt;=$FM$3),FE25,AND(FE25&gt;0,FE25+SUM(DC25:DD25)&gt;$FM$3),$FM$3-SUM(DC25:DD25)),0),
IFERROR(_xlfn.IFS(AND(FE25&gt;0,FE25+DD25&lt;=$FK$3),FE25,AND(FE25&gt;0,FE25+DD25&gt;$FK$3),0),0)
)</f>
        <v>0</v>
      </c>
      <c r="HH25" s="152" cm="1">
        <f t="array" ref="HH25">IF($C25="Production",
IFERROR(_xlfn.IFS(AND(FF25&gt;0,FF25+SUM(DD25:DE25)&lt;=$FM$3),FF25,AND(FF25&gt;0,FF25+SUM(DD25:DE25)&gt;$FM$3),$FM$3-SUM(DD25:DE25)),0),
IFERROR(_xlfn.IFS(AND(FF25&gt;0,FF25+DE25&lt;=$FK$3),FF25,AND(FF25&gt;0,FF25+DE25&gt;$FK$3),0),0)
)</f>
        <v>0</v>
      </c>
      <c r="HI25" s="156" cm="1">
        <f t="array" ref="HI25">IF($C25="Production",
IFERROR(_xlfn.IFS(AND(FG25&gt;0,FG25+SUM(DE25:DF25)&lt;=$FM$3),FG25,AND(FG25&gt;0,FG25+SUM(DE25:DF25)&gt;$FM$3),$FM$3-SUM(DE25:DF25)),0),
IFERROR(_xlfn.IFS(AND(FG25&gt;0,FG25+DF25&lt;=$FK$3),FG25,AND(FG25&gt;0,FG25+DF25&gt;$FK$3),0),0)
)</f>
        <v>0</v>
      </c>
      <c r="HJ25" s="113">
        <f t="shared" si="110"/>
        <v>15.75</v>
      </c>
      <c r="HK25" s="80"/>
      <c r="HL25" s="112">
        <f t="shared" si="56"/>
        <v>0</v>
      </c>
      <c r="HM25" s="138">
        <f t="shared" si="57"/>
        <v>0</v>
      </c>
      <c r="HN25" s="138">
        <f t="shared" si="58"/>
        <v>0</v>
      </c>
      <c r="HO25" s="138">
        <f t="shared" si="59"/>
        <v>0</v>
      </c>
      <c r="HP25" s="138">
        <f t="shared" si="60"/>
        <v>0</v>
      </c>
      <c r="HQ25" s="138">
        <f t="shared" si="61"/>
        <v>0</v>
      </c>
      <c r="HR25" s="138">
        <f t="shared" si="62"/>
        <v>0</v>
      </c>
      <c r="HS25" s="138">
        <f t="shared" si="63"/>
        <v>0</v>
      </c>
      <c r="HT25" s="138">
        <f t="shared" si="64"/>
        <v>0</v>
      </c>
      <c r="HU25" s="138">
        <f t="shared" si="65"/>
        <v>0</v>
      </c>
      <c r="HV25" s="138">
        <f t="shared" si="66"/>
        <v>0</v>
      </c>
      <c r="HW25" s="138">
        <f t="shared" si="67"/>
        <v>0</v>
      </c>
      <c r="HX25" s="138">
        <f t="shared" si="68"/>
        <v>0</v>
      </c>
      <c r="HY25" s="138">
        <f t="shared" si="69"/>
        <v>0</v>
      </c>
      <c r="HZ25" s="138">
        <f t="shared" si="70"/>
        <v>0</v>
      </c>
      <c r="IA25" s="138">
        <f t="shared" si="71"/>
        <v>0</v>
      </c>
      <c r="IB25" s="138">
        <f t="shared" si="72"/>
        <v>0</v>
      </c>
      <c r="IC25" s="138">
        <f t="shared" si="73"/>
        <v>0</v>
      </c>
      <c r="ID25" s="138">
        <f t="shared" si="74"/>
        <v>0</v>
      </c>
      <c r="IE25" s="138">
        <f t="shared" si="75"/>
        <v>0</v>
      </c>
      <c r="IF25" s="138">
        <f t="shared" si="76"/>
        <v>0</v>
      </c>
      <c r="IG25" s="138">
        <f t="shared" si="77"/>
        <v>0</v>
      </c>
      <c r="IH25" s="138">
        <f t="shared" si="78"/>
        <v>0</v>
      </c>
      <c r="II25" s="138">
        <f t="shared" si="79"/>
        <v>0</v>
      </c>
      <c r="IJ25" s="138">
        <f t="shared" si="80"/>
        <v>0</v>
      </c>
      <c r="IK25" s="138">
        <f t="shared" si="81"/>
        <v>0</v>
      </c>
      <c r="IL25" s="138">
        <f t="shared" si="82"/>
        <v>0</v>
      </c>
      <c r="IM25" s="138">
        <f t="shared" si="83"/>
        <v>0</v>
      </c>
      <c r="IN25" s="138">
        <f t="shared" si="84"/>
        <v>0</v>
      </c>
      <c r="IO25" s="138">
        <f t="shared" si="85"/>
        <v>0</v>
      </c>
      <c r="IP25" s="138">
        <f t="shared" si="86"/>
        <v>0</v>
      </c>
      <c r="IQ25" s="138">
        <f t="shared" si="87"/>
        <v>0</v>
      </c>
      <c r="IR25" s="138">
        <f t="shared" si="88"/>
        <v>0</v>
      </c>
      <c r="IS25" s="138">
        <f t="shared" si="89"/>
        <v>0</v>
      </c>
      <c r="IT25" s="138">
        <f t="shared" si="90"/>
        <v>0</v>
      </c>
      <c r="IU25" s="138">
        <f t="shared" si="91"/>
        <v>0</v>
      </c>
      <c r="IV25" s="138">
        <f t="shared" si="92"/>
        <v>0</v>
      </c>
      <c r="IW25" s="138">
        <f t="shared" si="93"/>
        <v>0</v>
      </c>
      <c r="IX25" s="138">
        <f t="shared" si="94"/>
        <v>0</v>
      </c>
      <c r="IY25" s="138">
        <f t="shared" si="95"/>
        <v>0</v>
      </c>
      <c r="IZ25" s="138">
        <f t="shared" si="96"/>
        <v>0</v>
      </c>
      <c r="JA25" s="138">
        <f t="shared" si="97"/>
        <v>0</v>
      </c>
      <c r="JB25" s="138">
        <f t="shared" si="98"/>
        <v>0</v>
      </c>
      <c r="JC25" s="138">
        <f t="shared" si="99"/>
        <v>0</v>
      </c>
      <c r="JD25" s="138">
        <f t="shared" si="100"/>
        <v>0</v>
      </c>
      <c r="JE25" s="138">
        <f t="shared" si="101"/>
        <v>0</v>
      </c>
      <c r="JF25" s="138">
        <f t="shared" si="102"/>
        <v>0</v>
      </c>
      <c r="JG25" s="138">
        <f t="shared" si="103"/>
        <v>0</v>
      </c>
      <c r="JH25" s="138">
        <f t="shared" si="104"/>
        <v>0</v>
      </c>
      <c r="JI25" s="138">
        <f t="shared" si="105"/>
        <v>0</v>
      </c>
      <c r="JJ25" s="138">
        <f t="shared" si="106"/>
        <v>0</v>
      </c>
      <c r="JK25" s="138">
        <f t="shared" si="107"/>
        <v>0</v>
      </c>
      <c r="JL25" s="118">
        <f t="shared" si="111"/>
        <v>0</v>
      </c>
      <c r="JO25" s="90">
        <f t="shared" si="112"/>
        <v>15.75</v>
      </c>
      <c r="JP25" s="79">
        <f t="shared" si="108"/>
        <v>0</v>
      </c>
      <c r="JQ25" s="91">
        <f t="shared" si="2"/>
        <v>19.6875</v>
      </c>
      <c r="JS25" s="123">
        <f t="shared" si="109"/>
        <v>0</v>
      </c>
      <c r="JU25" s="123">
        <f t="shared" si="113"/>
        <v>19.6875</v>
      </c>
    </row>
    <row r="26" spans="2:281" x14ac:dyDescent="0.15">
      <c r="B26" s="82" t="str">
        <f>'MODU 2025'!B29</f>
        <v>LEMOINE Anthony</v>
      </c>
      <c r="C26" s="82" t="str">
        <f>'MODU 2025'!C29</f>
        <v>Production</v>
      </c>
      <c r="D26" s="82">
        <f>'MODU 2025'!D29</f>
        <v>37</v>
      </c>
      <c r="E26" s="82"/>
      <c r="F26" s="133">
        <f>'MODU 2025'!G29</f>
        <v>33</v>
      </c>
      <c r="G26" s="140">
        <f>'MODU 2025'!H29</f>
        <v>39.5</v>
      </c>
      <c r="H26" s="140">
        <f>'MODU 2025'!I29</f>
        <v>33</v>
      </c>
      <c r="I26" s="140">
        <f>'MODU 2025'!J29</f>
        <v>34.5</v>
      </c>
      <c r="J26" s="140">
        <f>'MODU 2025'!K29</f>
        <v>33</v>
      </c>
      <c r="K26" s="140">
        <f>'MODU 2025'!L29</f>
        <v>39.5</v>
      </c>
      <c r="L26" s="140">
        <f>'MODU 2025'!M29</f>
        <v>33</v>
      </c>
      <c r="M26" s="140">
        <f>'MODU 2025'!N29</f>
        <v>41</v>
      </c>
      <c r="N26" s="140">
        <f>'MODU 2025'!O29</f>
        <v>37.5</v>
      </c>
      <c r="O26" s="140">
        <f>'MODU 2025'!P29</f>
        <v>41</v>
      </c>
      <c r="P26" s="140">
        <f>'MODU 2025'!Q29</f>
        <v>33</v>
      </c>
      <c r="Q26" s="140">
        <f>'MODU 2025'!R29</f>
        <v>41</v>
      </c>
      <c r="R26" s="140">
        <f>'MODU 2025'!S29</f>
        <v>33</v>
      </c>
      <c r="S26" s="140">
        <f>'MODU 2025'!T29</f>
        <v>41</v>
      </c>
      <c r="T26" s="140">
        <f>'MODU 2025'!U29</f>
        <v>33</v>
      </c>
      <c r="U26" s="140">
        <f>'MODU 2025'!V29</f>
        <v>41</v>
      </c>
      <c r="V26" s="140">
        <f>'MODU 2025'!W29</f>
        <v>33</v>
      </c>
      <c r="W26" s="140">
        <f>'MODU 2025'!X29</f>
        <v>41</v>
      </c>
      <c r="X26" s="140">
        <f>'MODU 2025'!Y29</f>
        <v>33</v>
      </c>
      <c r="Y26" s="140">
        <f>'MODU 2025'!Z29</f>
        <v>41</v>
      </c>
      <c r="Z26" s="140">
        <f>'MODU 2025'!AA29</f>
        <v>33</v>
      </c>
      <c r="AA26" s="140">
        <f>'MODU 2025'!AB29</f>
        <v>41</v>
      </c>
      <c r="AB26" s="140">
        <f>'MODU 2025'!AC29</f>
        <v>33</v>
      </c>
      <c r="AC26" s="140">
        <f>'MODU 2025'!AD29</f>
        <v>41</v>
      </c>
      <c r="AD26" s="140">
        <f>'MODU 2025'!AE29</f>
        <v>33</v>
      </c>
      <c r="AE26" s="140">
        <f>'MODU 2025'!AF29</f>
        <v>41</v>
      </c>
      <c r="AF26" s="140">
        <f>'MODU 2025'!AG29</f>
        <v>33</v>
      </c>
      <c r="AG26" s="140">
        <f>'MODU 2025'!AH29</f>
        <v>41</v>
      </c>
      <c r="AH26" s="140">
        <f>'MODU 2025'!AI29</f>
        <v>33</v>
      </c>
      <c r="AI26" s="140">
        <f>'MODU 2025'!AJ29</f>
        <v>41</v>
      </c>
      <c r="AJ26" s="140">
        <f>'MODU 2025'!AK29</f>
        <v>33</v>
      </c>
      <c r="AK26" s="140">
        <f>'MODU 2025'!AL29</f>
        <v>41</v>
      </c>
      <c r="AL26" s="140">
        <f>'MODU 2025'!AM29</f>
        <v>33</v>
      </c>
      <c r="AM26" s="140">
        <f>'MODU 2025'!AN29</f>
        <v>41</v>
      </c>
      <c r="AN26" s="140">
        <f>'MODU 2025'!AO29</f>
        <v>33</v>
      </c>
      <c r="AO26" s="140">
        <f>'MODU 2025'!AP29</f>
        <v>41</v>
      </c>
      <c r="AP26" s="140">
        <f>'MODU 2025'!AQ29</f>
        <v>33</v>
      </c>
      <c r="AQ26" s="140">
        <f>'MODU 2025'!AR29</f>
        <v>41</v>
      </c>
      <c r="AR26" s="140">
        <f>'MODU 2025'!AS29</f>
        <v>33</v>
      </c>
      <c r="AS26" s="140">
        <f>'MODU 2025'!AT29</f>
        <v>41</v>
      </c>
      <c r="AT26" s="140">
        <f>'MODU 2025'!AU29</f>
        <v>33</v>
      </c>
      <c r="AU26" s="140">
        <f>'MODU 2025'!AV29</f>
        <v>41</v>
      </c>
      <c r="AV26" s="140">
        <f>'MODU 2025'!AW29</f>
        <v>33</v>
      </c>
      <c r="AW26" s="140">
        <f>'MODU 2025'!AX29</f>
        <v>41</v>
      </c>
      <c r="AX26" s="140">
        <f>'MODU 2025'!AY29</f>
        <v>33</v>
      </c>
      <c r="AY26" s="140">
        <f>'MODU 2025'!AZ29</f>
        <v>41</v>
      </c>
      <c r="AZ26" s="140">
        <f>'MODU 2025'!BA29</f>
        <v>33</v>
      </c>
      <c r="BA26" s="140">
        <f>'MODU 2025'!BB29</f>
        <v>41</v>
      </c>
      <c r="BB26" s="140">
        <f>'MODU 2025'!BC29</f>
        <v>33</v>
      </c>
      <c r="BC26" s="140">
        <f>'MODU 2025'!BD29</f>
        <v>41</v>
      </c>
      <c r="BD26" s="140">
        <f>'MODU 2025'!BE29</f>
        <v>33</v>
      </c>
      <c r="BE26" s="134">
        <f>'MODU 2025'!BF29</f>
        <v>41</v>
      </c>
      <c r="BF26" s="82"/>
      <c r="BG26" s="107">
        <v>33</v>
      </c>
      <c r="BH26" s="145">
        <v>41</v>
      </c>
      <c r="BI26" s="145">
        <v>33</v>
      </c>
      <c r="BJ26" s="145">
        <v>41</v>
      </c>
      <c r="BK26" s="145">
        <v>33</v>
      </c>
      <c r="BL26" s="145">
        <v>41</v>
      </c>
      <c r="BM26" s="145">
        <v>33</v>
      </c>
      <c r="BN26" s="145">
        <v>41</v>
      </c>
      <c r="BO26" s="145">
        <v>33</v>
      </c>
      <c r="BP26" s="145">
        <v>41</v>
      </c>
      <c r="BQ26" s="145">
        <v>33</v>
      </c>
      <c r="BR26" s="145">
        <v>41</v>
      </c>
      <c r="BS26" s="145">
        <v>33</v>
      </c>
      <c r="BT26" s="145">
        <v>41</v>
      </c>
      <c r="BU26" s="145">
        <v>33</v>
      </c>
      <c r="BV26" s="145">
        <v>41</v>
      </c>
      <c r="BW26" s="145">
        <v>33</v>
      </c>
      <c r="BX26" s="145">
        <v>41</v>
      </c>
      <c r="BY26" s="145">
        <v>33</v>
      </c>
      <c r="BZ26" s="145">
        <v>41</v>
      </c>
      <c r="CA26" s="145">
        <v>33</v>
      </c>
      <c r="CB26" s="145">
        <v>41</v>
      </c>
      <c r="CC26" s="145">
        <v>33</v>
      </c>
      <c r="CD26" s="145">
        <v>41</v>
      </c>
      <c r="CE26" s="145">
        <v>33</v>
      </c>
      <c r="CF26" s="145">
        <v>41</v>
      </c>
      <c r="CG26" s="145">
        <v>33</v>
      </c>
      <c r="CH26" s="145">
        <v>41</v>
      </c>
      <c r="CI26" s="145">
        <v>33</v>
      </c>
      <c r="CJ26" s="145">
        <v>41</v>
      </c>
      <c r="CK26" s="145">
        <v>33</v>
      </c>
      <c r="CL26" s="145">
        <v>41</v>
      </c>
      <c r="CM26" s="145">
        <v>33</v>
      </c>
      <c r="CN26" s="145">
        <v>41</v>
      </c>
      <c r="CO26" s="145">
        <v>33</v>
      </c>
      <c r="CP26" s="145">
        <v>41</v>
      </c>
      <c r="CQ26" s="145">
        <v>33</v>
      </c>
      <c r="CR26" s="145">
        <v>41</v>
      </c>
      <c r="CS26" s="145">
        <v>33</v>
      </c>
      <c r="CT26" s="145">
        <v>41</v>
      </c>
      <c r="CU26" s="145">
        <v>33</v>
      </c>
      <c r="CV26" s="145">
        <v>41</v>
      </c>
      <c r="CW26" s="145">
        <v>33</v>
      </c>
      <c r="CX26" s="145">
        <v>41</v>
      </c>
      <c r="CY26" s="145">
        <v>33</v>
      </c>
      <c r="CZ26" s="145">
        <v>41</v>
      </c>
      <c r="DA26" s="145">
        <v>33</v>
      </c>
      <c r="DB26" s="145">
        <v>41</v>
      </c>
      <c r="DC26" s="145">
        <v>33</v>
      </c>
      <c r="DD26" s="145">
        <v>41</v>
      </c>
      <c r="DE26" s="145">
        <v>33</v>
      </c>
      <c r="DF26" s="108">
        <v>41</v>
      </c>
      <c r="DG26" s="84"/>
      <c r="DH26" s="112">
        <f t="shared" si="3"/>
        <v>0</v>
      </c>
      <c r="DI26" s="138">
        <f t="shared" si="4"/>
        <v>-1.5</v>
      </c>
      <c r="DJ26" s="138">
        <f t="shared" si="5"/>
        <v>0</v>
      </c>
      <c r="DK26" s="138">
        <f t="shared" si="6"/>
        <v>-6.5</v>
      </c>
      <c r="DL26" s="138">
        <f t="shared" si="7"/>
        <v>0</v>
      </c>
      <c r="DM26" s="138">
        <f t="shared" si="8"/>
        <v>-1.5</v>
      </c>
      <c r="DN26" s="138">
        <f t="shared" si="9"/>
        <v>0</v>
      </c>
      <c r="DO26" s="138">
        <f t="shared" si="10"/>
        <v>0</v>
      </c>
      <c r="DP26" s="138">
        <f t="shared" si="11"/>
        <v>0</v>
      </c>
      <c r="DQ26" s="138">
        <f t="shared" si="12"/>
        <v>4.5</v>
      </c>
      <c r="DR26" s="138">
        <f t="shared" si="13"/>
        <v>0</v>
      </c>
      <c r="DS26" s="138">
        <f t="shared" si="14"/>
        <v>0</v>
      </c>
      <c r="DT26" s="138">
        <f t="shared" si="15"/>
        <v>0</v>
      </c>
      <c r="DU26" s="138">
        <f t="shared" si="16"/>
        <v>0</v>
      </c>
      <c r="DV26" s="138">
        <f t="shared" si="17"/>
        <v>0</v>
      </c>
      <c r="DW26" s="138">
        <f t="shared" si="18"/>
        <v>0</v>
      </c>
      <c r="DX26" s="138">
        <f t="shared" si="19"/>
        <v>0</v>
      </c>
      <c r="DY26" s="138">
        <f t="shared" si="20"/>
        <v>0</v>
      </c>
      <c r="DZ26" s="138">
        <f t="shared" si="21"/>
        <v>0</v>
      </c>
      <c r="EA26" s="138">
        <f t="shared" si="22"/>
        <v>0</v>
      </c>
      <c r="EB26" s="138">
        <f t="shared" si="23"/>
        <v>0</v>
      </c>
      <c r="EC26" s="138">
        <f t="shared" si="24"/>
        <v>0</v>
      </c>
      <c r="ED26" s="138">
        <f t="shared" si="25"/>
        <v>0</v>
      </c>
      <c r="EE26" s="138">
        <f t="shared" si="26"/>
        <v>0</v>
      </c>
      <c r="EF26" s="138">
        <f t="shared" si="27"/>
        <v>0</v>
      </c>
      <c r="EG26" s="138">
        <f t="shared" si="28"/>
        <v>0</v>
      </c>
      <c r="EH26" s="138">
        <f t="shared" si="29"/>
        <v>0</v>
      </c>
      <c r="EI26" s="138">
        <f t="shared" si="30"/>
        <v>0</v>
      </c>
      <c r="EJ26" s="138">
        <f t="shared" si="31"/>
        <v>0</v>
      </c>
      <c r="EK26" s="138">
        <f t="shared" si="32"/>
        <v>0</v>
      </c>
      <c r="EL26" s="138">
        <f t="shared" si="33"/>
        <v>0</v>
      </c>
      <c r="EM26" s="138">
        <f t="shared" si="34"/>
        <v>0</v>
      </c>
      <c r="EN26" s="138">
        <f t="shared" si="35"/>
        <v>0</v>
      </c>
      <c r="EO26" s="138">
        <f t="shared" si="36"/>
        <v>0</v>
      </c>
      <c r="EP26" s="138">
        <f t="shared" si="37"/>
        <v>0</v>
      </c>
      <c r="EQ26" s="138">
        <f t="shared" si="38"/>
        <v>0</v>
      </c>
      <c r="ER26" s="138">
        <f t="shared" si="39"/>
        <v>0</v>
      </c>
      <c r="ES26" s="138">
        <f t="shared" si="40"/>
        <v>0</v>
      </c>
      <c r="ET26" s="138">
        <f t="shared" si="41"/>
        <v>0</v>
      </c>
      <c r="EU26" s="138">
        <f t="shared" si="42"/>
        <v>0</v>
      </c>
      <c r="EV26" s="138">
        <f t="shared" si="43"/>
        <v>0</v>
      </c>
      <c r="EW26" s="138">
        <f t="shared" si="44"/>
        <v>0</v>
      </c>
      <c r="EX26" s="138">
        <f t="shared" si="45"/>
        <v>0</v>
      </c>
      <c r="EY26" s="138">
        <f t="shared" si="46"/>
        <v>0</v>
      </c>
      <c r="EZ26" s="138">
        <f t="shared" si="47"/>
        <v>0</v>
      </c>
      <c r="FA26" s="138">
        <f t="shared" si="48"/>
        <v>0</v>
      </c>
      <c r="FB26" s="138">
        <f t="shared" si="49"/>
        <v>0</v>
      </c>
      <c r="FC26" s="138">
        <f t="shared" si="50"/>
        <v>0</v>
      </c>
      <c r="FD26" s="138">
        <f t="shared" si="51"/>
        <v>0</v>
      </c>
      <c r="FE26" s="138">
        <f t="shared" si="52"/>
        <v>0</v>
      </c>
      <c r="FF26" s="138">
        <f t="shared" si="53"/>
        <v>0</v>
      </c>
      <c r="FG26" s="113">
        <f t="shared" si="54"/>
        <v>0</v>
      </c>
      <c r="FH26" s="113">
        <f t="shared" si="55"/>
        <v>-5</v>
      </c>
      <c r="FI26" s="35"/>
      <c r="FJ26" s="151" cm="1">
        <f t="array" ref="FJ26">IF($C26="Production",
IFERROR(_xlfn.IFS(AND(DH26&gt;0,DH26+SUM(BF26:BG26)&lt;=$FM$3),DH26,AND(DH26&gt;0,DH26+SUM(BF26:BG26)&gt;$FM$3),$FM$3-SUM(BF26:BG26)),0),
IFERROR(_xlfn.IFS(AND(DH26&gt;0,DH26+BG26&lt;=$FK$3),DH26,AND(DH26&gt;0,DH26+BG26&gt;$FK$3),0),0)
)</f>
        <v>0</v>
      </c>
      <c r="FK26" s="152" cm="1">
        <f t="array" ref="FK26">IF($C26="Production",
IFERROR(_xlfn.IFS(AND(DI26&gt;0,DI26+SUM(BG26:BH26)&lt;=$FM$3),DI26,AND(DI26&gt;0,DI26+SUM(BG26:BH26)&gt;$FM$3),$FM$3-SUM(BG26:BH26)),0),
IFERROR(_xlfn.IFS(AND(DI26&gt;0,DI26+BH26&lt;=$FK$3),DI26,AND(DI26&gt;0,DI26+BH26&gt;$FK$3),0),0)
)</f>
        <v>0</v>
      </c>
      <c r="FL26" s="152" cm="1">
        <f t="array" ref="FL26">IF($C26="Production",
IFERROR(_xlfn.IFS(AND(DJ26&gt;0,DJ26+SUM(BH26:BI26)&lt;=$FM$3),DJ26,AND(DJ26&gt;0,DJ26+SUM(BH26:BI26)&gt;$FM$3),$FM$3-SUM(BH26:BI26)),0),
IFERROR(_xlfn.IFS(AND(DJ26&gt;0,DJ26+BI26&lt;=$FK$3),DJ26,AND(DJ26&gt;0,DJ26+BI26&gt;$FK$3),0),0)
)</f>
        <v>0</v>
      </c>
      <c r="FM26" s="152" cm="1">
        <f t="array" ref="FM26">IF($C26="Production",
IFERROR(_xlfn.IFS(AND(DK26&gt;0,DK26+SUM(BI26:BJ26)&lt;=$FM$3),DK26,AND(DK26&gt;0,DK26+SUM(BI26:BJ26)&gt;$FM$3),$FM$3-SUM(BI26:BJ26)),0),
IFERROR(_xlfn.IFS(AND(DK26&gt;0,DK26+BJ26&lt;=$FK$3),DK26,AND(DK26&gt;0,DK26+BJ26&gt;$FK$3),0),0)
)</f>
        <v>0</v>
      </c>
      <c r="FN26" s="152" cm="1">
        <f t="array" ref="FN26">IF($C26="Production",
IFERROR(_xlfn.IFS(AND(DL26&gt;0,DL26+SUM(BJ26:BK26)&lt;=$FM$3),DL26,AND(DL26&gt;0,DL26+SUM(BJ26:BK26)&gt;$FM$3),$FM$3-SUM(BJ26:BK26)),0),
IFERROR(_xlfn.IFS(AND(DL26&gt;0,DL26+BK26&lt;=$FK$3),DL26,AND(DL26&gt;0,DL26+BK26&gt;$FK$3),0),0)
)</f>
        <v>0</v>
      </c>
      <c r="FO26" s="152" cm="1">
        <f t="array" ref="FO26">IF($C26="Production",
IFERROR(_xlfn.IFS(AND(DM26&gt;0,DM26+SUM(BK26:BL26)&lt;=$FM$3),DM26,AND(DM26&gt;0,DM26+SUM(BK26:BL26)&gt;$FM$3),$FM$3-SUM(BK26:BL26)),0),
IFERROR(_xlfn.IFS(AND(DM26&gt;0,DM26+BL26&lt;=$FK$3),DM26,AND(DM26&gt;0,DM26+BL26&gt;$FK$3),0),0)
)</f>
        <v>0</v>
      </c>
      <c r="FP26" s="152" cm="1">
        <f t="array" ref="FP26">IF($C26="Production",
IFERROR(_xlfn.IFS(AND(DN26&gt;0,DN26+SUM(BL26:BM26)&lt;=$FM$3),DN26,AND(DN26&gt;0,DN26+SUM(BL26:BM26)&gt;$FM$3),$FM$3-SUM(BL26:BM26)),0),
IFERROR(_xlfn.IFS(AND(DN26&gt;0,DN26+BM26&lt;=$FK$3),DN26,AND(DN26&gt;0,DN26+BM26&gt;$FK$3),0),0)
)</f>
        <v>0</v>
      </c>
      <c r="FQ26" s="152" cm="1">
        <f t="array" ref="FQ26">IF($C26="Production",
IFERROR(_xlfn.IFS(AND(DO26&gt;0,DO26+SUM(BM26:BN26)&lt;=$FM$3),DO26,AND(DO26&gt;0,DO26+SUM(BM26:BN26)&gt;$FM$3),$FM$3-SUM(BM26:BN26)),0),
IFERROR(_xlfn.IFS(AND(DO26&gt;0,DO26+BN26&lt;=$FK$3),DO26,AND(DO26&gt;0,DO26+BN26&gt;$FK$3),0),0)
)</f>
        <v>0</v>
      </c>
      <c r="FR26" s="152" cm="1">
        <f t="array" ref="FR26">IF($C26="Production",
IFERROR(_xlfn.IFS(AND(DP26&gt;0,DP26+SUM(BN26:BO26)&lt;=$FM$3),DP26,AND(DP26&gt;0,DP26+SUM(BN26:BO26)&gt;$FM$3),$FM$3-SUM(BN26:BO26)),0),
IFERROR(_xlfn.IFS(AND(DP26&gt;0,DP26+BO26&lt;=$FK$3),DP26,AND(DP26&gt;0,DP26+BO26&gt;$FK$3),0),0)
)</f>
        <v>0</v>
      </c>
      <c r="FS26" s="152" cm="1">
        <f t="array" ref="FS26">IF($C26="Production",
IFERROR(_xlfn.IFS(AND(DQ26&gt;0,DQ26+SUM(BO26:BP26)&lt;=$FM$3),DQ26,AND(DQ26&gt;0,DQ26+SUM(BO26:BP26)&gt;$FM$3),$FM$3-SUM(BO26:BP26)),0),
IFERROR(_xlfn.IFS(AND(DQ26&gt;0,DQ26+BP26&lt;=$FK$3),DQ26,AND(DQ26&gt;0,DQ26+BP26&gt;$FK$3),0),0)
)</f>
        <v>4.5</v>
      </c>
      <c r="FT26" s="152" cm="1">
        <f t="array" ref="FT26">IF($C26="Production",
IFERROR(_xlfn.IFS(AND(DR26&gt;0,DR26+SUM(BP26:BQ26)&lt;=$FM$3),DR26,AND(DR26&gt;0,DR26+SUM(BP26:BQ26)&gt;$FM$3),$FM$3-SUM(BP26:BQ26)),0),
IFERROR(_xlfn.IFS(AND(DR26&gt;0,DR26+BQ26&lt;=$FK$3),DR26,AND(DR26&gt;0,DR26+BQ26&gt;$FK$3),0),0)
)</f>
        <v>0</v>
      </c>
      <c r="FU26" s="152" cm="1">
        <f t="array" ref="FU26">IF($C26="Production",
IFERROR(_xlfn.IFS(AND(DS26&gt;0,DS26+SUM(BQ26:BR26)&lt;=$FM$3),DS26,AND(DS26&gt;0,DS26+SUM(BQ26:BR26)&gt;$FM$3),$FM$3-SUM(BQ26:BR26)),0),
IFERROR(_xlfn.IFS(AND(DS26&gt;0,DS26+BR26&lt;=$FK$3),DS26,AND(DS26&gt;0,DS26+BR26&gt;$FK$3),0),0)
)</f>
        <v>0</v>
      </c>
      <c r="FV26" s="152" cm="1">
        <f t="array" ref="FV26">IF($C26="Production",
IFERROR(_xlfn.IFS(AND(DT26&gt;0,DT26+SUM(BR26:BS26)&lt;=$FM$3),DT26,AND(DT26&gt;0,DT26+SUM(BR26:BS26)&gt;$FM$3),$FM$3-SUM(BR26:BS26)),0),
IFERROR(_xlfn.IFS(AND(DT26&gt;0,DT26+BS26&lt;=$FK$3),DT26,AND(DT26&gt;0,DT26+BS26&gt;$FK$3),0),0)
)</f>
        <v>0</v>
      </c>
      <c r="FW26" s="152" cm="1">
        <f t="array" ref="FW26">IF($C26="Production",
IFERROR(_xlfn.IFS(AND(DU26&gt;0,DU26+SUM(BS26:BT26)&lt;=$FM$3),DU26,AND(DU26&gt;0,DU26+SUM(BS26:BT26)&gt;$FM$3),$FM$3-SUM(BS26:BT26)),0),
IFERROR(_xlfn.IFS(AND(DU26&gt;0,DU26+BT26&lt;=$FK$3),DU26,AND(DU26&gt;0,DU26+BT26&gt;$FK$3),0),0)
)</f>
        <v>0</v>
      </c>
      <c r="FX26" s="152" cm="1">
        <f t="array" ref="FX26">IF($C26="Production",
IFERROR(_xlfn.IFS(AND(DV26&gt;0,DV26+SUM(BT26:BU26)&lt;=$FM$3),DV26,AND(DV26&gt;0,DV26+SUM(BT26:BU26)&gt;$FM$3),$FM$3-SUM(BT26:BU26)),0),
IFERROR(_xlfn.IFS(AND(DV26&gt;0,DV26+BU26&lt;=$FK$3),DV26,AND(DV26&gt;0,DV26+BU26&gt;$FK$3),0),0)
)</f>
        <v>0</v>
      </c>
      <c r="FY26" s="152" cm="1">
        <f t="array" ref="FY26">IF($C26="Production",
IFERROR(_xlfn.IFS(AND(DW26&gt;0,DW26+SUM(BU26:BV26)&lt;=$FM$3),DW26,AND(DW26&gt;0,DW26+SUM(BU26:BV26)&gt;$FM$3),$FM$3-SUM(BU26:BV26)),0),
IFERROR(_xlfn.IFS(AND(DW26&gt;0,DW26+BV26&lt;=$FK$3),DW26,AND(DW26&gt;0,DW26+BV26&gt;$FK$3),0),0)
)</f>
        <v>0</v>
      </c>
      <c r="FZ26" s="152" cm="1">
        <f t="array" ref="FZ26">IF($C26="Production",
IFERROR(_xlfn.IFS(AND(DX26&gt;0,DX26+SUM(BV26:BW26)&lt;=$FM$3),DX26,AND(DX26&gt;0,DX26+SUM(BV26:BW26)&gt;$FM$3),$FM$3-SUM(BV26:BW26)),0),
IFERROR(_xlfn.IFS(AND(DX26&gt;0,DX26+BW26&lt;=$FK$3),DX26,AND(DX26&gt;0,DX26+BW26&gt;$FK$3),0),0)
)</f>
        <v>0</v>
      </c>
      <c r="GA26" s="152" cm="1">
        <f t="array" ref="GA26">IF($C26="Production",
IFERROR(_xlfn.IFS(AND(DY26&gt;0,DY26+SUM(BW26:BX26)&lt;=$FM$3),DY26,AND(DY26&gt;0,DY26+SUM(BW26:BX26)&gt;$FM$3),$FM$3-SUM(BW26:BX26)),0),
IFERROR(_xlfn.IFS(AND(DY26&gt;0,DY26+BX26&lt;=$FK$3),DY26,AND(DY26&gt;0,DY26+BX26&gt;$FK$3),0),0)
)</f>
        <v>0</v>
      </c>
      <c r="GB26" s="152" cm="1">
        <f t="array" ref="GB26">IF($C26="Production",
IFERROR(_xlfn.IFS(AND(DZ26&gt;0,DZ26+SUM(BX26:BY26)&lt;=$FM$3),DZ26,AND(DZ26&gt;0,DZ26+SUM(BX26:BY26)&gt;$FM$3),$FM$3-SUM(BX26:BY26)),0),
IFERROR(_xlfn.IFS(AND(DZ26&gt;0,DZ26+BY26&lt;=$FK$3),DZ26,AND(DZ26&gt;0,DZ26+BY26&gt;$FK$3),0),0)
)</f>
        <v>0</v>
      </c>
      <c r="GC26" s="152" cm="1">
        <f t="array" ref="GC26">IF($C26="Production",
IFERROR(_xlfn.IFS(AND(EA26&gt;0,EA26+SUM(BY26:BZ26)&lt;=$FM$3),EA26,AND(EA26&gt;0,EA26+SUM(BY26:BZ26)&gt;$FM$3),$FM$3-SUM(BY26:BZ26)),0),
IFERROR(_xlfn.IFS(AND(EA26&gt;0,EA26+BZ26&lt;=$FK$3),EA26,AND(EA26&gt;0,EA26+BZ26&gt;$FK$3),0),0)
)</f>
        <v>0</v>
      </c>
      <c r="GD26" s="152" cm="1">
        <f t="array" ref="GD26">IF($C26="Production",
IFERROR(_xlfn.IFS(AND(EB26&gt;0,EB26+SUM(BZ26:CA26)&lt;=$FM$3),EB26,AND(EB26&gt;0,EB26+SUM(BZ26:CA26)&gt;$FM$3),$FM$3-SUM(BZ26:CA26)),0),
IFERROR(_xlfn.IFS(AND(EB26&gt;0,EB26+CA26&lt;=$FK$3),EB26,AND(EB26&gt;0,EB26+CA26&gt;$FK$3),0),0)
)</f>
        <v>0</v>
      </c>
      <c r="GE26" s="152" cm="1">
        <f t="array" ref="GE26">IF($C26="Production",
IFERROR(_xlfn.IFS(AND(EC26&gt;0,EC26+SUM(CA26:CB26)&lt;=$FM$3),EC26,AND(EC26&gt;0,EC26+SUM(CA26:CB26)&gt;$FM$3),$FM$3-SUM(CA26:CB26)),0),
IFERROR(_xlfn.IFS(AND(EC26&gt;0,EC26+CB26&lt;=$FK$3),EC26,AND(EC26&gt;0,EC26+CB26&gt;$FK$3),0),0)
)</f>
        <v>0</v>
      </c>
      <c r="GF26" s="152" cm="1">
        <f t="array" ref="GF26">IF($C26="Production",
IFERROR(_xlfn.IFS(AND(ED26&gt;0,ED26+SUM(CB26:CC26)&lt;=$FM$3),ED26,AND(ED26&gt;0,ED26+SUM(CB26:CC26)&gt;$FM$3),$FM$3-SUM(CB26:CC26)),0),
IFERROR(_xlfn.IFS(AND(ED26&gt;0,ED26+CC26&lt;=$FK$3),ED26,AND(ED26&gt;0,ED26+CC26&gt;$FK$3),0),0)
)</f>
        <v>0</v>
      </c>
      <c r="GG26" s="152" cm="1">
        <f t="array" ref="GG26">IF($C26="Production",
IFERROR(_xlfn.IFS(AND(EE26&gt;0,EE26+SUM(CC26:CD26)&lt;=$FM$3),EE26,AND(EE26&gt;0,EE26+SUM(CC26:CD26)&gt;$FM$3),$FM$3-SUM(CC26:CD26)),0),
IFERROR(_xlfn.IFS(AND(EE26&gt;0,EE26+CD26&lt;=$FK$3),EE26,AND(EE26&gt;0,EE26+CD26&gt;$FK$3),0),0)
)</f>
        <v>0</v>
      </c>
      <c r="GH26" s="152" cm="1">
        <f t="array" ref="GH26">IF($C26="Production",
IFERROR(_xlfn.IFS(AND(EF26&gt;0,EF26+SUM(CD26:CE26)&lt;=$FM$3),EF26,AND(EF26&gt;0,EF26+SUM(CD26:CE26)&gt;$FM$3),$FM$3-SUM(CD26:CE26)),0),
IFERROR(_xlfn.IFS(AND(EF26&gt;0,EF26+CE26&lt;=$FK$3),EF26,AND(EF26&gt;0,EF26+CE26&gt;$FK$3),0),0)
)</f>
        <v>0</v>
      </c>
      <c r="GI26" s="152" cm="1">
        <f t="array" ref="GI26">IF($C26="Production",
IFERROR(_xlfn.IFS(AND(EG26&gt;0,EG26+SUM(CE26:CF26)&lt;=$FM$3),EG26,AND(EG26&gt;0,EG26+SUM(CE26:CF26)&gt;$FM$3),$FM$3-SUM(CE26:CF26)),0),
IFERROR(_xlfn.IFS(AND(EG26&gt;0,EG26+CF26&lt;=$FK$3),EG26,AND(EG26&gt;0,EG26+CF26&gt;$FK$3),0),0)
)</f>
        <v>0</v>
      </c>
      <c r="GJ26" s="152" cm="1">
        <f t="array" ref="GJ26">IF($C26="Production",
IFERROR(_xlfn.IFS(AND(EH26&gt;0,EH26+SUM(CF26:CG26)&lt;=$FM$3),EH26,AND(EH26&gt;0,EH26+SUM(CF26:CG26)&gt;$FM$3),$FM$3-SUM(CF26:CG26)),0),
IFERROR(_xlfn.IFS(AND(EH26&gt;0,EH26+CG26&lt;=$FK$3),EH26,AND(EH26&gt;0,EH26+CG26&gt;$FK$3),0),0)
)</f>
        <v>0</v>
      </c>
      <c r="GK26" s="152" cm="1">
        <f t="array" ref="GK26">IF($C26="Production",
IFERROR(_xlfn.IFS(AND(EI26&gt;0,EI26+SUM(CG26:CH26)&lt;=$FM$3),EI26,AND(EI26&gt;0,EI26+SUM(CG26:CH26)&gt;$FM$3),$FM$3-SUM(CG26:CH26)),0),
IFERROR(_xlfn.IFS(AND(EI26&gt;0,EI26+CH26&lt;=$FK$3),EI26,AND(EI26&gt;0,EI26+CH26&gt;$FK$3),0),0)
)</f>
        <v>0</v>
      </c>
      <c r="GL26" s="152" cm="1">
        <f t="array" ref="GL26">IF($C26="Production",
IFERROR(_xlfn.IFS(AND(EJ26&gt;0,EJ26+SUM(CH26:CI26)&lt;=$FM$3),EJ26,AND(EJ26&gt;0,EJ26+SUM(CH26:CI26)&gt;$FM$3),$FM$3-SUM(CH26:CI26)),0),
IFERROR(_xlfn.IFS(AND(EJ26&gt;0,EJ26+CI26&lt;=$FK$3),EJ26,AND(EJ26&gt;0,EJ26+CI26&gt;$FK$3),0),0)
)</f>
        <v>0</v>
      </c>
      <c r="GM26" s="152" cm="1">
        <f t="array" ref="GM26">IF($C26="Production",
IFERROR(_xlfn.IFS(AND(EK26&gt;0,EK26+SUM(CI26:CJ26)&lt;=$FM$3),EK26,AND(EK26&gt;0,EK26+SUM(CI26:CJ26)&gt;$FM$3),$FM$3-SUM(CI26:CJ26)),0),
IFERROR(_xlfn.IFS(AND(EK26&gt;0,EK26+CJ26&lt;=$FK$3),EK26,AND(EK26&gt;0,EK26+CJ26&gt;$FK$3),0),0)
)</f>
        <v>0</v>
      </c>
      <c r="GN26" s="152" cm="1">
        <f t="array" ref="GN26">IF($C26="Production",
IFERROR(_xlfn.IFS(AND(EL26&gt;0,EL26+SUM(CJ26:CK26)&lt;=$FM$3),EL26,AND(EL26&gt;0,EL26+SUM(CJ26:CK26)&gt;$FM$3),$FM$3-SUM(CJ26:CK26)),0),
IFERROR(_xlfn.IFS(AND(EL26&gt;0,EL26+CK26&lt;=$FK$3),EL26,AND(EL26&gt;0,EL26+CK26&gt;$FK$3),0),0)
)</f>
        <v>0</v>
      </c>
      <c r="GO26" s="152" cm="1">
        <f t="array" ref="GO26">IF($C26="Production",
IFERROR(_xlfn.IFS(AND(EM26&gt;0,EM26+SUM(CK26:CL26)&lt;=$FM$3),EM26,AND(EM26&gt;0,EM26+SUM(CK26:CL26)&gt;$FM$3),$FM$3-SUM(CK26:CL26)),0),
IFERROR(_xlfn.IFS(AND(EM26&gt;0,EM26+CL26&lt;=$FK$3),EM26,AND(EM26&gt;0,EM26+CL26&gt;$FK$3),0),0)
)</f>
        <v>0</v>
      </c>
      <c r="GP26" s="152" cm="1">
        <f t="array" ref="GP26">IF($C26="Production",
IFERROR(_xlfn.IFS(AND(EN26&gt;0,EN26+SUM(CL26:CM26)&lt;=$FM$3),EN26,AND(EN26&gt;0,EN26+SUM(CL26:CM26)&gt;$FM$3),$FM$3-SUM(CL26:CM26)),0),
IFERROR(_xlfn.IFS(AND(EN26&gt;0,EN26+CM26&lt;=$FK$3),EN26,AND(EN26&gt;0,EN26+CM26&gt;$FK$3),0),0)
)</f>
        <v>0</v>
      </c>
      <c r="GQ26" s="152" cm="1">
        <f t="array" ref="GQ26">IF($C26="Production",
IFERROR(_xlfn.IFS(AND(EO26&gt;0,EO26+SUM(CM26:CN26)&lt;=$FM$3),EO26,AND(EO26&gt;0,EO26+SUM(CM26:CN26)&gt;$FM$3),$FM$3-SUM(CM26:CN26)),0),
IFERROR(_xlfn.IFS(AND(EO26&gt;0,EO26+CN26&lt;=$FK$3),EO26,AND(EO26&gt;0,EO26+CN26&gt;$FK$3),0),0)
)</f>
        <v>0</v>
      </c>
      <c r="GR26" s="152" cm="1">
        <f t="array" ref="GR26">IF($C26="Production",
IFERROR(_xlfn.IFS(AND(EP26&gt;0,EP26+SUM(CN26:CO26)&lt;=$FM$3),EP26,AND(EP26&gt;0,EP26+SUM(CN26:CO26)&gt;$FM$3),$FM$3-SUM(CN26:CO26)),0),
IFERROR(_xlfn.IFS(AND(EP26&gt;0,EP26+CO26&lt;=$FK$3),EP26,AND(EP26&gt;0,EP26+CO26&gt;$FK$3),0),0)
)</f>
        <v>0</v>
      </c>
      <c r="GS26" s="152" cm="1">
        <f t="array" ref="GS26">IF($C26="Production",
IFERROR(_xlfn.IFS(AND(EQ26&gt;0,EQ26+SUM(CO26:CP26)&lt;=$FM$3),EQ26,AND(EQ26&gt;0,EQ26+SUM(CO26:CP26)&gt;$FM$3),$FM$3-SUM(CO26:CP26)),0),
IFERROR(_xlfn.IFS(AND(EQ26&gt;0,EQ26+CP26&lt;=$FK$3),EQ26,AND(EQ26&gt;0,EQ26+CP26&gt;$FK$3),0),0)
)</f>
        <v>0</v>
      </c>
      <c r="GT26" s="152" cm="1">
        <f t="array" ref="GT26">IF($C26="Production",
IFERROR(_xlfn.IFS(AND(ER26&gt;0,ER26+SUM(CP26:CQ26)&lt;=$FM$3),ER26,AND(ER26&gt;0,ER26+SUM(CP26:CQ26)&gt;$FM$3),$FM$3-SUM(CP26:CQ26)),0),
IFERROR(_xlfn.IFS(AND(ER26&gt;0,ER26+CQ26&lt;=$FK$3),ER26,AND(ER26&gt;0,ER26+CQ26&gt;$FK$3),0),0)
)</f>
        <v>0</v>
      </c>
      <c r="GU26" s="152" cm="1">
        <f t="array" ref="GU26">IF($C26="Production",
IFERROR(_xlfn.IFS(AND(ES26&gt;0,ES26+SUM(CQ26:CR26)&lt;=$FM$3),ES26,AND(ES26&gt;0,ES26+SUM(CQ26:CR26)&gt;$FM$3),$FM$3-SUM(CQ26:CR26)),0),
IFERROR(_xlfn.IFS(AND(ES26&gt;0,ES26+CR26&lt;=$FK$3),ES26,AND(ES26&gt;0,ES26+CR26&gt;$FK$3),0),0)
)</f>
        <v>0</v>
      </c>
      <c r="GV26" s="152" cm="1">
        <f t="array" ref="GV26">IF($C26="Production",
IFERROR(_xlfn.IFS(AND(ET26&gt;0,ET26+SUM(CR26:CS26)&lt;=$FM$3),ET26,AND(ET26&gt;0,ET26+SUM(CR26:CS26)&gt;$FM$3),$FM$3-SUM(CR26:CS26)),0),
IFERROR(_xlfn.IFS(AND(ET26&gt;0,ET26+CS26&lt;=$FK$3),ET26,AND(ET26&gt;0,ET26+CS26&gt;$FK$3),0),0)
)</f>
        <v>0</v>
      </c>
      <c r="GW26" s="152" cm="1">
        <f t="array" ref="GW26">IF($C26="Production",
IFERROR(_xlfn.IFS(AND(EU26&gt;0,EU26+SUM(CS26:CT26)&lt;=$FM$3),EU26,AND(EU26&gt;0,EU26+SUM(CS26:CT26)&gt;$FM$3),$FM$3-SUM(CS26:CT26)),0),
IFERROR(_xlfn.IFS(AND(EU26&gt;0,EU26+CT26&lt;=$FK$3),EU26,AND(EU26&gt;0,EU26+CT26&gt;$FK$3),0),0)
)</f>
        <v>0</v>
      </c>
      <c r="GX26" s="152" cm="1">
        <f t="array" ref="GX26">IF($C26="Production",
IFERROR(_xlfn.IFS(AND(EV26&gt;0,EV26+SUM(CT26:CU26)&lt;=$FM$3),EV26,AND(EV26&gt;0,EV26+SUM(CT26:CU26)&gt;$FM$3),$FM$3-SUM(CT26:CU26)),0),
IFERROR(_xlfn.IFS(AND(EV26&gt;0,EV26+CU26&lt;=$FK$3),EV26,AND(EV26&gt;0,EV26+CU26&gt;$FK$3),0),0)
)</f>
        <v>0</v>
      </c>
      <c r="GY26" s="152" cm="1">
        <f t="array" ref="GY26">IF($C26="Production",
IFERROR(_xlfn.IFS(AND(EW26&gt;0,EW26+SUM(CU26:CV26)&lt;=$FM$3),EW26,AND(EW26&gt;0,EW26+SUM(CU26:CV26)&gt;$FM$3),$FM$3-SUM(CU26:CV26)),0),
IFERROR(_xlfn.IFS(AND(EW26&gt;0,EW26+CV26&lt;=$FK$3),EW26,AND(EW26&gt;0,EW26+CV26&gt;$FK$3),0),0)
)</f>
        <v>0</v>
      </c>
      <c r="GZ26" s="152" cm="1">
        <f t="array" ref="GZ26">IF($C26="Production",
IFERROR(_xlfn.IFS(AND(EX26&gt;0,EX26+SUM(CV26:CW26)&lt;=$FM$3),EX26,AND(EX26&gt;0,EX26+SUM(CV26:CW26)&gt;$FM$3),$FM$3-SUM(CV26:CW26)),0),
IFERROR(_xlfn.IFS(AND(EX26&gt;0,EX26+CW26&lt;=$FK$3),EX26,AND(EX26&gt;0,EX26+CW26&gt;$FK$3),0),0)
)</f>
        <v>0</v>
      </c>
      <c r="HA26" s="152" cm="1">
        <f t="array" ref="HA26">IF($C26="Production",
IFERROR(_xlfn.IFS(AND(EY26&gt;0,EY26+SUM(CW26:CX26)&lt;=$FM$3),EY26,AND(EY26&gt;0,EY26+SUM(CW26:CX26)&gt;$FM$3),$FM$3-SUM(CW26:CX26)),0),
IFERROR(_xlfn.IFS(AND(EY26&gt;0,EY26+CX26&lt;=$FK$3),EY26,AND(EY26&gt;0,EY26+CX26&gt;$FK$3),0),0)
)</f>
        <v>0</v>
      </c>
      <c r="HB26" s="152" cm="1">
        <f t="array" ref="HB26">IF($C26="Production",
IFERROR(_xlfn.IFS(AND(EZ26&gt;0,EZ26+SUM(CX26:CY26)&lt;=$FM$3),EZ26,AND(EZ26&gt;0,EZ26+SUM(CX26:CY26)&gt;$FM$3),$FM$3-SUM(CX26:CY26)),0),
IFERROR(_xlfn.IFS(AND(EZ26&gt;0,EZ26+CY26&lt;=$FK$3),EZ26,AND(EZ26&gt;0,EZ26+CY26&gt;$FK$3),0),0)
)</f>
        <v>0</v>
      </c>
      <c r="HC26" s="152" cm="1">
        <f t="array" ref="HC26">IF($C26="Production",
IFERROR(_xlfn.IFS(AND(FA26&gt;0,FA26+SUM(CY26:CZ26)&lt;=$FM$3),FA26,AND(FA26&gt;0,FA26+SUM(CY26:CZ26)&gt;$FM$3),$FM$3-SUM(CY26:CZ26)),0),
IFERROR(_xlfn.IFS(AND(FA26&gt;0,FA26+CZ26&lt;=$FK$3),FA26,AND(FA26&gt;0,FA26+CZ26&gt;$FK$3),0),0)
)</f>
        <v>0</v>
      </c>
      <c r="HD26" s="152" cm="1">
        <f t="array" ref="HD26">IF($C26="Production",
IFERROR(_xlfn.IFS(AND(FB26&gt;0,FB26+SUM(CZ26:DA26)&lt;=$FM$3),FB26,AND(FB26&gt;0,FB26+SUM(CZ26:DA26)&gt;$FM$3),$FM$3-SUM(CZ26:DA26)),0),
IFERROR(_xlfn.IFS(AND(FB26&gt;0,FB26+DA26&lt;=$FK$3),FB26,AND(FB26&gt;0,FB26+DA26&gt;$FK$3),0),0)
)</f>
        <v>0</v>
      </c>
      <c r="HE26" s="152" cm="1">
        <f t="array" ref="HE26">IF($C26="Production",
IFERROR(_xlfn.IFS(AND(FC26&gt;0,FC26+SUM(DA26:DB26)&lt;=$FM$3),FC26,AND(FC26&gt;0,FC26+SUM(DA26:DB26)&gt;$FM$3),$FM$3-SUM(DA26:DB26)),0),
IFERROR(_xlfn.IFS(AND(FC26&gt;0,FC26+DB26&lt;=$FK$3),FC26,AND(FC26&gt;0,FC26+DB26&gt;$FK$3),0),0)
)</f>
        <v>0</v>
      </c>
      <c r="HF26" s="152" cm="1">
        <f t="array" ref="HF26">IF($C26="Production",
IFERROR(_xlfn.IFS(AND(FD26&gt;0,FD26+SUM(DB26:DC26)&lt;=$FM$3),FD26,AND(FD26&gt;0,FD26+SUM(DB26:DC26)&gt;$FM$3),$FM$3-SUM(DB26:DC26)),0),
IFERROR(_xlfn.IFS(AND(FD26&gt;0,FD26+DC26&lt;=$FK$3),FD26,AND(FD26&gt;0,FD26+DC26&gt;$FK$3),0),0)
)</f>
        <v>0</v>
      </c>
      <c r="HG26" s="152" cm="1">
        <f t="array" ref="HG26">IF($C26="Production",
IFERROR(_xlfn.IFS(AND(FE26&gt;0,FE26+SUM(DC26:DD26)&lt;=$FM$3),FE26,AND(FE26&gt;0,FE26+SUM(DC26:DD26)&gt;$FM$3),$FM$3-SUM(DC26:DD26)),0),
IFERROR(_xlfn.IFS(AND(FE26&gt;0,FE26+DD26&lt;=$FK$3),FE26,AND(FE26&gt;0,FE26+DD26&gt;$FK$3),0),0)
)</f>
        <v>0</v>
      </c>
      <c r="HH26" s="152" cm="1">
        <f t="array" ref="HH26">IF($C26="Production",
IFERROR(_xlfn.IFS(AND(FF26&gt;0,FF26+SUM(DD26:DE26)&lt;=$FM$3),FF26,AND(FF26&gt;0,FF26+SUM(DD26:DE26)&gt;$FM$3),$FM$3-SUM(DD26:DE26)),0),
IFERROR(_xlfn.IFS(AND(FF26&gt;0,FF26+DE26&lt;=$FK$3),FF26,AND(FF26&gt;0,FF26+DE26&gt;$FK$3),0),0)
)</f>
        <v>0</v>
      </c>
      <c r="HI26" s="156" cm="1">
        <f t="array" ref="HI26">IF($C26="Production",
IFERROR(_xlfn.IFS(AND(FG26&gt;0,FG26+SUM(DE26:DF26)&lt;=$FM$3),FG26,AND(FG26&gt;0,FG26+SUM(DE26:DF26)&gt;$FM$3),$FM$3-SUM(DE26:DF26)),0),
IFERROR(_xlfn.IFS(AND(FG26&gt;0,FG26+DF26&lt;=$FK$3),FG26,AND(FG26&gt;0,FG26+DF26&gt;$FK$3),0),0)
)</f>
        <v>0</v>
      </c>
      <c r="HJ26" s="113">
        <f t="shared" si="110"/>
        <v>4.5</v>
      </c>
      <c r="HK26" s="80"/>
      <c r="HL26" s="112">
        <f t="shared" si="56"/>
        <v>0</v>
      </c>
      <c r="HM26" s="138">
        <f t="shared" si="57"/>
        <v>0</v>
      </c>
      <c r="HN26" s="138">
        <f t="shared" si="58"/>
        <v>0</v>
      </c>
      <c r="HO26" s="138">
        <f t="shared" si="59"/>
        <v>0</v>
      </c>
      <c r="HP26" s="138">
        <f t="shared" si="60"/>
        <v>0</v>
      </c>
      <c r="HQ26" s="138">
        <f t="shared" si="61"/>
        <v>0</v>
      </c>
      <c r="HR26" s="138">
        <f t="shared" si="62"/>
        <v>0</v>
      </c>
      <c r="HS26" s="138">
        <f t="shared" si="63"/>
        <v>0</v>
      </c>
      <c r="HT26" s="138">
        <f t="shared" si="64"/>
        <v>0</v>
      </c>
      <c r="HU26" s="138">
        <f t="shared" si="65"/>
        <v>0</v>
      </c>
      <c r="HV26" s="138">
        <f t="shared" si="66"/>
        <v>0</v>
      </c>
      <c r="HW26" s="138">
        <f t="shared" si="67"/>
        <v>0</v>
      </c>
      <c r="HX26" s="138">
        <f t="shared" si="68"/>
        <v>0</v>
      </c>
      <c r="HY26" s="138">
        <f t="shared" si="69"/>
        <v>0</v>
      </c>
      <c r="HZ26" s="138">
        <f t="shared" si="70"/>
        <v>0</v>
      </c>
      <c r="IA26" s="138">
        <f t="shared" si="71"/>
        <v>0</v>
      </c>
      <c r="IB26" s="138">
        <f t="shared" si="72"/>
        <v>0</v>
      </c>
      <c r="IC26" s="138">
        <f t="shared" si="73"/>
        <v>0</v>
      </c>
      <c r="ID26" s="138">
        <f t="shared" si="74"/>
        <v>0</v>
      </c>
      <c r="IE26" s="138">
        <f t="shared" si="75"/>
        <v>0</v>
      </c>
      <c r="IF26" s="138">
        <f t="shared" si="76"/>
        <v>0</v>
      </c>
      <c r="IG26" s="138">
        <f t="shared" si="77"/>
        <v>0</v>
      </c>
      <c r="IH26" s="138">
        <f t="shared" si="78"/>
        <v>0</v>
      </c>
      <c r="II26" s="138">
        <f t="shared" si="79"/>
        <v>0</v>
      </c>
      <c r="IJ26" s="138">
        <f t="shared" si="80"/>
        <v>0</v>
      </c>
      <c r="IK26" s="138">
        <f t="shared" si="81"/>
        <v>0</v>
      </c>
      <c r="IL26" s="138">
        <f t="shared" si="82"/>
        <v>0</v>
      </c>
      <c r="IM26" s="138">
        <f t="shared" si="83"/>
        <v>0</v>
      </c>
      <c r="IN26" s="138">
        <f t="shared" si="84"/>
        <v>0</v>
      </c>
      <c r="IO26" s="138">
        <f t="shared" si="85"/>
        <v>0</v>
      </c>
      <c r="IP26" s="138">
        <f t="shared" si="86"/>
        <v>0</v>
      </c>
      <c r="IQ26" s="138">
        <f t="shared" si="87"/>
        <v>0</v>
      </c>
      <c r="IR26" s="138">
        <f t="shared" si="88"/>
        <v>0</v>
      </c>
      <c r="IS26" s="138">
        <f t="shared" si="89"/>
        <v>0</v>
      </c>
      <c r="IT26" s="138">
        <f t="shared" si="90"/>
        <v>0</v>
      </c>
      <c r="IU26" s="138">
        <f t="shared" si="91"/>
        <v>0</v>
      </c>
      <c r="IV26" s="138">
        <f t="shared" si="92"/>
        <v>0</v>
      </c>
      <c r="IW26" s="138">
        <f t="shared" si="93"/>
        <v>0</v>
      </c>
      <c r="IX26" s="138">
        <f t="shared" si="94"/>
        <v>0</v>
      </c>
      <c r="IY26" s="138">
        <f t="shared" si="95"/>
        <v>0</v>
      </c>
      <c r="IZ26" s="138">
        <f t="shared" si="96"/>
        <v>0</v>
      </c>
      <c r="JA26" s="138">
        <f t="shared" si="97"/>
        <v>0</v>
      </c>
      <c r="JB26" s="138">
        <f t="shared" si="98"/>
        <v>0</v>
      </c>
      <c r="JC26" s="138">
        <f t="shared" si="99"/>
        <v>0</v>
      </c>
      <c r="JD26" s="138">
        <f t="shared" si="100"/>
        <v>0</v>
      </c>
      <c r="JE26" s="138">
        <f t="shared" si="101"/>
        <v>0</v>
      </c>
      <c r="JF26" s="138">
        <f t="shared" si="102"/>
        <v>0</v>
      </c>
      <c r="JG26" s="138">
        <f t="shared" si="103"/>
        <v>0</v>
      </c>
      <c r="JH26" s="138">
        <f t="shared" si="104"/>
        <v>0</v>
      </c>
      <c r="JI26" s="138">
        <f t="shared" si="105"/>
        <v>0</v>
      </c>
      <c r="JJ26" s="138">
        <f t="shared" si="106"/>
        <v>0</v>
      </c>
      <c r="JK26" s="138">
        <f t="shared" si="107"/>
        <v>0</v>
      </c>
      <c r="JL26" s="118">
        <f t="shared" si="111"/>
        <v>0</v>
      </c>
      <c r="JO26" s="90">
        <f t="shared" si="112"/>
        <v>4.5</v>
      </c>
      <c r="JP26" s="79">
        <f t="shared" si="108"/>
        <v>0</v>
      </c>
      <c r="JQ26" s="91">
        <f t="shared" si="2"/>
        <v>5.625</v>
      </c>
      <c r="JS26" s="123">
        <f t="shared" si="109"/>
        <v>-9.5</v>
      </c>
      <c r="JU26" s="123">
        <f t="shared" si="113"/>
        <v>-3.875</v>
      </c>
    </row>
    <row r="27" spans="2:281" x14ac:dyDescent="0.15">
      <c r="B27" s="82" t="str">
        <f>'MODU 2025'!B30</f>
        <v>LION Sylvie</v>
      </c>
      <c r="C27" s="82" t="str">
        <f>'MODU 2025'!C30</f>
        <v>Production</v>
      </c>
      <c r="D27" s="82">
        <f>'MODU 2025'!D30</f>
        <v>37</v>
      </c>
      <c r="E27" s="82"/>
      <c r="F27" s="133">
        <f>'MODU 2025'!G30</f>
        <v>33</v>
      </c>
      <c r="G27" s="140">
        <f>'MODU 2025'!H30</f>
        <v>41</v>
      </c>
      <c r="H27" s="140">
        <f>'MODU 2025'!I30</f>
        <v>33</v>
      </c>
      <c r="I27" s="140">
        <f>'MODU 2025'!J30</f>
        <v>41.25</v>
      </c>
      <c r="J27" s="140">
        <f>'MODU 2025'!K30</f>
        <v>40.75</v>
      </c>
      <c r="K27" s="140">
        <f>'MODU 2025'!L30</f>
        <v>41.25</v>
      </c>
      <c r="L27" s="140">
        <f>'MODU 2025'!M30</f>
        <v>40.75</v>
      </c>
      <c r="M27" s="140">
        <f>'MODU 2025'!N30</f>
        <v>41</v>
      </c>
      <c r="N27" s="140">
        <f>'MODU 2025'!O30</f>
        <v>33</v>
      </c>
      <c r="O27" s="140">
        <f>'MODU 2025'!P30</f>
        <v>41</v>
      </c>
      <c r="P27" s="140">
        <f>'MODU 2025'!Q30</f>
        <v>33</v>
      </c>
      <c r="Q27" s="140">
        <f>'MODU 2025'!R30</f>
        <v>41</v>
      </c>
      <c r="R27" s="140">
        <f>'MODU 2025'!S30</f>
        <v>33</v>
      </c>
      <c r="S27" s="140">
        <f>'MODU 2025'!T30</f>
        <v>41</v>
      </c>
      <c r="T27" s="140">
        <f>'MODU 2025'!U30</f>
        <v>33</v>
      </c>
      <c r="U27" s="140">
        <f>'MODU 2025'!V30</f>
        <v>41</v>
      </c>
      <c r="V27" s="140">
        <f>'MODU 2025'!W30</f>
        <v>33</v>
      </c>
      <c r="W27" s="140">
        <f>'MODU 2025'!X30</f>
        <v>41</v>
      </c>
      <c r="X27" s="140">
        <f>'MODU 2025'!Y30</f>
        <v>33</v>
      </c>
      <c r="Y27" s="140">
        <f>'MODU 2025'!Z30</f>
        <v>41</v>
      </c>
      <c r="Z27" s="140">
        <f>'MODU 2025'!AA30</f>
        <v>33</v>
      </c>
      <c r="AA27" s="140">
        <f>'MODU 2025'!AB30</f>
        <v>41</v>
      </c>
      <c r="AB27" s="140">
        <f>'MODU 2025'!AC30</f>
        <v>33</v>
      </c>
      <c r="AC27" s="140">
        <f>'MODU 2025'!AD30</f>
        <v>41</v>
      </c>
      <c r="AD27" s="140">
        <f>'MODU 2025'!AE30</f>
        <v>33</v>
      </c>
      <c r="AE27" s="140">
        <f>'MODU 2025'!AF30</f>
        <v>41</v>
      </c>
      <c r="AF27" s="140">
        <f>'MODU 2025'!AG30</f>
        <v>33</v>
      </c>
      <c r="AG27" s="140">
        <f>'MODU 2025'!AH30</f>
        <v>41</v>
      </c>
      <c r="AH27" s="140">
        <f>'MODU 2025'!AI30</f>
        <v>33</v>
      </c>
      <c r="AI27" s="140">
        <f>'MODU 2025'!AJ30</f>
        <v>41</v>
      </c>
      <c r="AJ27" s="140">
        <f>'MODU 2025'!AK30</f>
        <v>33</v>
      </c>
      <c r="AK27" s="140">
        <f>'MODU 2025'!AL30</f>
        <v>41</v>
      </c>
      <c r="AL27" s="140">
        <f>'MODU 2025'!AM30</f>
        <v>33</v>
      </c>
      <c r="AM27" s="140">
        <f>'MODU 2025'!AN30</f>
        <v>41</v>
      </c>
      <c r="AN27" s="140">
        <f>'MODU 2025'!AO30</f>
        <v>33</v>
      </c>
      <c r="AO27" s="140">
        <f>'MODU 2025'!AP30</f>
        <v>41</v>
      </c>
      <c r="AP27" s="140">
        <f>'MODU 2025'!AQ30</f>
        <v>33</v>
      </c>
      <c r="AQ27" s="140">
        <f>'MODU 2025'!AR30</f>
        <v>41</v>
      </c>
      <c r="AR27" s="140">
        <f>'MODU 2025'!AS30</f>
        <v>33</v>
      </c>
      <c r="AS27" s="140">
        <f>'MODU 2025'!AT30</f>
        <v>41</v>
      </c>
      <c r="AT27" s="140">
        <f>'MODU 2025'!AU30</f>
        <v>33</v>
      </c>
      <c r="AU27" s="140">
        <f>'MODU 2025'!AV30</f>
        <v>41</v>
      </c>
      <c r="AV27" s="140">
        <f>'MODU 2025'!AW30</f>
        <v>33</v>
      </c>
      <c r="AW27" s="140">
        <f>'MODU 2025'!AX30</f>
        <v>41</v>
      </c>
      <c r="AX27" s="140">
        <f>'MODU 2025'!AY30</f>
        <v>33</v>
      </c>
      <c r="AY27" s="140">
        <f>'MODU 2025'!AZ30</f>
        <v>41</v>
      </c>
      <c r="AZ27" s="140">
        <f>'MODU 2025'!BA30</f>
        <v>33</v>
      </c>
      <c r="BA27" s="140">
        <f>'MODU 2025'!BB30</f>
        <v>41</v>
      </c>
      <c r="BB27" s="140">
        <f>'MODU 2025'!BC30</f>
        <v>33</v>
      </c>
      <c r="BC27" s="140">
        <f>'MODU 2025'!BD30</f>
        <v>41</v>
      </c>
      <c r="BD27" s="140">
        <f>'MODU 2025'!BE30</f>
        <v>33</v>
      </c>
      <c r="BE27" s="134">
        <f>'MODU 2025'!BF30</f>
        <v>41</v>
      </c>
      <c r="BF27" s="82"/>
      <c r="BG27" s="107">
        <v>33</v>
      </c>
      <c r="BH27" s="145">
        <v>41</v>
      </c>
      <c r="BI27" s="145">
        <v>33</v>
      </c>
      <c r="BJ27" s="145">
        <v>41</v>
      </c>
      <c r="BK27" s="145">
        <v>33</v>
      </c>
      <c r="BL27" s="145">
        <v>41</v>
      </c>
      <c r="BM27" s="145">
        <v>33</v>
      </c>
      <c r="BN27" s="145">
        <v>41</v>
      </c>
      <c r="BO27" s="145">
        <v>33</v>
      </c>
      <c r="BP27" s="145">
        <v>41</v>
      </c>
      <c r="BQ27" s="145">
        <v>33</v>
      </c>
      <c r="BR27" s="145">
        <v>41</v>
      </c>
      <c r="BS27" s="145">
        <v>33</v>
      </c>
      <c r="BT27" s="145">
        <v>41</v>
      </c>
      <c r="BU27" s="145">
        <v>33</v>
      </c>
      <c r="BV27" s="145">
        <v>41</v>
      </c>
      <c r="BW27" s="145">
        <v>33</v>
      </c>
      <c r="BX27" s="145">
        <v>41</v>
      </c>
      <c r="BY27" s="145">
        <v>33</v>
      </c>
      <c r="BZ27" s="145">
        <v>41</v>
      </c>
      <c r="CA27" s="145">
        <v>33</v>
      </c>
      <c r="CB27" s="145">
        <v>41</v>
      </c>
      <c r="CC27" s="145">
        <v>33</v>
      </c>
      <c r="CD27" s="145">
        <v>41</v>
      </c>
      <c r="CE27" s="145">
        <v>33</v>
      </c>
      <c r="CF27" s="145">
        <v>41</v>
      </c>
      <c r="CG27" s="145">
        <v>33</v>
      </c>
      <c r="CH27" s="145">
        <v>41</v>
      </c>
      <c r="CI27" s="145">
        <v>33</v>
      </c>
      <c r="CJ27" s="145">
        <v>41</v>
      </c>
      <c r="CK27" s="145">
        <v>33</v>
      </c>
      <c r="CL27" s="145">
        <v>41</v>
      </c>
      <c r="CM27" s="145">
        <v>33</v>
      </c>
      <c r="CN27" s="145">
        <v>41</v>
      </c>
      <c r="CO27" s="145">
        <v>33</v>
      </c>
      <c r="CP27" s="145">
        <v>41</v>
      </c>
      <c r="CQ27" s="145">
        <v>33</v>
      </c>
      <c r="CR27" s="145">
        <v>41</v>
      </c>
      <c r="CS27" s="145">
        <v>33</v>
      </c>
      <c r="CT27" s="145">
        <v>41</v>
      </c>
      <c r="CU27" s="145">
        <v>33</v>
      </c>
      <c r="CV27" s="145">
        <v>41</v>
      </c>
      <c r="CW27" s="145">
        <v>33</v>
      </c>
      <c r="CX27" s="145">
        <v>41</v>
      </c>
      <c r="CY27" s="145">
        <v>33</v>
      </c>
      <c r="CZ27" s="145">
        <v>41</v>
      </c>
      <c r="DA27" s="145">
        <v>33</v>
      </c>
      <c r="DB27" s="145">
        <v>41</v>
      </c>
      <c r="DC27" s="145">
        <v>33</v>
      </c>
      <c r="DD27" s="145">
        <v>41</v>
      </c>
      <c r="DE27" s="145">
        <v>33</v>
      </c>
      <c r="DF27" s="108">
        <v>41</v>
      </c>
      <c r="DG27" s="84"/>
      <c r="DH27" s="112">
        <f t="shared" si="3"/>
        <v>0</v>
      </c>
      <c r="DI27" s="138">
        <f t="shared" si="4"/>
        <v>0</v>
      </c>
      <c r="DJ27" s="138">
        <f t="shared" si="5"/>
        <v>0</v>
      </c>
      <c r="DK27" s="138">
        <f t="shared" si="6"/>
        <v>0.25</v>
      </c>
      <c r="DL27" s="138">
        <f t="shared" si="7"/>
        <v>0</v>
      </c>
      <c r="DM27" s="138">
        <f t="shared" si="8"/>
        <v>8</v>
      </c>
      <c r="DN27" s="138">
        <f t="shared" si="9"/>
        <v>0</v>
      </c>
      <c r="DO27" s="138">
        <f t="shared" si="10"/>
        <v>7.75</v>
      </c>
      <c r="DP27" s="138">
        <f t="shared" si="11"/>
        <v>0</v>
      </c>
      <c r="DQ27" s="138">
        <f t="shared" si="12"/>
        <v>0</v>
      </c>
      <c r="DR27" s="138">
        <f t="shared" si="13"/>
        <v>0</v>
      </c>
      <c r="DS27" s="138">
        <f t="shared" si="14"/>
        <v>0</v>
      </c>
      <c r="DT27" s="138">
        <f t="shared" si="15"/>
        <v>0</v>
      </c>
      <c r="DU27" s="138">
        <f t="shared" si="16"/>
        <v>0</v>
      </c>
      <c r="DV27" s="138">
        <f t="shared" si="17"/>
        <v>0</v>
      </c>
      <c r="DW27" s="138">
        <f t="shared" si="18"/>
        <v>0</v>
      </c>
      <c r="DX27" s="138">
        <f t="shared" si="19"/>
        <v>0</v>
      </c>
      <c r="DY27" s="138">
        <f t="shared" si="20"/>
        <v>0</v>
      </c>
      <c r="DZ27" s="138">
        <f t="shared" si="21"/>
        <v>0</v>
      </c>
      <c r="EA27" s="138">
        <f t="shared" si="22"/>
        <v>0</v>
      </c>
      <c r="EB27" s="138">
        <f t="shared" si="23"/>
        <v>0</v>
      </c>
      <c r="EC27" s="138">
        <f t="shared" si="24"/>
        <v>0</v>
      </c>
      <c r="ED27" s="138">
        <f t="shared" si="25"/>
        <v>0</v>
      </c>
      <c r="EE27" s="138">
        <f t="shared" si="26"/>
        <v>0</v>
      </c>
      <c r="EF27" s="138">
        <f t="shared" si="27"/>
        <v>0</v>
      </c>
      <c r="EG27" s="138">
        <f t="shared" si="28"/>
        <v>0</v>
      </c>
      <c r="EH27" s="138">
        <f t="shared" si="29"/>
        <v>0</v>
      </c>
      <c r="EI27" s="138">
        <f t="shared" si="30"/>
        <v>0</v>
      </c>
      <c r="EJ27" s="138">
        <f t="shared" si="31"/>
        <v>0</v>
      </c>
      <c r="EK27" s="138">
        <f t="shared" si="32"/>
        <v>0</v>
      </c>
      <c r="EL27" s="138">
        <f t="shared" si="33"/>
        <v>0</v>
      </c>
      <c r="EM27" s="138">
        <f t="shared" si="34"/>
        <v>0</v>
      </c>
      <c r="EN27" s="138">
        <f t="shared" si="35"/>
        <v>0</v>
      </c>
      <c r="EO27" s="138">
        <f t="shared" si="36"/>
        <v>0</v>
      </c>
      <c r="EP27" s="138">
        <f t="shared" si="37"/>
        <v>0</v>
      </c>
      <c r="EQ27" s="138">
        <f t="shared" si="38"/>
        <v>0</v>
      </c>
      <c r="ER27" s="138">
        <f t="shared" si="39"/>
        <v>0</v>
      </c>
      <c r="ES27" s="138">
        <f t="shared" si="40"/>
        <v>0</v>
      </c>
      <c r="ET27" s="138">
        <f t="shared" si="41"/>
        <v>0</v>
      </c>
      <c r="EU27" s="138">
        <f t="shared" si="42"/>
        <v>0</v>
      </c>
      <c r="EV27" s="138">
        <f t="shared" si="43"/>
        <v>0</v>
      </c>
      <c r="EW27" s="138">
        <f t="shared" si="44"/>
        <v>0</v>
      </c>
      <c r="EX27" s="138">
        <f t="shared" si="45"/>
        <v>0</v>
      </c>
      <c r="EY27" s="138">
        <f t="shared" si="46"/>
        <v>0</v>
      </c>
      <c r="EZ27" s="138">
        <f t="shared" si="47"/>
        <v>0</v>
      </c>
      <c r="FA27" s="138">
        <f t="shared" si="48"/>
        <v>0</v>
      </c>
      <c r="FB27" s="138">
        <f t="shared" si="49"/>
        <v>0</v>
      </c>
      <c r="FC27" s="138">
        <f t="shared" si="50"/>
        <v>0</v>
      </c>
      <c r="FD27" s="138">
        <f t="shared" si="51"/>
        <v>0</v>
      </c>
      <c r="FE27" s="138">
        <f t="shared" si="52"/>
        <v>0</v>
      </c>
      <c r="FF27" s="138">
        <f t="shared" si="53"/>
        <v>0</v>
      </c>
      <c r="FG27" s="113">
        <f t="shared" si="54"/>
        <v>0</v>
      </c>
      <c r="FH27" s="113">
        <f t="shared" si="55"/>
        <v>16</v>
      </c>
      <c r="FI27" s="35"/>
      <c r="FJ27" s="151" cm="1">
        <f t="array" ref="FJ27">IF($C27="Production",
IFERROR(_xlfn.IFS(AND(DH27&gt;0,DH27+SUM(BF27:BG27)&lt;=$FM$3),DH27,AND(DH27&gt;0,DH27+SUM(BF27:BG27)&gt;$FM$3),$FM$3-SUM(BF27:BG27)),0),
IFERROR(_xlfn.IFS(AND(DH27&gt;0,DH27+BG27&lt;=$FK$3),DH27,AND(DH27&gt;0,DH27+BG27&gt;$FK$3),0),0)
)</f>
        <v>0</v>
      </c>
      <c r="FK27" s="152" cm="1">
        <f t="array" ref="FK27">IF($C27="Production",
IFERROR(_xlfn.IFS(AND(DI27&gt;0,DI27+SUM(BG27:BH27)&lt;=$FM$3),DI27,AND(DI27&gt;0,DI27+SUM(BG27:BH27)&gt;$FM$3),$FM$3-SUM(BG27:BH27)),0),
IFERROR(_xlfn.IFS(AND(DI27&gt;0,DI27+BH27&lt;=$FK$3),DI27,AND(DI27&gt;0,DI27+BH27&gt;$FK$3),0),0)
)</f>
        <v>0</v>
      </c>
      <c r="FL27" s="152" cm="1">
        <f t="array" ref="FL27">IF($C27="Production",
IFERROR(_xlfn.IFS(AND(DJ27&gt;0,DJ27+SUM(BH27:BI27)&lt;=$FM$3),DJ27,AND(DJ27&gt;0,DJ27+SUM(BH27:BI27)&gt;$FM$3),$FM$3-SUM(BH27:BI27)),0),
IFERROR(_xlfn.IFS(AND(DJ27&gt;0,DJ27+BI27&lt;=$FK$3),DJ27,AND(DJ27&gt;0,DJ27+BI27&gt;$FK$3),0),0)
)</f>
        <v>0</v>
      </c>
      <c r="FM27" s="152" cm="1">
        <f t="array" ref="FM27">IF($C27="Production",
IFERROR(_xlfn.IFS(AND(DK27&gt;0,DK27+SUM(BI27:BJ27)&lt;=$FM$3),DK27,AND(DK27&gt;0,DK27+SUM(BI27:BJ27)&gt;$FM$3),$FM$3-SUM(BI27:BJ27)),0),
IFERROR(_xlfn.IFS(AND(DK27&gt;0,DK27+BJ27&lt;=$FK$3),DK27,AND(DK27&gt;0,DK27+BJ27&gt;$FK$3),0),0)
)</f>
        <v>0.25</v>
      </c>
      <c r="FN27" s="152" cm="1">
        <f t="array" ref="FN27">IF($C27="Production",
IFERROR(_xlfn.IFS(AND(DL27&gt;0,DL27+SUM(BJ27:BK27)&lt;=$FM$3),DL27,AND(DL27&gt;0,DL27+SUM(BJ27:BK27)&gt;$FM$3),$FM$3-SUM(BJ27:BK27)),0),
IFERROR(_xlfn.IFS(AND(DL27&gt;0,DL27+BK27&lt;=$FK$3),DL27,AND(DL27&gt;0,DL27+BK27&gt;$FK$3),0),0)
)</f>
        <v>0</v>
      </c>
      <c r="FO27" s="152" cm="1">
        <f t="array" ref="FO27">IF($C27="Production",
IFERROR(_xlfn.IFS(AND(DM27&gt;0,DM27+SUM(BK27:BL27)&lt;=$FM$3),DM27,AND(DM27&gt;0,DM27+SUM(BK27:BL27)&gt;$FM$3),$FM$3-SUM(BK27:BL27)),0),
IFERROR(_xlfn.IFS(AND(DM27&gt;0,DM27+BL27&lt;=$FK$3),DM27,AND(DM27&gt;0,DM27+BL27&gt;$FK$3),0),0)
)</f>
        <v>8</v>
      </c>
      <c r="FP27" s="152" cm="1">
        <f t="array" ref="FP27">IF($C27="Production",
IFERROR(_xlfn.IFS(AND(DN27&gt;0,DN27+SUM(BL27:BM27)&lt;=$FM$3),DN27,AND(DN27&gt;0,DN27+SUM(BL27:BM27)&gt;$FM$3),$FM$3-SUM(BL27:BM27)),0),
IFERROR(_xlfn.IFS(AND(DN27&gt;0,DN27+BM27&lt;=$FK$3),DN27,AND(DN27&gt;0,DN27+BM27&gt;$FK$3),0),0)
)</f>
        <v>0</v>
      </c>
      <c r="FQ27" s="152" cm="1">
        <f t="array" ref="FQ27">IF($C27="Production",
IFERROR(_xlfn.IFS(AND(DO27&gt;0,DO27+SUM(BM27:BN27)&lt;=$FM$3),DO27,AND(DO27&gt;0,DO27+SUM(BM27:BN27)&gt;$FM$3),$FM$3-SUM(BM27:BN27)),0),
IFERROR(_xlfn.IFS(AND(DO27&gt;0,DO27+BN27&lt;=$FK$3),DO27,AND(DO27&gt;0,DO27+BN27&gt;$FK$3),0),0)
)</f>
        <v>7.75</v>
      </c>
      <c r="FR27" s="152" cm="1">
        <f t="array" ref="FR27">IF($C27="Production",
IFERROR(_xlfn.IFS(AND(DP27&gt;0,DP27+SUM(BN27:BO27)&lt;=$FM$3),DP27,AND(DP27&gt;0,DP27+SUM(BN27:BO27)&gt;$FM$3),$FM$3-SUM(BN27:BO27)),0),
IFERROR(_xlfn.IFS(AND(DP27&gt;0,DP27+BO27&lt;=$FK$3),DP27,AND(DP27&gt;0,DP27+BO27&gt;$FK$3),0),0)
)</f>
        <v>0</v>
      </c>
      <c r="FS27" s="152" cm="1">
        <f t="array" ref="FS27">IF($C27="Production",
IFERROR(_xlfn.IFS(AND(DQ27&gt;0,DQ27+SUM(BO27:BP27)&lt;=$FM$3),DQ27,AND(DQ27&gt;0,DQ27+SUM(BO27:BP27)&gt;$FM$3),$FM$3-SUM(BO27:BP27)),0),
IFERROR(_xlfn.IFS(AND(DQ27&gt;0,DQ27+BP27&lt;=$FK$3),DQ27,AND(DQ27&gt;0,DQ27+BP27&gt;$FK$3),0),0)
)</f>
        <v>0</v>
      </c>
      <c r="FT27" s="152" cm="1">
        <f t="array" ref="FT27">IF($C27="Production",
IFERROR(_xlfn.IFS(AND(DR27&gt;0,DR27+SUM(BP27:BQ27)&lt;=$FM$3),DR27,AND(DR27&gt;0,DR27+SUM(BP27:BQ27)&gt;$FM$3),$FM$3-SUM(BP27:BQ27)),0),
IFERROR(_xlfn.IFS(AND(DR27&gt;0,DR27+BQ27&lt;=$FK$3),DR27,AND(DR27&gt;0,DR27+BQ27&gt;$FK$3),0),0)
)</f>
        <v>0</v>
      </c>
      <c r="FU27" s="152" cm="1">
        <f t="array" ref="FU27">IF($C27="Production",
IFERROR(_xlfn.IFS(AND(DS27&gt;0,DS27+SUM(BQ27:BR27)&lt;=$FM$3),DS27,AND(DS27&gt;0,DS27+SUM(BQ27:BR27)&gt;$FM$3),$FM$3-SUM(BQ27:BR27)),0),
IFERROR(_xlfn.IFS(AND(DS27&gt;0,DS27+BR27&lt;=$FK$3),DS27,AND(DS27&gt;0,DS27+BR27&gt;$FK$3),0),0)
)</f>
        <v>0</v>
      </c>
      <c r="FV27" s="152" cm="1">
        <f t="array" ref="FV27">IF($C27="Production",
IFERROR(_xlfn.IFS(AND(DT27&gt;0,DT27+SUM(BR27:BS27)&lt;=$FM$3),DT27,AND(DT27&gt;0,DT27+SUM(BR27:BS27)&gt;$FM$3),$FM$3-SUM(BR27:BS27)),0),
IFERROR(_xlfn.IFS(AND(DT27&gt;0,DT27+BS27&lt;=$FK$3),DT27,AND(DT27&gt;0,DT27+BS27&gt;$FK$3),0),0)
)</f>
        <v>0</v>
      </c>
      <c r="FW27" s="152" cm="1">
        <f t="array" ref="FW27">IF($C27="Production",
IFERROR(_xlfn.IFS(AND(DU27&gt;0,DU27+SUM(BS27:BT27)&lt;=$FM$3),DU27,AND(DU27&gt;0,DU27+SUM(BS27:BT27)&gt;$FM$3),$FM$3-SUM(BS27:BT27)),0),
IFERROR(_xlfn.IFS(AND(DU27&gt;0,DU27+BT27&lt;=$FK$3),DU27,AND(DU27&gt;0,DU27+BT27&gt;$FK$3),0),0)
)</f>
        <v>0</v>
      </c>
      <c r="FX27" s="152" cm="1">
        <f t="array" ref="FX27">IF($C27="Production",
IFERROR(_xlfn.IFS(AND(DV27&gt;0,DV27+SUM(BT27:BU27)&lt;=$FM$3),DV27,AND(DV27&gt;0,DV27+SUM(BT27:BU27)&gt;$FM$3),$FM$3-SUM(BT27:BU27)),0),
IFERROR(_xlfn.IFS(AND(DV27&gt;0,DV27+BU27&lt;=$FK$3),DV27,AND(DV27&gt;0,DV27+BU27&gt;$FK$3),0),0)
)</f>
        <v>0</v>
      </c>
      <c r="FY27" s="152" cm="1">
        <f t="array" ref="FY27">IF($C27="Production",
IFERROR(_xlfn.IFS(AND(DW27&gt;0,DW27+SUM(BU27:BV27)&lt;=$FM$3),DW27,AND(DW27&gt;0,DW27+SUM(BU27:BV27)&gt;$FM$3),$FM$3-SUM(BU27:BV27)),0),
IFERROR(_xlfn.IFS(AND(DW27&gt;0,DW27+BV27&lt;=$FK$3),DW27,AND(DW27&gt;0,DW27+BV27&gt;$FK$3),0),0)
)</f>
        <v>0</v>
      </c>
      <c r="FZ27" s="152" cm="1">
        <f t="array" ref="FZ27">IF($C27="Production",
IFERROR(_xlfn.IFS(AND(DX27&gt;0,DX27+SUM(BV27:BW27)&lt;=$FM$3),DX27,AND(DX27&gt;0,DX27+SUM(BV27:BW27)&gt;$FM$3),$FM$3-SUM(BV27:BW27)),0),
IFERROR(_xlfn.IFS(AND(DX27&gt;0,DX27+BW27&lt;=$FK$3),DX27,AND(DX27&gt;0,DX27+BW27&gt;$FK$3),0),0)
)</f>
        <v>0</v>
      </c>
      <c r="GA27" s="152" cm="1">
        <f t="array" ref="GA27">IF($C27="Production",
IFERROR(_xlfn.IFS(AND(DY27&gt;0,DY27+SUM(BW27:BX27)&lt;=$FM$3),DY27,AND(DY27&gt;0,DY27+SUM(BW27:BX27)&gt;$FM$3),$FM$3-SUM(BW27:BX27)),0),
IFERROR(_xlfn.IFS(AND(DY27&gt;0,DY27+BX27&lt;=$FK$3),DY27,AND(DY27&gt;0,DY27+BX27&gt;$FK$3),0),0)
)</f>
        <v>0</v>
      </c>
      <c r="GB27" s="152" cm="1">
        <f t="array" ref="GB27">IF($C27="Production",
IFERROR(_xlfn.IFS(AND(DZ27&gt;0,DZ27+SUM(BX27:BY27)&lt;=$FM$3),DZ27,AND(DZ27&gt;0,DZ27+SUM(BX27:BY27)&gt;$FM$3),$FM$3-SUM(BX27:BY27)),0),
IFERROR(_xlfn.IFS(AND(DZ27&gt;0,DZ27+BY27&lt;=$FK$3),DZ27,AND(DZ27&gt;0,DZ27+BY27&gt;$FK$3),0),0)
)</f>
        <v>0</v>
      </c>
      <c r="GC27" s="152" cm="1">
        <f t="array" ref="GC27">IF($C27="Production",
IFERROR(_xlfn.IFS(AND(EA27&gt;0,EA27+SUM(BY27:BZ27)&lt;=$FM$3),EA27,AND(EA27&gt;0,EA27+SUM(BY27:BZ27)&gt;$FM$3),$FM$3-SUM(BY27:BZ27)),0),
IFERROR(_xlfn.IFS(AND(EA27&gt;0,EA27+BZ27&lt;=$FK$3),EA27,AND(EA27&gt;0,EA27+BZ27&gt;$FK$3),0),0)
)</f>
        <v>0</v>
      </c>
      <c r="GD27" s="152" cm="1">
        <f t="array" ref="GD27">IF($C27="Production",
IFERROR(_xlfn.IFS(AND(EB27&gt;0,EB27+SUM(BZ27:CA27)&lt;=$FM$3),EB27,AND(EB27&gt;0,EB27+SUM(BZ27:CA27)&gt;$FM$3),$FM$3-SUM(BZ27:CA27)),0),
IFERROR(_xlfn.IFS(AND(EB27&gt;0,EB27+CA27&lt;=$FK$3),EB27,AND(EB27&gt;0,EB27+CA27&gt;$FK$3),0),0)
)</f>
        <v>0</v>
      </c>
      <c r="GE27" s="152" cm="1">
        <f t="array" ref="GE27">IF($C27="Production",
IFERROR(_xlfn.IFS(AND(EC27&gt;0,EC27+SUM(CA27:CB27)&lt;=$FM$3),EC27,AND(EC27&gt;0,EC27+SUM(CA27:CB27)&gt;$FM$3),$FM$3-SUM(CA27:CB27)),0),
IFERROR(_xlfn.IFS(AND(EC27&gt;0,EC27+CB27&lt;=$FK$3),EC27,AND(EC27&gt;0,EC27+CB27&gt;$FK$3),0),0)
)</f>
        <v>0</v>
      </c>
      <c r="GF27" s="152" cm="1">
        <f t="array" ref="GF27">IF($C27="Production",
IFERROR(_xlfn.IFS(AND(ED27&gt;0,ED27+SUM(CB27:CC27)&lt;=$FM$3),ED27,AND(ED27&gt;0,ED27+SUM(CB27:CC27)&gt;$FM$3),$FM$3-SUM(CB27:CC27)),0),
IFERROR(_xlfn.IFS(AND(ED27&gt;0,ED27+CC27&lt;=$FK$3),ED27,AND(ED27&gt;0,ED27+CC27&gt;$FK$3),0),0)
)</f>
        <v>0</v>
      </c>
      <c r="GG27" s="152" cm="1">
        <f t="array" ref="GG27">IF($C27="Production",
IFERROR(_xlfn.IFS(AND(EE27&gt;0,EE27+SUM(CC27:CD27)&lt;=$FM$3),EE27,AND(EE27&gt;0,EE27+SUM(CC27:CD27)&gt;$FM$3),$FM$3-SUM(CC27:CD27)),0),
IFERROR(_xlfn.IFS(AND(EE27&gt;0,EE27+CD27&lt;=$FK$3),EE27,AND(EE27&gt;0,EE27+CD27&gt;$FK$3),0),0)
)</f>
        <v>0</v>
      </c>
      <c r="GH27" s="152" cm="1">
        <f t="array" ref="GH27">IF($C27="Production",
IFERROR(_xlfn.IFS(AND(EF27&gt;0,EF27+SUM(CD27:CE27)&lt;=$FM$3),EF27,AND(EF27&gt;0,EF27+SUM(CD27:CE27)&gt;$FM$3),$FM$3-SUM(CD27:CE27)),0),
IFERROR(_xlfn.IFS(AND(EF27&gt;0,EF27+CE27&lt;=$FK$3),EF27,AND(EF27&gt;0,EF27+CE27&gt;$FK$3),0),0)
)</f>
        <v>0</v>
      </c>
      <c r="GI27" s="152" cm="1">
        <f t="array" ref="GI27">IF($C27="Production",
IFERROR(_xlfn.IFS(AND(EG27&gt;0,EG27+SUM(CE27:CF27)&lt;=$FM$3),EG27,AND(EG27&gt;0,EG27+SUM(CE27:CF27)&gt;$FM$3),$FM$3-SUM(CE27:CF27)),0),
IFERROR(_xlfn.IFS(AND(EG27&gt;0,EG27+CF27&lt;=$FK$3),EG27,AND(EG27&gt;0,EG27+CF27&gt;$FK$3),0),0)
)</f>
        <v>0</v>
      </c>
      <c r="GJ27" s="152" cm="1">
        <f t="array" ref="GJ27">IF($C27="Production",
IFERROR(_xlfn.IFS(AND(EH27&gt;0,EH27+SUM(CF27:CG27)&lt;=$FM$3),EH27,AND(EH27&gt;0,EH27+SUM(CF27:CG27)&gt;$FM$3),$FM$3-SUM(CF27:CG27)),0),
IFERROR(_xlfn.IFS(AND(EH27&gt;0,EH27+CG27&lt;=$FK$3),EH27,AND(EH27&gt;0,EH27+CG27&gt;$FK$3),0),0)
)</f>
        <v>0</v>
      </c>
      <c r="GK27" s="152" cm="1">
        <f t="array" ref="GK27">IF($C27="Production",
IFERROR(_xlfn.IFS(AND(EI27&gt;0,EI27+SUM(CG27:CH27)&lt;=$FM$3),EI27,AND(EI27&gt;0,EI27+SUM(CG27:CH27)&gt;$FM$3),$FM$3-SUM(CG27:CH27)),0),
IFERROR(_xlfn.IFS(AND(EI27&gt;0,EI27+CH27&lt;=$FK$3),EI27,AND(EI27&gt;0,EI27+CH27&gt;$FK$3),0),0)
)</f>
        <v>0</v>
      </c>
      <c r="GL27" s="152" cm="1">
        <f t="array" ref="GL27">IF($C27="Production",
IFERROR(_xlfn.IFS(AND(EJ27&gt;0,EJ27+SUM(CH27:CI27)&lt;=$FM$3),EJ27,AND(EJ27&gt;0,EJ27+SUM(CH27:CI27)&gt;$FM$3),$FM$3-SUM(CH27:CI27)),0),
IFERROR(_xlfn.IFS(AND(EJ27&gt;0,EJ27+CI27&lt;=$FK$3),EJ27,AND(EJ27&gt;0,EJ27+CI27&gt;$FK$3),0),0)
)</f>
        <v>0</v>
      </c>
      <c r="GM27" s="152" cm="1">
        <f t="array" ref="GM27">IF($C27="Production",
IFERROR(_xlfn.IFS(AND(EK27&gt;0,EK27+SUM(CI27:CJ27)&lt;=$FM$3),EK27,AND(EK27&gt;0,EK27+SUM(CI27:CJ27)&gt;$FM$3),$FM$3-SUM(CI27:CJ27)),0),
IFERROR(_xlfn.IFS(AND(EK27&gt;0,EK27+CJ27&lt;=$FK$3),EK27,AND(EK27&gt;0,EK27+CJ27&gt;$FK$3),0),0)
)</f>
        <v>0</v>
      </c>
      <c r="GN27" s="152" cm="1">
        <f t="array" ref="GN27">IF($C27="Production",
IFERROR(_xlfn.IFS(AND(EL27&gt;0,EL27+SUM(CJ27:CK27)&lt;=$FM$3),EL27,AND(EL27&gt;0,EL27+SUM(CJ27:CK27)&gt;$FM$3),$FM$3-SUM(CJ27:CK27)),0),
IFERROR(_xlfn.IFS(AND(EL27&gt;0,EL27+CK27&lt;=$FK$3),EL27,AND(EL27&gt;0,EL27+CK27&gt;$FK$3),0),0)
)</f>
        <v>0</v>
      </c>
      <c r="GO27" s="152" cm="1">
        <f t="array" ref="GO27">IF($C27="Production",
IFERROR(_xlfn.IFS(AND(EM27&gt;0,EM27+SUM(CK27:CL27)&lt;=$FM$3),EM27,AND(EM27&gt;0,EM27+SUM(CK27:CL27)&gt;$FM$3),$FM$3-SUM(CK27:CL27)),0),
IFERROR(_xlfn.IFS(AND(EM27&gt;0,EM27+CL27&lt;=$FK$3),EM27,AND(EM27&gt;0,EM27+CL27&gt;$FK$3),0),0)
)</f>
        <v>0</v>
      </c>
      <c r="GP27" s="152" cm="1">
        <f t="array" ref="GP27">IF($C27="Production",
IFERROR(_xlfn.IFS(AND(EN27&gt;0,EN27+SUM(CL27:CM27)&lt;=$FM$3),EN27,AND(EN27&gt;0,EN27+SUM(CL27:CM27)&gt;$FM$3),$FM$3-SUM(CL27:CM27)),0),
IFERROR(_xlfn.IFS(AND(EN27&gt;0,EN27+CM27&lt;=$FK$3),EN27,AND(EN27&gt;0,EN27+CM27&gt;$FK$3),0),0)
)</f>
        <v>0</v>
      </c>
      <c r="GQ27" s="152" cm="1">
        <f t="array" ref="GQ27">IF($C27="Production",
IFERROR(_xlfn.IFS(AND(EO27&gt;0,EO27+SUM(CM27:CN27)&lt;=$FM$3),EO27,AND(EO27&gt;0,EO27+SUM(CM27:CN27)&gt;$FM$3),$FM$3-SUM(CM27:CN27)),0),
IFERROR(_xlfn.IFS(AND(EO27&gt;0,EO27+CN27&lt;=$FK$3),EO27,AND(EO27&gt;0,EO27+CN27&gt;$FK$3),0),0)
)</f>
        <v>0</v>
      </c>
      <c r="GR27" s="152" cm="1">
        <f t="array" ref="GR27">IF($C27="Production",
IFERROR(_xlfn.IFS(AND(EP27&gt;0,EP27+SUM(CN27:CO27)&lt;=$FM$3),EP27,AND(EP27&gt;0,EP27+SUM(CN27:CO27)&gt;$FM$3),$FM$3-SUM(CN27:CO27)),0),
IFERROR(_xlfn.IFS(AND(EP27&gt;0,EP27+CO27&lt;=$FK$3),EP27,AND(EP27&gt;0,EP27+CO27&gt;$FK$3),0),0)
)</f>
        <v>0</v>
      </c>
      <c r="GS27" s="152" cm="1">
        <f t="array" ref="GS27">IF($C27="Production",
IFERROR(_xlfn.IFS(AND(EQ27&gt;0,EQ27+SUM(CO27:CP27)&lt;=$FM$3),EQ27,AND(EQ27&gt;0,EQ27+SUM(CO27:CP27)&gt;$FM$3),$FM$3-SUM(CO27:CP27)),0),
IFERROR(_xlfn.IFS(AND(EQ27&gt;0,EQ27+CP27&lt;=$FK$3),EQ27,AND(EQ27&gt;0,EQ27+CP27&gt;$FK$3),0),0)
)</f>
        <v>0</v>
      </c>
      <c r="GT27" s="152" cm="1">
        <f t="array" ref="GT27">IF($C27="Production",
IFERROR(_xlfn.IFS(AND(ER27&gt;0,ER27+SUM(CP27:CQ27)&lt;=$FM$3),ER27,AND(ER27&gt;0,ER27+SUM(CP27:CQ27)&gt;$FM$3),$FM$3-SUM(CP27:CQ27)),0),
IFERROR(_xlfn.IFS(AND(ER27&gt;0,ER27+CQ27&lt;=$FK$3),ER27,AND(ER27&gt;0,ER27+CQ27&gt;$FK$3),0),0)
)</f>
        <v>0</v>
      </c>
      <c r="GU27" s="152" cm="1">
        <f t="array" ref="GU27">IF($C27="Production",
IFERROR(_xlfn.IFS(AND(ES27&gt;0,ES27+SUM(CQ27:CR27)&lt;=$FM$3),ES27,AND(ES27&gt;0,ES27+SUM(CQ27:CR27)&gt;$FM$3),$FM$3-SUM(CQ27:CR27)),0),
IFERROR(_xlfn.IFS(AND(ES27&gt;0,ES27+CR27&lt;=$FK$3),ES27,AND(ES27&gt;0,ES27+CR27&gt;$FK$3),0),0)
)</f>
        <v>0</v>
      </c>
      <c r="GV27" s="152" cm="1">
        <f t="array" ref="GV27">IF($C27="Production",
IFERROR(_xlfn.IFS(AND(ET27&gt;0,ET27+SUM(CR27:CS27)&lt;=$FM$3),ET27,AND(ET27&gt;0,ET27+SUM(CR27:CS27)&gt;$FM$3),$FM$3-SUM(CR27:CS27)),0),
IFERROR(_xlfn.IFS(AND(ET27&gt;0,ET27+CS27&lt;=$FK$3),ET27,AND(ET27&gt;0,ET27+CS27&gt;$FK$3),0),0)
)</f>
        <v>0</v>
      </c>
      <c r="GW27" s="152" cm="1">
        <f t="array" ref="GW27">IF($C27="Production",
IFERROR(_xlfn.IFS(AND(EU27&gt;0,EU27+SUM(CS27:CT27)&lt;=$FM$3),EU27,AND(EU27&gt;0,EU27+SUM(CS27:CT27)&gt;$FM$3),$FM$3-SUM(CS27:CT27)),0),
IFERROR(_xlfn.IFS(AND(EU27&gt;0,EU27+CT27&lt;=$FK$3),EU27,AND(EU27&gt;0,EU27+CT27&gt;$FK$3),0),0)
)</f>
        <v>0</v>
      </c>
      <c r="GX27" s="152" cm="1">
        <f t="array" ref="GX27">IF($C27="Production",
IFERROR(_xlfn.IFS(AND(EV27&gt;0,EV27+SUM(CT27:CU27)&lt;=$FM$3),EV27,AND(EV27&gt;0,EV27+SUM(CT27:CU27)&gt;$FM$3),$FM$3-SUM(CT27:CU27)),0),
IFERROR(_xlfn.IFS(AND(EV27&gt;0,EV27+CU27&lt;=$FK$3),EV27,AND(EV27&gt;0,EV27+CU27&gt;$FK$3),0),0)
)</f>
        <v>0</v>
      </c>
      <c r="GY27" s="152" cm="1">
        <f t="array" ref="GY27">IF($C27="Production",
IFERROR(_xlfn.IFS(AND(EW27&gt;0,EW27+SUM(CU27:CV27)&lt;=$FM$3),EW27,AND(EW27&gt;0,EW27+SUM(CU27:CV27)&gt;$FM$3),$FM$3-SUM(CU27:CV27)),0),
IFERROR(_xlfn.IFS(AND(EW27&gt;0,EW27+CV27&lt;=$FK$3),EW27,AND(EW27&gt;0,EW27+CV27&gt;$FK$3),0),0)
)</f>
        <v>0</v>
      </c>
      <c r="GZ27" s="152" cm="1">
        <f t="array" ref="GZ27">IF($C27="Production",
IFERROR(_xlfn.IFS(AND(EX27&gt;0,EX27+SUM(CV27:CW27)&lt;=$FM$3),EX27,AND(EX27&gt;0,EX27+SUM(CV27:CW27)&gt;$FM$3),$FM$3-SUM(CV27:CW27)),0),
IFERROR(_xlfn.IFS(AND(EX27&gt;0,EX27+CW27&lt;=$FK$3),EX27,AND(EX27&gt;0,EX27+CW27&gt;$FK$3),0),0)
)</f>
        <v>0</v>
      </c>
      <c r="HA27" s="152" cm="1">
        <f t="array" ref="HA27">IF($C27="Production",
IFERROR(_xlfn.IFS(AND(EY27&gt;0,EY27+SUM(CW27:CX27)&lt;=$FM$3),EY27,AND(EY27&gt;0,EY27+SUM(CW27:CX27)&gt;$FM$3),$FM$3-SUM(CW27:CX27)),0),
IFERROR(_xlfn.IFS(AND(EY27&gt;0,EY27+CX27&lt;=$FK$3),EY27,AND(EY27&gt;0,EY27+CX27&gt;$FK$3),0),0)
)</f>
        <v>0</v>
      </c>
      <c r="HB27" s="152" cm="1">
        <f t="array" ref="HB27">IF($C27="Production",
IFERROR(_xlfn.IFS(AND(EZ27&gt;0,EZ27+SUM(CX27:CY27)&lt;=$FM$3),EZ27,AND(EZ27&gt;0,EZ27+SUM(CX27:CY27)&gt;$FM$3),$FM$3-SUM(CX27:CY27)),0),
IFERROR(_xlfn.IFS(AND(EZ27&gt;0,EZ27+CY27&lt;=$FK$3),EZ27,AND(EZ27&gt;0,EZ27+CY27&gt;$FK$3),0),0)
)</f>
        <v>0</v>
      </c>
      <c r="HC27" s="152" cm="1">
        <f t="array" ref="HC27">IF($C27="Production",
IFERROR(_xlfn.IFS(AND(FA27&gt;0,FA27+SUM(CY27:CZ27)&lt;=$FM$3),FA27,AND(FA27&gt;0,FA27+SUM(CY27:CZ27)&gt;$FM$3),$FM$3-SUM(CY27:CZ27)),0),
IFERROR(_xlfn.IFS(AND(FA27&gt;0,FA27+CZ27&lt;=$FK$3),FA27,AND(FA27&gt;0,FA27+CZ27&gt;$FK$3),0),0)
)</f>
        <v>0</v>
      </c>
      <c r="HD27" s="152" cm="1">
        <f t="array" ref="HD27">IF($C27="Production",
IFERROR(_xlfn.IFS(AND(FB27&gt;0,FB27+SUM(CZ27:DA27)&lt;=$FM$3),FB27,AND(FB27&gt;0,FB27+SUM(CZ27:DA27)&gt;$FM$3),$FM$3-SUM(CZ27:DA27)),0),
IFERROR(_xlfn.IFS(AND(FB27&gt;0,FB27+DA27&lt;=$FK$3),FB27,AND(FB27&gt;0,FB27+DA27&gt;$FK$3),0),0)
)</f>
        <v>0</v>
      </c>
      <c r="HE27" s="152" cm="1">
        <f t="array" ref="HE27">IF($C27="Production",
IFERROR(_xlfn.IFS(AND(FC27&gt;0,FC27+SUM(DA27:DB27)&lt;=$FM$3),FC27,AND(FC27&gt;0,FC27+SUM(DA27:DB27)&gt;$FM$3),$FM$3-SUM(DA27:DB27)),0),
IFERROR(_xlfn.IFS(AND(FC27&gt;0,FC27+DB27&lt;=$FK$3),FC27,AND(FC27&gt;0,FC27+DB27&gt;$FK$3),0),0)
)</f>
        <v>0</v>
      </c>
      <c r="HF27" s="152" cm="1">
        <f t="array" ref="HF27">IF($C27="Production",
IFERROR(_xlfn.IFS(AND(FD27&gt;0,FD27+SUM(DB27:DC27)&lt;=$FM$3),FD27,AND(FD27&gt;0,FD27+SUM(DB27:DC27)&gt;$FM$3),$FM$3-SUM(DB27:DC27)),0),
IFERROR(_xlfn.IFS(AND(FD27&gt;0,FD27+DC27&lt;=$FK$3),FD27,AND(FD27&gt;0,FD27+DC27&gt;$FK$3),0),0)
)</f>
        <v>0</v>
      </c>
      <c r="HG27" s="152" cm="1">
        <f t="array" ref="HG27">IF($C27="Production",
IFERROR(_xlfn.IFS(AND(FE27&gt;0,FE27+SUM(DC27:DD27)&lt;=$FM$3),FE27,AND(FE27&gt;0,FE27+SUM(DC27:DD27)&gt;$FM$3),$FM$3-SUM(DC27:DD27)),0),
IFERROR(_xlfn.IFS(AND(FE27&gt;0,FE27+DD27&lt;=$FK$3),FE27,AND(FE27&gt;0,FE27+DD27&gt;$FK$3),0),0)
)</f>
        <v>0</v>
      </c>
      <c r="HH27" s="152" cm="1">
        <f t="array" ref="HH27">IF($C27="Production",
IFERROR(_xlfn.IFS(AND(FF27&gt;0,FF27+SUM(DD27:DE27)&lt;=$FM$3),FF27,AND(FF27&gt;0,FF27+SUM(DD27:DE27)&gt;$FM$3),$FM$3-SUM(DD27:DE27)),0),
IFERROR(_xlfn.IFS(AND(FF27&gt;0,FF27+DE27&lt;=$FK$3),FF27,AND(FF27&gt;0,FF27+DE27&gt;$FK$3),0),0)
)</f>
        <v>0</v>
      </c>
      <c r="HI27" s="156" cm="1">
        <f t="array" ref="HI27">IF($C27="Production",
IFERROR(_xlfn.IFS(AND(FG27&gt;0,FG27+SUM(DE27:DF27)&lt;=$FM$3),FG27,AND(FG27&gt;0,FG27+SUM(DE27:DF27)&gt;$FM$3),$FM$3-SUM(DE27:DF27)),0),
IFERROR(_xlfn.IFS(AND(FG27&gt;0,FG27+DF27&lt;=$FK$3),FG27,AND(FG27&gt;0,FG27+DF27&gt;$FK$3),0),0)
)</f>
        <v>0</v>
      </c>
      <c r="HJ27" s="113">
        <f t="shared" si="110"/>
        <v>16</v>
      </c>
      <c r="HK27" s="80"/>
      <c r="HL27" s="112">
        <f t="shared" si="56"/>
        <v>0</v>
      </c>
      <c r="HM27" s="138">
        <f t="shared" si="57"/>
        <v>0</v>
      </c>
      <c r="HN27" s="138">
        <f t="shared" si="58"/>
        <v>0</v>
      </c>
      <c r="HO27" s="138">
        <f t="shared" si="59"/>
        <v>0</v>
      </c>
      <c r="HP27" s="138">
        <f t="shared" si="60"/>
        <v>0</v>
      </c>
      <c r="HQ27" s="138">
        <f t="shared" si="61"/>
        <v>0</v>
      </c>
      <c r="HR27" s="138">
        <f t="shared" si="62"/>
        <v>0</v>
      </c>
      <c r="HS27" s="138">
        <f t="shared" si="63"/>
        <v>0</v>
      </c>
      <c r="HT27" s="138">
        <f t="shared" si="64"/>
        <v>0</v>
      </c>
      <c r="HU27" s="138">
        <f t="shared" si="65"/>
        <v>0</v>
      </c>
      <c r="HV27" s="138">
        <f t="shared" si="66"/>
        <v>0</v>
      </c>
      <c r="HW27" s="138">
        <f t="shared" si="67"/>
        <v>0</v>
      </c>
      <c r="HX27" s="138">
        <f t="shared" si="68"/>
        <v>0</v>
      </c>
      <c r="HY27" s="138">
        <f t="shared" si="69"/>
        <v>0</v>
      </c>
      <c r="HZ27" s="138">
        <f t="shared" si="70"/>
        <v>0</v>
      </c>
      <c r="IA27" s="138">
        <f t="shared" si="71"/>
        <v>0</v>
      </c>
      <c r="IB27" s="138">
        <f t="shared" si="72"/>
        <v>0</v>
      </c>
      <c r="IC27" s="138">
        <f t="shared" si="73"/>
        <v>0</v>
      </c>
      <c r="ID27" s="138">
        <f t="shared" si="74"/>
        <v>0</v>
      </c>
      <c r="IE27" s="138">
        <f t="shared" si="75"/>
        <v>0</v>
      </c>
      <c r="IF27" s="138">
        <f t="shared" si="76"/>
        <v>0</v>
      </c>
      <c r="IG27" s="138">
        <f t="shared" si="77"/>
        <v>0</v>
      </c>
      <c r="IH27" s="138">
        <f t="shared" si="78"/>
        <v>0</v>
      </c>
      <c r="II27" s="138">
        <f t="shared" si="79"/>
        <v>0</v>
      </c>
      <c r="IJ27" s="138">
        <f t="shared" si="80"/>
        <v>0</v>
      </c>
      <c r="IK27" s="138">
        <f t="shared" si="81"/>
        <v>0</v>
      </c>
      <c r="IL27" s="138">
        <f t="shared" si="82"/>
        <v>0</v>
      </c>
      <c r="IM27" s="138">
        <f t="shared" si="83"/>
        <v>0</v>
      </c>
      <c r="IN27" s="138">
        <f t="shared" si="84"/>
        <v>0</v>
      </c>
      <c r="IO27" s="138">
        <f t="shared" si="85"/>
        <v>0</v>
      </c>
      <c r="IP27" s="138">
        <f t="shared" si="86"/>
        <v>0</v>
      </c>
      <c r="IQ27" s="138">
        <f t="shared" si="87"/>
        <v>0</v>
      </c>
      <c r="IR27" s="138">
        <f t="shared" si="88"/>
        <v>0</v>
      </c>
      <c r="IS27" s="138">
        <f t="shared" si="89"/>
        <v>0</v>
      </c>
      <c r="IT27" s="138">
        <f t="shared" si="90"/>
        <v>0</v>
      </c>
      <c r="IU27" s="138">
        <f t="shared" si="91"/>
        <v>0</v>
      </c>
      <c r="IV27" s="138">
        <f t="shared" si="92"/>
        <v>0</v>
      </c>
      <c r="IW27" s="138">
        <f t="shared" si="93"/>
        <v>0</v>
      </c>
      <c r="IX27" s="138">
        <f t="shared" si="94"/>
        <v>0</v>
      </c>
      <c r="IY27" s="138">
        <f t="shared" si="95"/>
        <v>0</v>
      </c>
      <c r="IZ27" s="138">
        <f t="shared" si="96"/>
        <v>0</v>
      </c>
      <c r="JA27" s="138">
        <f t="shared" si="97"/>
        <v>0</v>
      </c>
      <c r="JB27" s="138">
        <f t="shared" si="98"/>
        <v>0</v>
      </c>
      <c r="JC27" s="138">
        <f t="shared" si="99"/>
        <v>0</v>
      </c>
      <c r="JD27" s="138">
        <f t="shared" si="100"/>
        <v>0</v>
      </c>
      <c r="JE27" s="138">
        <f t="shared" si="101"/>
        <v>0</v>
      </c>
      <c r="JF27" s="138">
        <f t="shared" si="102"/>
        <v>0</v>
      </c>
      <c r="JG27" s="138">
        <f t="shared" si="103"/>
        <v>0</v>
      </c>
      <c r="JH27" s="138">
        <f t="shared" si="104"/>
        <v>0</v>
      </c>
      <c r="JI27" s="138">
        <f t="shared" si="105"/>
        <v>0</v>
      </c>
      <c r="JJ27" s="138">
        <f t="shared" si="106"/>
        <v>0</v>
      </c>
      <c r="JK27" s="138">
        <f t="shared" si="107"/>
        <v>0</v>
      </c>
      <c r="JL27" s="118">
        <f t="shared" si="111"/>
        <v>0</v>
      </c>
      <c r="JO27" s="90">
        <f t="shared" si="112"/>
        <v>16</v>
      </c>
      <c r="JP27" s="79">
        <f t="shared" si="108"/>
        <v>0</v>
      </c>
      <c r="JQ27" s="91">
        <f t="shared" si="2"/>
        <v>20</v>
      </c>
      <c r="JS27" s="123">
        <f t="shared" si="109"/>
        <v>0</v>
      </c>
      <c r="JU27" s="123">
        <f t="shared" si="113"/>
        <v>20</v>
      </c>
    </row>
    <row r="28" spans="2:281" x14ac:dyDescent="0.15">
      <c r="B28" s="82" t="str">
        <f>'MODU 2025'!B31</f>
        <v>MARZOUGUI Sabri</v>
      </c>
      <c r="C28" s="82" t="str">
        <f>'MODU 2025'!C31</f>
        <v>Production</v>
      </c>
      <c r="D28" s="82">
        <f>'MODU 2025'!D31</f>
        <v>37</v>
      </c>
      <c r="E28" s="82"/>
      <c r="F28" s="133">
        <f>'MODU 2025'!G31</f>
        <v>33</v>
      </c>
      <c r="G28" s="140">
        <f>'MODU 2025'!H31</f>
        <v>41</v>
      </c>
      <c r="H28" s="140">
        <f>'MODU 2025'!I31</f>
        <v>41</v>
      </c>
      <c r="I28" s="140">
        <f>'MODU 2025'!J31</f>
        <v>33</v>
      </c>
      <c r="J28" s="140">
        <f>'MODU 2025'!K31</f>
        <v>41</v>
      </c>
      <c r="K28" s="140">
        <f>'MODU 2025'!L31</f>
        <v>33</v>
      </c>
      <c r="L28" s="140">
        <f>'MODU 2025'!M31</f>
        <v>37</v>
      </c>
      <c r="M28" s="140">
        <f>'MODU 2025'!N31</f>
        <v>37</v>
      </c>
      <c r="N28" s="140">
        <f>'MODU 2025'!O31</f>
        <v>37</v>
      </c>
      <c r="O28" s="140">
        <f>'MODU 2025'!P31</f>
        <v>37</v>
      </c>
      <c r="P28" s="140">
        <f>'MODU 2025'!Q31</f>
        <v>37</v>
      </c>
      <c r="Q28" s="140">
        <f>'MODU 2025'!R31</f>
        <v>37</v>
      </c>
      <c r="R28" s="140">
        <f>'MODU 2025'!S31</f>
        <v>37</v>
      </c>
      <c r="S28" s="140">
        <f>'MODU 2025'!T31</f>
        <v>37</v>
      </c>
      <c r="T28" s="140">
        <f>'MODU 2025'!U31</f>
        <v>37</v>
      </c>
      <c r="U28" s="140">
        <f>'MODU 2025'!V31</f>
        <v>37</v>
      </c>
      <c r="V28" s="140">
        <f>'MODU 2025'!W31</f>
        <v>37</v>
      </c>
      <c r="W28" s="140">
        <f>'MODU 2025'!X31</f>
        <v>37</v>
      </c>
      <c r="X28" s="140">
        <f>'MODU 2025'!Y31</f>
        <v>37</v>
      </c>
      <c r="Y28" s="140">
        <f>'MODU 2025'!Z31</f>
        <v>37</v>
      </c>
      <c r="Z28" s="140">
        <f>'MODU 2025'!AA31</f>
        <v>37</v>
      </c>
      <c r="AA28" s="140">
        <f>'MODU 2025'!AB31</f>
        <v>37</v>
      </c>
      <c r="AB28" s="140">
        <f>'MODU 2025'!AC31</f>
        <v>37</v>
      </c>
      <c r="AC28" s="140">
        <f>'MODU 2025'!AD31</f>
        <v>37</v>
      </c>
      <c r="AD28" s="140">
        <f>'MODU 2025'!AE31</f>
        <v>37</v>
      </c>
      <c r="AE28" s="140">
        <f>'MODU 2025'!AF31</f>
        <v>37</v>
      </c>
      <c r="AF28" s="140">
        <f>'MODU 2025'!AG31</f>
        <v>37</v>
      </c>
      <c r="AG28" s="140">
        <f>'MODU 2025'!AH31</f>
        <v>37</v>
      </c>
      <c r="AH28" s="140">
        <f>'MODU 2025'!AI31</f>
        <v>37</v>
      </c>
      <c r="AI28" s="140">
        <f>'MODU 2025'!AJ31</f>
        <v>37</v>
      </c>
      <c r="AJ28" s="140">
        <f>'MODU 2025'!AK31</f>
        <v>37</v>
      </c>
      <c r="AK28" s="140">
        <f>'MODU 2025'!AL31</f>
        <v>37</v>
      </c>
      <c r="AL28" s="140">
        <f>'MODU 2025'!AM31</f>
        <v>37</v>
      </c>
      <c r="AM28" s="140">
        <f>'MODU 2025'!AN31</f>
        <v>37</v>
      </c>
      <c r="AN28" s="140">
        <f>'MODU 2025'!AO31</f>
        <v>37</v>
      </c>
      <c r="AO28" s="140">
        <f>'MODU 2025'!AP31</f>
        <v>37</v>
      </c>
      <c r="AP28" s="140">
        <f>'MODU 2025'!AQ31</f>
        <v>37</v>
      </c>
      <c r="AQ28" s="140">
        <f>'MODU 2025'!AR31</f>
        <v>37</v>
      </c>
      <c r="AR28" s="140">
        <f>'MODU 2025'!AS31</f>
        <v>37</v>
      </c>
      <c r="AS28" s="140">
        <f>'MODU 2025'!AT31</f>
        <v>37</v>
      </c>
      <c r="AT28" s="140">
        <f>'MODU 2025'!AU31</f>
        <v>37</v>
      </c>
      <c r="AU28" s="140">
        <f>'MODU 2025'!AV31</f>
        <v>37</v>
      </c>
      <c r="AV28" s="140">
        <f>'MODU 2025'!AW31</f>
        <v>37</v>
      </c>
      <c r="AW28" s="140">
        <f>'MODU 2025'!AX31</f>
        <v>37</v>
      </c>
      <c r="AX28" s="140">
        <f>'MODU 2025'!AY31</f>
        <v>37</v>
      </c>
      <c r="AY28" s="140">
        <f>'MODU 2025'!AZ31</f>
        <v>37</v>
      </c>
      <c r="AZ28" s="140">
        <f>'MODU 2025'!BA31</f>
        <v>37</v>
      </c>
      <c r="BA28" s="140">
        <f>'MODU 2025'!BB31</f>
        <v>37</v>
      </c>
      <c r="BB28" s="140">
        <f>'MODU 2025'!BC31</f>
        <v>37</v>
      </c>
      <c r="BC28" s="140">
        <f>'MODU 2025'!BD31</f>
        <v>37</v>
      </c>
      <c r="BD28" s="140">
        <f>'MODU 2025'!BE31</f>
        <v>37</v>
      </c>
      <c r="BE28" s="134">
        <f>'MODU 2025'!BF31</f>
        <v>37</v>
      </c>
      <c r="BF28" s="82"/>
      <c r="BG28" s="107">
        <v>33</v>
      </c>
      <c r="BH28" s="145">
        <v>41</v>
      </c>
      <c r="BI28" s="145">
        <v>33</v>
      </c>
      <c r="BJ28" s="145">
        <v>41</v>
      </c>
      <c r="BK28" s="145">
        <v>33</v>
      </c>
      <c r="BL28" s="145">
        <v>41</v>
      </c>
      <c r="BM28" s="145">
        <v>37</v>
      </c>
      <c r="BN28" s="145">
        <v>37</v>
      </c>
      <c r="BO28" s="145">
        <v>37</v>
      </c>
      <c r="BP28" s="145">
        <v>37</v>
      </c>
      <c r="BQ28" s="145">
        <v>37</v>
      </c>
      <c r="BR28" s="145">
        <v>37</v>
      </c>
      <c r="BS28" s="145">
        <v>37</v>
      </c>
      <c r="BT28" s="145">
        <v>37</v>
      </c>
      <c r="BU28" s="145">
        <v>37</v>
      </c>
      <c r="BV28" s="145">
        <v>37</v>
      </c>
      <c r="BW28" s="145">
        <v>37</v>
      </c>
      <c r="BX28" s="145">
        <v>37</v>
      </c>
      <c r="BY28" s="145">
        <v>37</v>
      </c>
      <c r="BZ28" s="145">
        <v>37</v>
      </c>
      <c r="CA28" s="145">
        <v>37</v>
      </c>
      <c r="CB28" s="145">
        <v>37</v>
      </c>
      <c r="CC28" s="145">
        <v>37</v>
      </c>
      <c r="CD28" s="145">
        <v>37</v>
      </c>
      <c r="CE28" s="145">
        <v>37</v>
      </c>
      <c r="CF28" s="145">
        <v>37</v>
      </c>
      <c r="CG28" s="145">
        <v>37</v>
      </c>
      <c r="CH28" s="145">
        <v>37</v>
      </c>
      <c r="CI28" s="145">
        <v>37</v>
      </c>
      <c r="CJ28" s="145">
        <v>37</v>
      </c>
      <c r="CK28" s="145">
        <v>37</v>
      </c>
      <c r="CL28" s="145">
        <v>37</v>
      </c>
      <c r="CM28" s="145">
        <v>37</v>
      </c>
      <c r="CN28" s="145">
        <v>37</v>
      </c>
      <c r="CO28" s="145">
        <v>37</v>
      </c>
      <c r="CP28" s="145">
        <v>37</v>
      </c>
      <c r="CQ28" s="145">
        <v>37</v>
      </c>
      <c r="CR28" s="145">
        <v>37</v>
      </c>
      <c r="CS28" s="145">
        <v>37</v>
      </c>
      <c r="CT28" s="145">
        <v>37</v>
      </c>
      <c r="CU28" s="145">
        <v>37</v>
      </c>
      <c r="CV28" s="145">
        <v>37</v>
      </c>
      <c r="CW28" s="145">
        <v>37</v>
      </c>
      <c r="CX28" s="145">
        <v>37</v>
      </c>
      <c r="CY28" s="145">
        <v>37</v>
      </c>
      <c r="CZ28" s="145">
        <v>37</v>
      </c>
      <c r="DA28" s="145">
        <v>37</v>
      </c>
      <c r="DB28" s="145">
        <v>37</v>
      </c>
      <c r="DC28" s="145">
        <v>37</v>
      </c>
      <c r="DD28" s="145">
        <v>37</v>
      </c>
      <c r="DE28" s="145">
        <v>37</v>
      </c>
      <c r="DF28" s="108">
        <v>37</v>
      </c>
      <c r="DG28" s="84"/>
      <c r="DH28" s="112">
        <f t="shared" si="3"/>
        <v>0</v>
      </c>
      <c r="DI28" s="138">
        <f t="shared" si="4"/>
        <v>0</v>
      </c>
      <c r="DJ28" s="138">
        <f t="shared" si="5"/>
        <v>0</v>
      </c>
      <c r="DK28" s="138">
        <f t="shared" si="6"/>
        <v>0</v>
      </c>
      <c r="DL28" s="138">
        <f t="shared" si="7"/>
        <v>0</v>
      </c>
      <c r="DM28" s="138">
        <f t="shared" si="8"/>
        <v>0</v>
      </c>
      <c r="DN28" s="138">
        <f t="shared" si="9"/>
        <v>0</v>
      </c>
      <c r="DO28" s="138">
        <f t="shared" si="10"/>
        <v>0</v>
      </c>
      <c r="DP28" s="138">
        <f t="shared" si="11"/>
        <v>0</v>
      </c>
      <c r="DQ28" s="138">
        <f t="shared" si="12"/>
        <v>0</v>
      </c>
      <c r="DR28" s="138">
        <f t="shared" si="13"/>
        <v>0</v>
      </c>
      <c r="DS28" s="138">
        <f t="shared" si="14"/>
        <v>0</v>
      </c>
      <c r="DT28" s="138">
        <f t="shared" si="15"/>
        <v>0</v>
      </c>
      <c r="DU28" s="138">
        <f t="shared" si="16"/>
        <v>0</v>
      </c>
      <c r="DV28" s="138">
        <f t="shared" si="17"/>
        <v>0</v>
      </c>
      <c r="DW28" s="138">
        <f t="shared" si="18"/>
        <v>0</v>
      </c>
      <c r="DX28" s="138">
        <f t="shared" si="19"/>
        <v>0</v>
      </c>
      <c r="DY28" s="138">
        <f t="shared" si="20"/>
        <v>0</v>
      </c>
      <c r="DZ28" s="138">
        <f t="shared" si="21"/>
        <v>0</v>
      </c>
      <c r="EA28" s="138">
        <f t="shared" si="22"/>
        <v>0</v>
      </c>
      <c r="EB28" s="138">
        <f t="shared" si="23"/>
        <v>0</v>
      </c>
      <c r="EC28" s="138">
        <f t="shared" si="24"/>
        <v>0</v>
      </c>
      <c r="ED28" s="138">
        <f t="shared" si="25"/>
        <v>0</v>
      </c>
      <c r="EE28" s="138">
        <f t="shared" si="26"/>
        <v>0</v>
      </c>
      <c r="EF28" s="138">
        <f t="shared" si="27"/>
        <v>0</v>
      </c>
      <c r="EG28" s="138">
        <f t="shared" si="28"/>
        <v>0</v>
      </c>
      <c r="EH28" s="138">
        <f t="shared" si="29"/>
        <v>0</v>
      </c>
      <c r="EI28" s="138">
        <f t="shared" si="30"/>
        <v>0</v>
      </c>
      <c r="EJ28" s="138">
        <f t="shared" si="31"/>
        <v>0</v>
      </c>
      <c r="EK28" s="138">
        <f t="shared" si="32"/>
        <v>0</v>
      </c>
      <c r="EL28" s="138">
        <f t="shared" si="33"/>
        <v>0</v>
      </c>
      <c r="EM28" s="138">
        <f t="shared" si="34"/>
        <v>0</v>
      </c>
      <c r="EN28" s="138">
        <f t="shared" si="35"/>
        <v>0</v>
      </c>
      <c r="EO28" s="138">
        <f t="shared" si="36"/>
        <v>0</v>
      </c>
      <c r="EP28" s="138">
        <f t="shared" si="37"/>
        <v>0</v>
      </c>
      <c r="EQ28" s="138">
        <f t="shared" si="38"/>
        <v>0</v>
      </c>
      <c r="ER28" s="138">
        <f t="shared" si="39"/>
        <v>0</v>
      </c>
      <c r="ES28" s="138">
        <f t="shared" si="40"/>
        <v>0</v>
      </c>
      <c r="ET28" s="138">
        <f t="shared" si="41"/>
        <v>0</v>
      </c>
      <c r="EU28" s="138">
        <f t="shared" si="42"/>
        <v>0</v>
      </c>
      <c r="EV28" s="138">
        <f t="shared" si="43"/>
        <v>0</v>
      </c>
      <c r="EW28" s="138">
        <f t="shared" si="44"/>
        <v>0</v>
      </c>
      <c r="EX28" s="138">
        <f t="shared" si="45"/>
        <v>0</v>
      </c>
      <c r="EY28" s="138">
        <f t="shared" si="46"/>
        <v>0</v>
      </c>
      <c r="EZ28" s="138">
        <f t="shared" si="47"/>
        <v>0</v>
      </c>
      <c r="FA28" s="138">
        <f t="shared" si="48"/>
        <v>0</v>
      </c>
      <c r="FB28" s="138">
        <f t="shared" si="49"/>
        <v>0</v>
      </c>
      <c r="FC28" s="138">
        <f t="shared" si="50"/>
        <v>0</v>
      </c>
      <c r="FD28" s="138">
        <f t="shared" si="51"/>
        <v>0</v>
      </c>
      <c r="FE28" s="138">
        <f t="shared" si="52"/>
        <v>0</v>
      </c>
      <c r="FF28" s="138">
        <f t="shared" si="53"/>
        <v>0</v>
      </c>
      <c r="FG28" s="113">
        <f t="shared" si="54"/>
        <v>0</v>
      </c>
      <c r="FH28" s="113">
        <f t="shared" si="55"/>
        <v>0</v>
      </c>
      <c r="FI28" s="35"/>
      <c r="FJ28" s="151" cm="1">
        <f t="array" ref="FJ28">IF($C28="Production",
IFERROR(_xlfn.IFS(AND(DH28&gt;0,DH28+SUM(BF28:BG28)&lt;=$FM$3),DH28,AND(DH28&gt;0,DH28+SUM(BF28:BG28)&gt;$FM$3),$FM$3-SUM(BF28:BG28)),0),
IFERROR(_xlfn.IFS(AND(DH28&gt;0,DH28+BG28&lt;=$FK$3),DH28,AND(DH28&gt;0,DH28+BG28&gt;$FK$3),0),0)
)</f>
        <v>0</v>
      </c>
      <c r="FK28" s="152" cm="1">
        <f t="array" ref="FK28">IF($C28="Production",
IFERROR(_xlfn.IFS(AND(DI28&gt;0,DI28+SUM(BG28:BH28)&lt;=$FM$3),DI28,AND(DI28&gt;0,DI28+SUM(BG28:BH28)&gt;$FM$3),$FM$3-SUM(BG28:BH28)),0),
IFERROR(_xlfn.IFS(AND(DI28&gt;0,DI28+BH28&lt;=$FK$3),DI28,AND(DI28&gt;0,DI28+BH28&gt;$FK$3),0),0)
)</f>
        <v>0</v>
      </c>
      <c r="FL28" s="152" cm="1">
        <f t="array" ref="FL28">IF($C28="Production",
IFERROR(_xlfn.IFS(AND(DJ28&gt;0,DJ28+SUM(BH28:BI28)&lt;=$FM$3),DJ28,AND(DJ28&gt;0,DJ28+SUM(BH28:BI28)&gt;$FM$3),$FM$3-SUM(BH28:BI28)),0),
IFERROR(_xlfn.IFS(AND(DJ28&gt;0,DJ28+BI28&lt;=$FK$3),DJ28,AND(DJ28&gt;0,DJ28+BI28&gt;$FK$3),0),0)
)</f>
        <v>0</v>
      </c>
      <c r="FM28" s="152" cm="1">
        <f t="array" ref="FM28">IF($C28="Production",
IFERROR(_xlfn.IFS(AND(DK28&gt;0,DK28+SUM(BI28:BJ28)&lt;=$FM$3),DK28,AND(DK28&gt;0,DK28+SUM(BI28:BJ28)&gt;$FM$3),$FM$3-SUM(BI28:BJ28)),0),
IFERROR(_xlfn.IFS(AND(DK28&gt;0,DK28+BJ28&lt;=$FK$3),DK28,AND(DK28&gt;0,DK28+BJ28&gt;$FK$3),0),0)
)</f>
        <v>0</v>
      </c>
      <c r="FN28" s="152" cm="1">
        <f t="array" ref="FN28">IF($C28="Production",
IFERROR(_xlfn.IFS(AND(DL28&gt;0,DL28+SUM(BJ28:BK28)&lt;=$FM$3),DL28,AND(DL28&gt;0,DL28+SUM(BJ28:BK28)&gt;$FM$3),$FM$3-SUM(BJ28:BK28)),0),
IFERROR(_xlfn.IFS(AND(DL28&gt;0,DL28+BK28&lt;=$FK$3),DL28,AND(DL28&gt;0,DL28+BK28&gt;$FK$3),0),0)
)</f>
        <v>0</v>
      </c>
      <c r="FO28" s="152" cm="1">
        <f t="array" ref="FO28">IF($C28="Production",
IFERROR(_xlfn.IFS(AND(DM28&gt;0,DM28+SUM(BK28:BL28)&lt;=$FM$3),DM28,AND(DM28&gt;0,DM28+SUM(BK28:BL28)&gt;$FM$3),$FM$3-SUM(BK28:BL28)),0),
IFERROR(_xlfn.IFS(AND(DM28&gt;0,DM28+BL28&lt;=$FK$3),DM28,AND(DM28&gt;0,DM28+BL28&gt;$FK$3),0),0)
)</f>
        <v>0</v>
      </c>
      <c r="FP28" s="152" cm="1">
        <f t="array" ref="FP28">IF($C28="Production",
IFERROR(_xlfn.IFS(AND(DN28&gt;0,DN28+SUM(BL28:BM28)&lt;=$FM$3),DN28,AND(DN28&gt;0,DN28+SUM(BL28:BM28)&gt;$FM$3),$FM$3-SUM(BL28:BM28)),0),
IFERROR(_xlfn.IFS(AND(DN28&gt;0,DN28+BM28&lt;=$FK$3),DN28,AND(DN28&gt;0,DN28+BM28&gt;$FK$3),0),0)
)</f>
        <v>0</v>
      </c>
      <c r="FQ28" s="152" cm="1">
        <f t="array" ref="FQ28">IF($C28="Production",
IFERROR(_xlfn.IFS(AND(DO28&gt;0,DO28+SUM(BM28:BN28)&lt;=$FM$3),DO28,AND(DO28&gt;0,DO28+SUM(BM28:BN28)&gt;$FM$3),$FM$3-SUM(BM28:BN28)),0),
IFERROR(_xlfn.IFS(AND(DO28&gt;0,DO28+BN28&lt;=$FK$3),DO28,AND(DO28&gt;0,DO28+BN28&gt;$FK$3),0),0)
)</f>
        <v>0</v>
      </c>
      <c r="FR28" s="152" cm="1">
        <f t="array" ref="FR28">IF($C28="Production",
IFERROR(_xlfn.IFS(AND(DP28&gt;0,DP28+SUM(BN28:BO28)&lt;=$FM$3),DP28,AND(DP28&gt;0,DP28+SUM(BN28:BO28)&gt;$FM$3),$FM$3-SUM(BN28:BO28)),0),
IFERROR(_xlfn.IFS(AND(DP28&gt;0,DP28+BO28&lt;=$FK$3),DP28,AND(DP28&gt;0,DP28+BO28&gt;$FK$3),0),0)
)</f>
        <v>0</v>
      </c>
      <c r="FS28" s="152" cm="1">
        <f t="array" ref="FS28">IF($C28="Production",
IFERROR(_xlfn.IFS(AND(DQ28&gt;0,DQ28+SUM(BO28:BP28)&lt;=$FM$3),DQ28,AND(DQ28&gt;0,DQ28+SUM(BO28:BP28)&gt;$FM$3),$FM$3-SUM(BO28:BP28)),0),
IFERROR(_xlfn.IFS(AND(DQ28&gt;0,DQ28+BP28&lt;=$FK$3),DQ28,AND(DQ28&gt;0,DQ28+BP28&gt;$FK$3),0),0)
)</f>
        <v>0</v>
      </c>
      <c r="FT28" s="152" cm="1">
        <f t="array" ref="FT28">IF($C28="Production",
IFERROR(_xlfn.IFS(AND(DR28&gt;0,DR28+SUM(BP28:BQ28)&lt;=$FM$3),DR28,AND(DR28&gt;0,DR28+SUM(BP28:BQ28)&gt;$FM$3),$FM$3-SUM(BP28:BQ28)),0),
IFERROR(_xlfn.IFS(AND(DR28&gt;0,DR28+BQ28&lt;=$FK$3),DR28,AND(DR28&gt;0,DR28+BQ28&gt;$FK$3),0),0)
)</f>
        <v>0</v>
      </c>
      <c r="FU28" s="152" cm="1">
        <f t="array" ref="FU28">IF($C28="Production",
IFERROR(_xlfn.IFS(AND(DS28&gt;0,DS28+SUM(BQ28:BR28)&lt;=$FM$3),DS28,AND(DS28&gt;0,DS28+SUM(BQ28:BR28)&gt;$FM$3),$FM$3-SUM(BQ28:BR28)),0),
IFERROR(_xlfn.IFS(AND(DS28&gt;0,DS28+BR28&lt;=$FK$3),DS28,AND(DS28&gt;0,DS28+BR28&gt;$FK$3),0),0)
)</f>
        <v>0</v>
      </c>
      <c r="FV28" s="152" cm="1">
        <f t="array" ref="FV28">IF($C28="Production",
IFERROR(_xlfn.IFS(AND(DT28&gt;0,DT28+SUM(BR28:BS28)&lt;=$FM$3),DT28,AND(DT28&gt;0,DT28+SUM(BR28:BS28)&gt;$FM$3),$FM$3-SUM(BR28:BS28)),0),
IFERROR(_xlfn.IFS(AND(DT28&gt;0,DT28+BS28&lt;=$FK$3),DT28,AND(DT28&gt;0,DT28+BS28&gt;$FK$3),0),0)
)</f>
        <v>0</v>
      </c>
      <c r="FW28" s="152" cm="1">
        <f t="array" ref="FW28">IF($C28="Production",
IFERROR(_xlfn.IFS(AND(DU28&gt;0,DU28+SUM(BS28:BT28)&lt;=$FM$3),DU28,AND(DU28&gt;0,DU28+SUM(BS28:BT28)&gt;$FM$3),$FM$3-SUM(BS28:BT28)),0),
IFERROR(_xlfn.IFS(AND(DU28&gt;0,DU28+BT28&lt;=$FK$3),DU28,AND(DU28&gt;0,DU28+BT28&gt;$FK$3),0),0)
)</f>
        <v>0</v>
      </c>
      <c r="FX28" s="152" cm="1">
        <f t="array" ref="FX28">IF($C28="Production",
IFERROR(_xlfn.IFS(AND(DV28&gt;0,DV28+SUM(BT28:BU28)&lt;=$FM$3),DV28,AND(DV28&gt;0,DV28+SUM(BT28:BU28)&gt;$FM$3),$FM$3-SUM(BT28:BU28)),0),
IFERROR(_xlfn.IFS(AND(DV28&gt;0,DV28+BU28&lt;=$FK$3),DV28,AND(DV28&gt;0,DV28+BU28&gt;$FK$3),0),0)
)</f>
        <v>0</v>
      </c>
      <c r="FY28" s="152" cm="1">
        <f t="array" ref="FY28">IF($C28="Production",
IFERROR(_xlfn.IFS(AND(DW28&gt;0,DW28+SUM(BU28:BV28)&lt;=$FM$3),DW28,AND(DW28&gt;0,DW28+SUM(BU28:BV28)&gt;$FM$3),$FM$3-SUM(BU28:BV28)),0),
IFERROR(_xlfn.IFS(AND(DW28&gt;0,DW28+BV28&lt;=$FK$3),DW28,AND(DW28&gt;0,DW28+BV28&gt;$FK$3),0),0)
)</f>
        <v>0</v>
      </c>
      <c r="FZ28" s="152" cm="1">
        <f t="array" ref="FZ28">IF($C28="Production",
IFERROR(_xlfn.IFS(AND(DX28&gt;0,DX28+SUM(BV28:BW28)&lt;=$FM$3),DX28,AND(DX28&gt;0,DX28+SUM(BV28:BW28)&gt;$FM$3),$FM$3-SUM(BV28:BW28)),0),
IFERROR(_xlfn.IFS(AND(DX28&gt;0,DX28+BW28&lt;=$FK$3),DX28,AND(DX28&gt;0,DX28+BW28&gt;$FK$3),0),0)
)</f>
        <v>0</v>
      </c>
      <c r="GA28" s="152" cm="1">
        <f t="array" ref="GA28">IF($C28="Production",
IFERROR(_xlfn.IFS(AND(DY28&gt;0,DY28+SUM(BW28:BX28)&lt;=$FM$3),DY28,AND(DY28&gt;0,DY28+SUM(BW28:BX28)&gt;$FM$3),$FM$3-SUM(BW28:BX28)),0),
IFERROR(_xlfn.IFS(AND(DY28&gt;0,DY28+BX28&lt;=$FK$3),DY28,AND(DY28&gt;0,DY28+BX28&gt;$FK$3),0),0)
)</f>
        <v>0</v>
      </c>
      <c r="GB28" s="152" cm="1">
        <f t="array" ref="GB28">IF($C28="Production",
IFERROR(_xlfn.IFS(AND(DZ28&gt;0,DZ28+SUM(BX28:BY28)&lt;=$FM$3),DZ28,AND(DZ28&gt;0,DZ28+SUM(BX28:BY28)&gt;$FM$3),$FM$3-SUM(BX28:BY28)),0),
IFERROR(_xlfn.IFS(AND(DZ28&gt;0,DZ28+BY28&lt;=$FK$3),DZ28,AND(DZ28&gt;0,DZ28+BY28&gt;$FK$3),0),0)
)</f>
        <v>0</v>
      </c>
      <c r="GC28" s="152" cm="1">
        <f t="array" ref="GC28">IF($C28="Production",
IFERROR(_xlfn.IFS(AND(EA28&gt;0,EA28+SUM(BY28:BZ28)&lt;=$FM$3),EA28,AND(EA28&gt;0,EA28+SUM(BY28:BZ28)&gt;$FM$3),$FM$3-SUM(BY28:BZ28)),0),
IFERROR(_xlfn.IFS(AND(EA28&gt;0,EA28+BZ28&lt;=$FK$3),EA28,AND(EA28&gt;0,EA28+BZ28&gt;$FK$3),0),0)
)</f>
        <v>0</v>
      </c>
      <c r="GD28" s="152" cm="1">
        <f t="array" ref="GD28">IF($C28="Production",
IFERROR(_xlfn.IFS(AND(EB28&gt;0,EB28+SUM(BZ28:CA28)&lt;=$FM$3),EB28,AND(EB28&gt;0,EB28+SUM(BZ28:CA28)&gt;$FM$3),$FM$3-SUM(BZ28:CA28)),0),
IFERROR(_xlfn.IFS(AND(EB28&gt;0,EB28+CA28&lt;=$FK$3),EB28,AND(EB28&gt;0,EB28+CA28&gt;$FK$3),0),0)
)</f>
        <v>0</v>
      </c>
      <c r="GE28" s="152" cm="1">
        <f t="array" ref="GE28">IF($C28="Production",
IFERROR(_xlfn.IFS(AND(EC28&gt;0,EC28+SUM(CA28:CB28)&lt;=$FM$3),EC28,AND(EC28&gt;0,EC28+SUM(CA28:CB28)&gt;$FM$3),$FM$3-SUM(CA28:CB28)),0),
IFERROR(_xlfn.IFS(AND(EC28&gt;0,EC28+CB28&lt;=$FK$3),EC28,AND(EC28&gt;0,EC28+CB28&gt;$FK$3),0),0)
)</f>
        <v>0</v>
      </c>
      <c r="GF28" s="152" cm="1">
        <f t="array" ref="GF28">IF($C28="Production",
IFERROR(_xlfn.IFS(AND(ED28&gt;0,ED28+SUM(CB28:CC28)&lt;=$FM$3),ED28,AND(ED28&gt;0,ED28+SUM(CB28:CC28)&gt;$FM$3),$FM$3-SUM(CB28:CC28)),0),
IFERROR(_xlfn.IFS(AND(ED28&gt;0,ED28+CC28&lt;=$FK$3),ED28,AND(ED28&gt;0,ED28+CC28&gt;$FK$3),0),0)
)</f>
        <v>0</v>
      </c>
      <c r="GG28" s="152" cm="1">
        <f t="array" ref="GG28">IF($C28="Production",
IFERROR(_xlfn.IFS(AND(EE28&gt;0,EE28+SUM(CC28:CD28)&lt;=$FM$3),EE28,AND(EE28&gt;0,EE28+SUM(CC28:CD28)&gt;$FM$3),$FM$3-SUM(CC28:CD28)),0),
IFERROR(_xlfn.IFS(AND(EE28&gt;0,EE28+CD28&lt;=$FK$3),EE28,AND(EE28&gt;0,EE28+CD28&gt;$FK$3),0),0)
)</f>
        <v>0</v>
      </c>
      <c r="GH28" s="152" cm="1">
        <f t="array" ref="GH28">IF($C28="Production",
IFERROR(_xlfn.IFS(AND(EF28&gt;0,EF28+SUM(CD28:CE28)&lt;=$FM$3),EF28,AND(EF28&gt;0,EF28+SUM(CD28:CE28)&gt;$FM$3),$FM$3-SUM(CD28:CE28)),0),
IFERROR(_xlfn.IFS(AND(EF28&gt;0,EF28+CE28&lt;=$FK$3),EF28,AND(EF28&gt;0,EF28+CE28&gt;$FK$3),0),0)
)</f>
        <v>0</v>
      </c>
      <c r="GI28" s="152" cm="1">
        <f t="array" ref="GI28">IF($C28="Production",
IFERROR(_xlfn.IFS(AND(EG28&gt;0,EG28+SUM(CE28:CF28)&lt;=$FM$3),EG28,AND(EG28&gt;0,EG28+SUM(CE28:CF28)&gt;$FM$3),$FM$3-SUM(CE28:CF28)),0),
IFERROR(_xlfn.IFS(AND(EG28&gt;0,EG28+CF28&lt;=$FK$3),EG28,AND(EG28&gt;0,EG28+CF28&gt;$FK$3),0),0)
)</f>
        <v>0</v>
      </c>
      <c r="GJ28" s="152" cm="1">
        <f t="array" ref="GJ28">IF($C28="Production",
IFERROR(_xlfn.IFS(AND(EH28&gt;0,EH28+SUM(CF28:CG28)&lt;=$FM$3),EH28,AND(EH28&gt;0,EH28+SUM(CF28:CG28)&gt;$FM$3),$FM$3-SUM(CF28:CG28)),0),
IFERROR(_xlfn.IFS(AND(EH28&gt;0,EH28+CG28&lt;=$FK$3),EH28,AND(EH28&gt;0,EH28+CG28&gt;$FK$3),0),0)
)</f>
        <v>0</v>
      </c>
      <c r="GK28" s="152" cm="1">
        <f t="array" ref="GK28">IF($C28="Production",
IFERROR(_xlfn.IFS(AND(EI28&gt;0,EI28+SUM(CG28:CH28)&lt;=$FM$3),EI28,AND(EI28&gt;0,EI28+SUM(CG28:CH28)&gt;$FM$3),$FM$3-SUM(CG28:CH28)),0),
IFERROR(_xlfn.IFS(AND(EI28&gt;0,EI28+CH28&lt;=$FK$3),EI28,AND(EI28&gt;0,EI28+CH28&gt;$FK$3),0),0)
)</f>
        <v>0</v>
      </c>
      <c r="GL28" s="152" cm="1">
        <f t="array" ref="GL28">IF($C28="Production",
IFERROR(_xlfn.IFS(AND(EJ28&gt;0,EJ28+SUM(CH28:CI28)&lt;=$FM$3),EJ28,AND(EJ28&gt;0,EJ28+SUM(CH28:CI28)&gt;$FM$3),$FM$3-SUM(CH28:CI28)),0),
IFERROR(_xlfn.IFS(AND(EJ28&gt;0,EJ28+CI28&lt;=$FK$3),EJ28,AND(EJ28&gt;0,EJ28+CI28&gt;$FK$3),0),0)
)</f>
        <v>0</v>
      </c>
      <c r="GM28" s="152" cm="1">
        <f t="array" ref="GM28">IF($C28="Production",
IFERROR(_xlfn.IFS(AND(EK28&gt;0,EK28+SUM(CI28:CJ28)&lt;=$FM$3),EK28,AND(EK28&gt;0,EK28+SUM(CI28:CJ28)&gt;$FM$3),$FM$3-SUM(CI28:CJ28)),0),
IFERROR(_xlfn.IFS(AND(EK28&gt;0,EK28+CJ28&lt;=$FK$3),EK28,AND(EK28&gt;0,EK28+CJ28&gt;$FK$3),0),0)
)</f>
        <v>0</v>
      </c>
      <c r="GN28" s="152" cm="1">
        <f t="array" ref="GN28">IF($C28="Production",
IFERROR(_xlfn.IFS(AND(EL28&gt;0,EL28+SUM(CJ28:CK28)&lt;=$FM$3),EL28,AND(EL28&gt;0,EL28+SUM(CJ28:CK28)&gt;$FM$3),$FM$3-SUM(CJ28:CK28)),0),
IFERROR(_xlfn.IFS(AND(EL28&gt;0,EL28+CK28&lt;=$FK$3),EL28,AND(EL28&gt;0,EL28+CK28&gt;$FK$3),0),0)
)</f>
        <v>0</v>
      </c>
      <c r="GO28" s="152" cm="1">
        <f t="array" ref="GO28">IF($C28="Production",
IFERROR(_xlfn.IFS(AND(EM28&gt;0,EM28+SUM(CK28:CL28)&lt;=$FM$3),EM28,AND(EM28&gt;0,EM28+SUM(CK28:CL28)&gt;$FM$3),$FM$3-SUM(CK28:CL28)),0),
IFERROR(_xlfn.IFS(AND(EM28&gt;0,EM28+CL28&lt;=$FK$3),EM28,AND(EM28&gt;0,EM28+CL28&gt;$FK$3),0),0)
)</f>
        <v>0</v>
      </c>
      <c r="GP28" s="152" cm="1">
        <f t="array" ref="GP28">IF($C28="Production",
IFERROR(_xlfn.IFS(AND(EN28&gt;0,EN28+SUM(CL28:CM28)&lt;=$FM$3),EN28,AND(EN28&gt;0,EN28+SUM(CL28:CM28)&gt;$FM$3),$FM$3-SUM(CL28:CM28)),0),
IFERROR(_xlfn.IFS(AND(EN28&gt;0,EN28+CM28&lt;=$FK$3),EN28,AND(EN28&gt;0,EN28+CM28&gt;$FK$3),0),0)
)</f>
        <v>0</v>
      </c>
      <c r="GQ28" s="152" cm="1">
        <f t="array" ref="GQ28">IF($C28="Production",
IFERROR(_xlfn.IFS(AND(EO28&gt;0,EO28+SUM(CM28:CN28)&lt;=$FM$3),EO28,AND(EO28&gt;0,EO28+SUM(CM28:CN28)&gt;$FM$3),$FM$3-SUM(CM28:CN28)),0),
IFERROR(_xlfn.IFS(AND(EO28&gt;0,EO28+CN28&lt;=$FK$3),EO28,AND(EO28&gt;0,EO28+CN28&gt;$FK$3),0),0)
)</f>
        <v>0</v>
      </c>
      <c r="GR28" s="152" cm="1">
        <f t="array" ref="GR28">IF($C28="Production",
IFERROR(_xlfn.IFS(AND(EP28&gt;0,EP28+SUM(CN28:CO28)&lt;=$FM$3),EP28,AND(EP28&gt;0,EP28+SUM(CN28:CO28)&gt;$FM$3),$FM$3-SUM(CN28:CO28)),0),
IFERROR(_xlfn.IFS(AND(EP28&gt;0,EP28+CO28&lt;=$FK$3),EP28,AND(EP28&gt;0,EP28+CO28&gt;$FK$3),0),0)
)</f>
        <v>0</v>
      </c>
      <c r="GS28" s="152" cm="1">
        <f t="array" ref="GS28">IF($C28="Production",
IFERROR(_xlfn.IFS(AND(EQ28&gt;0,EQ28+SUM(CO28:CP28)&lt;=$FM$3),EQ28,AND(EQ28&gt;0,EQ28+SUM(CO28:CP28)&gt;$FM$3),$FM$3-SUM(CO28:CP28)),0),
IFERROR(_xlfn.IFS(AND(EQ28&gt;0,EQ28+CP28&lt;=$FK$3),EQ28,AND(EQ28&gt;0,EQ28+CP28&gt;$FK$3),0),0)
)</f>
        <v>0</v>
      </c>
      <c r="GT28" s="152" cm="1">
        <f t="array" ref="GT28">IF($C28="Production",
IFERROR(_xlfn.IFS(AND(ER28&gt;0,ER28+SUM(CP28:CQ28)&lt;=$FM$3),ER28,AND(ER28&gt;0,ER28+SUM(CP28:CQ28)&gt;$FM$3),$FM$3-SUM(CP28:CQ28)),0),
IFERROR(_xlfn.IFS(AND(ER28&gt;0,ER28+CQ28&lt;=$FK$3),ER28,AND(ER28&gt;0,ER28+CQ28&gt;$FK$3),0),0)
)</f>
        <v>0</v>
      </c>
      <c r="GU28" s="152" cm="1">
        <f t="array" ref="GU28">IF($C28="Production",
IFERROR(_xlfn.IFS(AND(ES28&gt;0,ES28+SUM(CQ28:CR28)&lt;=$FM$3),ES28,AND(ES28&gt;0,ES28+SUM(CQ28:CR28)&gt;$FM$3),$FM$3-SUM(CQ28:CR28)),0),
IFERROR(_xlfn.IFS(AND(ES28&gt;0,ES28+CR28&lt;=$FK$3),ES28,AND(ES28&gt;0,ES28+CR28&gt;$FK$3),0),0)
)</f>
        <v>0</v>
      </c>
      <c r="GV28" s="152" cm="1">
        <f t="array" ref="GV28">IF($C28="Production",
IFERROR(_xlfn.IFS(AND(ET28&gt;0,ET28+SUM(CR28:CS28)&lt;=$FM$3),ET28,AND(ET28&gt;0,ET28+SUM(CR28:CS28)&gt;$FM$3),$FM$3-SUM(CR28:CS28)),0),
IFERROR(_xlfn.IFS(AND(ET28&gt;0,ET28+CS28&lt;=$FK$3),ET28,AND(ET28&gt;0,ET28+CS28&gt;$FK$3),0),0)
)</f>
        <v>0</v>
      </c>
      <c r="GW28" s="152" cm="1">
        <f t="array" ref="GW28">IF($C28="Production",
IFERROR(_xlfn.IFS(AND(EU28&gt;0,EU28+SUM(CS28:CT28)&lt;=$FM$3),EU28,AND(EU28&gt;0,EU28+SUM(CS28:CT28)&gt;$FM$3),$FM$3-SUM(CS28:CT28)),0),
IFERROR(_xlfn.IFS(AND(EU28&gt;0,EU28+CT28&lt;=$FK$3),EU28,AND(EU28&gt;0,EU28+CT28&gt;$FK$3),0),0)
)</f>
        <v>0</v>
      </c>
      <c r="GX28" s="152" cm="1">
        <f t="array" ref="GX28">IF($C28="Production",
IFERROR(_xlfn.IFS(AND(EV28&gt;0,EV28+SUM(CT28:CU28)&lt;=$FM$3),EV28,AND(EV28&gt;0,EV28+SUM(CT28:CU28)&gt;$FM$3),$FM$3-SUM(CT28:CU28)),0),
IFERROR(_xlfn.IFS(AND(EV28&gt;0,EV28+CU28&lt;=$FK$3),EV28,AND(EV28&gt;0,EV28+CU28&gt;$FK$3),0),0)
)</f>
        <v>0</v>
      </c>
      <c r="GY28" s="152" cm="1">
        <f t="array" ref="GY28">IF($C28="Production",
IFERROR(_xlfn.IFS(AND(EW28&gt;0,EW28+SUM(CU28:CV28)&lt;=$FM$3),EW28,AND(EW28&gt;0,EW28+SUM(CU28:CV28)&gt;$FM$3),$FM$3-SUM(CU28:CV28)),0),
IFERROR(_xlfn.IFS(AND(EW28&gt;0,EW28+CV28&lt;=$FK$3),EW28,AND(EW28&gt;0,EW28+CV28&gt;$FK$3),0),0)
)</f>
        <v>0</v>
      </c>
      <c r="GZ28" s="152" cm="1">
        <f t="array" ref="GZ28">IF($C28="Production",
IFERROR(_xlfn.IFS(AND(EX28&gt;0,EX28+SUM(CV28:CW28)&lt;=$FM$3),EX28,AND(EX28&gt;0,EX28+SUM(CV28:CW28)&gt;$FM$3),$FM$3-SUM(CV28:CW28)),0),
IFERROR(_xlfn.IFS(AND(EX28&gt;0,EX28+CW28&lt;=$FK$3),EX28,AND(EX28&gt;0,EX28+CW28&gt;$FK$3),0),0)
)</f>
        <v>0</v>
      </c>
      <c r="HA28" s="152" cm="1">
        <f t="array" ref="HA28">IF($C28="Production",
IFERROR(_xlfn.IFS(AND(EY28&gt;0,EY28+SUM(CW28:CX28)&lt;=$FM$3),EY28,AND(EY28&gt;0,EY28+SUM(CW28:CX28)&gt;$FM$3),$FM$3-SUM(CW28:CX28)),0),
IFERROR(_xlfn.IFS(AND(EY28&gt;0,EY28+CX28&lt;=$FK$3),EY28,AND(EY28&gt;0,EY28+CX28&gt;$FK$3),0),0)
)</f>
        <v>0</v>
      </c>
      <c r="HB28" s="152" cm="1">
        <f t="array" ref="HB28">IF($C28="Production",
IFERROR(_xlfn.IFS(AND(EZ28&gt;0,EZ28+SUM(CX28:CY28)&lt;=$FM$3),EZ28,AND(EZ28&gt;0,EZ28+SUM(CX28:CY28)&gt;$FM$3),$FM$3-SUM(CX28:CY28)),0),
IFERROR(_xlfn.IFS(AND(EZ28&gt;0,EZ28+CY28&lt;=$FK$3),EZ28,AND(EZ28&gt;0,EZ28+CY28&gt;$FK$3),0),0)
)</f>
        <v>0</v>
      </c>
      <c r="HC28" s="152" cm="1">
        <f t="array" ref="HC28">IF($C28="Production",
IFERROR(_xlfn.IFS(AND(FA28&gt;0,FA28+SUM(CY28:CZ28)&lt;=$FM$3),FA28,AND(FA28&gt;0,FA28+SUM(CY28:CZ28)&gt;$FM$3),$FM$3-SUM(CY28:CZ28)),0),
IFERROR(_xlfn.IFS(AND(FA28&gt;0,FA28+CZ28&lt;=$FK$3),FA28,AND(FA28&gt;0,FA28+CZ28&gt;$FK$3),0),0)
)</f>
        <v>0</v>
      </c>
      <c r="HD28" s="152" cm="1">
        <f t="array" ref="HD28">IF($C28="Production",
IFERROR(_xlfn.IFS(AND(FB28&gt;0,FB28+SUM(CZ28:DA28)&lt;=$FM$3),FB28,AND(FB28&gt;0,FB28+SUM(CZ28:DA28)&gt;$FM$3),$FM$3-SUM(CZ28:DA28)),0),
IFERROR(_xlfn.IFS(AND(FB28&gt;0,FB28+DA28&lt;=$FK$3),FB28,AND(FB28&gt;0,FB28+DA28&gt;$FK$3),0),0)
)</f>
        <v>0</v>
      </c>
      <c r="HE28" s="152" cm="1">
        <f t="array" ref="HE28">IF($C28="Production",
IFERROR(_xlfn.IFS(AND(FC28&gt;0,FC28+SUM(DA28:DB28)&lt;=$FM$3),FC28,AND(FC28&gt;0,FC28+SUM(DA28:DB28)&gt;$FM$3),$FM$3-SUM(DA28:DB28)),0),
IFERROR(_xlfn.IFS(AND(FC28&gt;0,FC28+DB28&lt;=$FK$3),FC28,AND(FC28&gt;0,FC28+DB28&gt;$FK$3),0),0)
)</f>
        <v>0</v>
      </c>
      <c r="HF28" s="152" cm="1">
        <f t="array" ref="HF28">IF($C28="Production",
IFERROR(_xlfn.IFS(AND(FD28&gt;0,FD28+SUM(DB28:DC28)&lt;=$FM$3),FD28,AND(FD28&gt;0,FD28+SUM(DB28:DC28)&gt;$FM$3),$FM$3-SUM(DB28:DC28)),0),
IFERROR(_xlfn.IFS(AND(FD28&gt;0,FD28+DC28&lt;=$FK$3),FD28,AND(FD28&gt;0,FD28+DC28&gt;$FK$3),0),0)
)</f>
        <v>0</v>
      </c>
      <c r="HG28" s="152" cm="1">
        <f t="array" ref="HG28">IF($C28="Production",
IFERROR(_xlfn.IFS(AND(FE28&gt;0,FE28+SUM(DC28:DD28)&lt;=$FM$3),FE28,AND(FE28&gt;0,FE28+SUM(DC28:DD28)&gt;$FM$3),$FM$3-SUM(DC28:DD28)),0),
IFERROR(_xlfn.IFS(AND(FE28&gt;0,FE28+DD28&lt;=$FK$3),FE28,AND(FE28&gt;0,FE28+DD28&gt;$FK$3),0),0)
)</f>
        <v>0</v>
      </c>
      <c r="HH28" s="152" cm="1">
        <f t="array" ref="HH28">IF($C28="Production",
IFERROR(_xlfn.IFS(AND(FF28&gt;0,FF28+SUM(DD28:DE28)&lt;=$FM$3),FF28,AND(FF28&gt;0,FF28+SUM(DD28:DE28)&gt;$FM$3),$FM$3-SUM(DD28:DE28)),0),
IFERROR(_xlfn.IFS(AND(FF28&gt;0,FF28+DE28&lt;=$FK$3),FF28,AND(FF28&gt;0,FF28+DE28&gt;$FK$3),0),0)
)</f>
        <v>0</v>
      </c>
      <c r="HI28" s="156" cm="1">
        <f t="array" ref="HI28">IF($C28="Production",
IFERROR(_xlfn.IFS(AND(FG28&gt;0,FG28+SUM(DE28:DF28)&lt;=$FM$3),FG28,AND(FG28&gt;0,FG28+SUM(DE28:DF28)&gt;$FM$3),$FM$3-SUM(DE28:DF28)),0),
IFERROR(_xlfn.IFS(AND(FG28&gt;0,FG28+DF28&lt;=$FK$3),FG28,AND(FG28&gt;0,FG28+DF28&gt;$FK$3),0),0)
)</f>
        <v>0</v>
      </c>
      <c r="HJ28" s="113">
        <f t="shared" si="110"/>
        <v>0</v>
      </c>
      <c r="HK28" s="80"/>
      <c r="HL28" s="112">
        <f t="shared" si="56"/>
        <v>0</v>
      </c>
      <c r="HM28" s="138">
        <f t="shared" si="57"/>
        <v>0</v>
      </c>
      <c r="HN28" s="138">
        <f t="shared" si="58"/>
        <v>0</v>
      </c>
      <c r="HO28" s="138">
        <f t="shared" si="59"/>
        <v>0</v>
      </c>
      <c r="HP28" s="138">
        <f t="shared" si="60"/>
        <v>0</v>
      </c>
      <c r="HQ28" s="138">
        <f t="shared" si="61"/>
        <v>0</v>
      </c>
      <c r="HR28" s="138">
        <f t="shared" si="62"/>
        <v>0</v>
      </c>
      <c r="HS28" s="138">
        <f t="shared" si="63"/>
        <v>0</v>
      </c>
      <c r="HT28" s="138">
        <f t="shared" si="64"/>
        <v>0</v>
      </c>
      <c r="HU28" s="138">
        <f t="shared" si="65"/>
        <v>0</v>
      </c>
      <c r="HV28" s="138">
        <f t="shared" si="66"/>
        <v>0</v>
      </c>
      <c r="HW28" s="138">
        <f t="shared" si="67"/>
        <v>0</v>
      </c>
      <c r="HX28" s="138">
        <f t="shared" si="68"/>
        <v>0</v>
      </c>
      <c r="HY28" s="138">
        <f t="shared" si="69"/>
        <v>0</v>
      </c>
      <c r="HZ28" s="138">
        <f t="shared" si="70"/>
        <v>0</v>
      </c>
      <c r="IA28" s="138">
        <f t="shared" si="71"/>
        <v>0</v>
      </c>
      <c r="IB28" s="138">
        <f t="shared" si="72"/>
        <v>0</v>
      </c>
      <c r="IC28" s="138">
        <f t="shared" si="73"/>
        <v>0</v>
      </c>
      <c r="ID28" s="138">
        <f t="shared" si="74"/>
        <v>0</v>
      </c>
      <c r="IE28" s="138">
        <f t="shared" si="75"/>
        <v>0</v>
      </c>
      <c r="IF28" s="138">
        <f t="shared" si="76"/>
        <v>0</v>
      </c>
      <c r="IG28" s="138">
        <f t="shared" si="77"/>
        <v>0</v>
      </c>
      <c r="IH28" s="138">
        <f t="shared" si="78"/>
        <v>0</v>
      </c>
      <c r="II28" s="138">
        <f t="shared" si="79"/>
        <v>0</v>
      </c>
      <c r="IJ28" s="138">
        <f t="shared" si="80"/>
        <v>0</v>
      </c>
      <c r="IK28" s="138">
        <f t="shared" si="81"/>
        <v>0</v>
      </c>
      <c r="IL28" s="138">
        <f t="shared" si="82"/>
        <v>0</v>
      </c>
      <c r="IM28" s="138">
        <f t="shared" si="83"/>
        <v>0</v>
      </c>
      <c r="IN28" s="138">
        <f t="shared" si="84"/>
        <v>0</v>
      </c>
      <c r="IO28" s="138">
        <f t="shared" si="85"/>
        <v>0</v>
      </c>
      <c r="IP28" s="138">
        <f t="shared" si="86"/>
        <v>0</v>
      </c>
      <c r="IQ28" s="138">
        <f t="shared" si="87"/>
        <v>0</v>
      </c>
      <c r="IR28" s="138">
        <f t="shared" si="88"/>
        <v>0</v>
      </c>
      <c r="IS28" s="138">
        <f t="shared" si="89"/>
        <v>0</v>
      </c>
      <c r="IT28" s="138">
        <f t="shared" si="90"/>
        <v>0</v>
      </c>
      <c r="IU28" s="138">
        <f t="shared" si="91"/>
        <v>0</v>
      </c>
      <c r="IV28" s="138">
        <f t="shared" si="92"/>
        <v>0</v>
      </c>
      <c r="IW28" s="138">
        <f t="shared" si="93"/>
        <v>0</v>
      </c>
      <c r="IX28" s="138">
        <f t="shared" si="94"/>
        <v>0</v>
      </c>
      <c r="IY28" s="138">
        <f t="shared" si="95"/>
        <v>0</v>
      </c>
      <c r="IZ28" s="138">
        <f t="shared" si="96"/>
        <v>0</v>
      </c>
      <c r="JA28" s="138">
        <f t="shared" si="97"/>
        <v>0</v>
      </c>
      <c r="JB28" s="138">
        <f t="shared" si="98"/>
        <v>0</v>
      </c>
      <c r="JC28" s="138">
        <f t="shared" si="99"/>
        <v>0</v>
      </c>
      <c r="JD28" s="138">
        <f t="shared" si="100"/>
        <v>0</v>
      </c>
      <c r="JE28" s="138">
        <f t="shared" si="101"/>
        <v>0</v>
      </c>
      <c r="JF28" s="138">
        <f t="shared" si="102"/>
        <v>0</v>
      </c>
      <c r="JG28" s="138">
        <f t="shared" si="103"/>
        <v>0</v>
      </c>
      <c r="JH28" s="138">
        <f t="shared" si="104"/>
        <v>0</v>
      </c>
      <c r="JI28" s="138">
        <f t="shared" si="105"/>
        <v>0</v>
      </c>
      <c r="JJ28" s="138">
        <f t="shared" si="106"/>
        <v>0</v>
      </c>
      <c r="JK28" s="138">
        <f t="shared" si="107"/>
        <v>0</v>
      </c>
      <c r="JL28" s="118">
        <f t="shared" si="111"/>
        <v>0</v>
      </c>
      <c r="JO28" s="90">
        <f t="shared" si="112"/>
        <v>0</v>
      </c>
      <c r="JP28" s="79">
        <f t="shared" si="108"/>
        <v>0</v>
      </c>
      <c r="JQ28" s="91">
        <f t="shared" si="2"/>
        <v>0</v>
      </c>
      <c r="JS28" s="123">
        <f t="shared" si="109"/>
        <v>0</v>
      </c>
      <c r="JU28" s="123">
        <f t="shared" si="113"/>
        <v>0</v>
      </c>
    </row>
    <row r="29" spans="2:281" x14ac:dyDescent="0.15">
      <c r="B29" s="82" t="str">
        <f>'MODU 2025'!B32</f>
        <v>MERLE Benjamin</v>
      </c>
      <c r="C29" s="82" t="str">
        <f>'MODU 2025'!C32</f>
        <v>Production</v>
      </c>
      <c r="D29" s="82">
        <f>'MODU 2025'!D32</f>
        <v>37</v>
      </c>
      <c r="E29" s="82"/>
      <c r="F29" s="133">
        <f>'MODU 2025'!G32</f>
        <v>41</v>
      </c>
      <c r="G29" s="140">
        <f>'MODU 2025'!H32</f>
        <v>33</v>
      </c>
      <c r="H29" s="140">
        <f>'MODU 2025'!I32</f>
        <v>41</v>
      </c>
      <c r="I29" s="140">
        <f>'MODU 2025'!J32</f>
        <v>33</v>
      </c>
      <c r="J29" s="140">
        <f>'MODU 2025'!K32</f>
        <v>41</v>
      </c>
      <c r="K29" s="140">
        <f>'MODU 2025'!L32</f>
        <v>33</v>
      </c>
      <c r="L29" s="140">
        <f>'MODU 2025'!M32</f>
        <v>41</v>
      </c>
      <c r="M29" s="140">
        <f>'MODU 2025'!N32</f>
        <v>33</v>
      </c>
      <c r="N29" s="140">
        <f>'MODU 2025'!O32</f>
        <v>33</v>
      </c>
      <c r="O29" s="140">
        <f>'MODU 2025'!P32</f>
        <v>37</v>
      </c>
      <c r="P29" s="140">
        <f>'MODU 2025'!Q32</f>
        <v>37</v>
      </c>
      <c r="Q29" s="140">
        <f>'MODU 2025'!R32</f>
        <v>37</v>
      </c>
      <c r="R29" s="140">
        <f>'MODU 2025'!S32</f>
        <v>37</v>
      </c>
      <c r="S29" s="140">
        <f>'MODU 2025'!T32</f>
        <v>37</v>
      </c>
      <c r="T29" s="140">
        <f>'MODU 2025'!U32</f>
        <v>37</v>
      </c>
      <c r="U29" s="140">
        <f>'MODU 2025'!V32</f>
        <v>37</v>
      </c>
      <c r="V29" s="140">
        <f>'MODU 2025'!W32</f>
        <v>37</v>
      </c>
      <c r="W29" s="140">
        <f>'MODU 2025'!X32</f>
        <v>37</v>
      </c>
      <c r="X29" s="140">
        <f>'MODU 2025'!Y32</f>
        <v>37</v>
      </c>
      <c r="Y29" s="140">
        <f>'MODU 2025'!Z32</f>
        <v>37</v>
      </c>
      <c r="Z29" s="140">
        <f>'MODU 2025'!AA32</f>
        <v>37</v>
      </c>
      <c r="AA29" s="140">
        <f>'MODU 2025'!AB32</f>
        <v>37</v>
      </c>
      <c r="AB29" s="140">
        <f>'MODU 2025'!AC32</f>
        <v>37</v>
      </c>
      <c r="AC29" s="140">
        <f>'MODU 2025'!AD32</f>
        <v>37</v>
      </c>
      <c r="AD29" s="140">
        <f>'MODU 2025'!AE32</f>
        <v>37</v>
      </c>
      <c r="AE29" s="140">
        <f>'MODU 2025'!AF32</f>
        <v>37</v>
      </c>
      <c r="AF29" s="140">
        <f>'MODU 2025'!AG32</f>
        <v>37</v>
      </c>
      <c r="AG29" s="140">
        <f>'MODU 2025'!AH32</f>
        <v>37</v>
      </c>
      <c r="AH29" s="140">
        <f>'MODU 2025'!AI32</f>
        <v>37</v>
      </c>
      <c r="AI29" s="140">
        <f>'MODU 2025'!AJ32</f>
        <v>37</v>
      </c>
      <c r="AJ29" s="140">
        <f>'MODU 2025'!AK32</f>
        <v>37</v>
      </c>
      <c r="AK29" s="140">
        <f>'MODU 2025'!AL32</f>
        <v>37</v>
      </c>
      <c r="AL29" s="140">
        <f>'MODU 2025'!AM32</f>
        <v>37</v>
      </c>
      <c r="AM29" s="140">
        <f>'MODU 2025'!AN32</f>
        <v>37</v>
      </c>
      <c r="AN29" s="140">
        <f>'MODU 2025'!AO32</f>
        <v>37</v>
      </c>
      <c r="AO29" s="140">
        <f>'MODU 2025'!AP32</f>
        <v>37</v>
      </c>
      <c r="AP29" s="140">
        <f>'MODU 2025'!AQ32</f>
        <v>37</v>
      </c>
      <c r="AQ29" s="140">
        <f>'MODU 2025'!AR32</f>
        <v>37</v>
      </c>
      <c r="AR29" s="140">
        <f>'MODU 2025'!AS32</f>
        <v>37</v>
      </c>
      <c r="AS29" s="140">
        <f>'MODU 2025'!AT32</f>
        <v>37</v>
      </c>
      <c r="AT29" s="140">
        <f>'MODU 2025'!AU32</f>
        <v>37</v>
      </c>
      <c r="AU29" s="140">
        <f>'MODU 2025'!AV32</f>
        <v>37</v>
      </c>
      <c r="AV29" s="140">
        <f>'MODU 2025'!AW32</f>
        <v>37</v>
      </c>
      <c r="AW29" s="140">
        <f>'MODU 2025'!AX32</f>
        <v>37</v>
      </c>
      <c r="AX29" s="140">
        <f>'MODU 2025'!AY32</f>
        <v>37</v>
      </c>
      <c r="AY29" s="140">
        <f>'MODU 2025'!AZ32</f>
        <v>37</v>
      </c>
      <c r="AZ29" s="140">
        <f>'MODU 2025'!BA32</f>
        <v>37</v>
      </c>
      <c r="BA29" s="140">
        <f>'MODU 2025'!BB32</f>
        <v>37</v>
      </c>
      <c r="BB29" s="140">
        <f>'MODU 2025'!BC32</f>
        <v>37</v>
      </c>
      <c r="BC29" s="140">
        <f>'MODU 2025'!BD32</f>
        <v>37</v>
      </c>
      <c r="BD29" s="140">
        <f>'MODU 2025'!BE32</f>
        <v>37</v>
      </c>
      <c r="BE29" s="134">
        <f>'MODU 2025'!BF32</f>
        <v>37</v>
      </c>
      <c r="BF29" s="82"/>
      <c r="BG29" s="107">
        <v>41</v>
      </c>
      <c r="BH29" s="145">
        <v>33</v>
      </c>
      <c r="BI29" s="145">
        <v>41</v>
      </c>
      <c r="BJ29" s="145">
        <v>33</v>
      </c>
      <c r="BK29" s="145">
        <v>41</v>
      </c>
      <c r="BL29" s="145">
        <v>33</v>
      </c>
      <c r="BM29" s="145">
        <v>41</v>
      </c>
      <c r="BN29" s="145">
        <v>33</v>
      </c>
      <c r="BO29" s="145">
        <v>41</v>
      </c>
      <c r="BP29" s="145">
        <v>37</v>
      </c>
      <c r="BQ29" s="145">
        <v>37</v>
      </c>
      <c r="BR29" s="145">
        <v>37</v>
      </c>
      <c r="BS29" s="145">
        <v>37</v>
      </c>
      <c r="BT29" s="145">
        <v>37</v>
      </c>
      <c r="BU29" s="145">
        <v>37</v>
      </c>
      <c r="BV29" s="145">
        <v>37</v>
      </c>
      <c r="BW29" s="145">
        <v>37</v>
      </c>
      <c r="BX29" s="145">
        <v>37</v>
      </c>
      <c r="BY29" s="145">
        <v>37</v>
      </c>
      <c r="BZ29" s="145">
        <v>37</v>
      </c>
      <c r="CA29" s="145">
        <v>37</v>
      </c>
      <c r="CB29" s="145">
        <v>37</v>
      </c>
      <c r="CC29" s="145">
        <v>37</v>
      </c>
      <c r="CD29" s="145">
        <v>37</v>
      </c>
      <c r="CE29" s="145">
        <v>37</v>
      </c>
      <c r="CF29" s="145">
        <v>37</v>
      </c>
      <c r="CG29" s="145">
        <v>37</v>
      </c>
      <c r="CH29" s="145">
        <v>37</v>
      </c>
      <c r="CI29" s="145">
        <v>37</v>
      </c>
      <c r="CJ29" s="145">
        <v>37</v>
      </c>
      <c r="CK29" s="145">
        <v>37</v>
      </c>
      <c r="CL29" s="145">
        <v>37</v>
      </c>
      <c r="CM29" s="145">
        <v>37</v>
      </c>
      <c r="CN29" s="145">
        <v>37</v>
      </c>
      <c r="CO29" s="145">
        <v>37</v>
      </c>
      <c r="CP29" s="145">
        <v>37</v>
      </c>
      <c r="CQ29" s="145">
        <v>37</v>
      </c>
      <c r="CR29" s="145">
        <v>37</v>
      </c>
      <c r="CS29" s="145">
        <v>37</v>
      </c>
      <c r="CT29" s="145">
        <v>37</v>
      </c>
      <c r="CU29" s="145">
        <v>37</v>
      </c>
      <c r="CV29" s="145">
        <v>37</v>
      </c>
      <c r="CW29" s="145">
        <v>37</v>
      </c>
      <c r="CX29" s="145">
        <v>37</v>
      </c>
      <c r="CY29" s="145">
        <v>37</v>
      </c>
      <c r="CZ29" s="145">
        <v>37</v>
      </c>
      <c r="DA29" s="145">
        <v>37</v>
      </c>
      <c r="DB29" s="145">
        <v>37</v>
      </c>
      <c r="DC29" s="145">
        <v>37</v>
      </c>
      <c r="DD29" s="145">
        <v>37</v>
      </c>
      <c r="DE29" s="145">
        <v>37</v>
      </c>
      <c r="DF29" s="108">
        <v>37</v>
      </c>
      <c r="DG29" s="84"/>
      <c r="DH29" s="112">
        <f t="shared" si="3"/>
        <v>0</v>
      </c>
      <c r="DI29" s="138">
        <f t="shared" si="4"/>
        <v>0</v>
      </c>
      <c r="DJ29" s="138">
        <f t="shared" si="5"/>
        <v>0</v>
      </c>
      <c r="DK29" s="138">
        <f t="shared" si="6"/>
        <v>0</v>
      </c>
      <c r="DL29" s="138">
        <f t="shared" si="7"/>
        <v>0</v>
      </c>
      <c r="DM29" s="138">
        <f t="shared" si="8"/>
        <v>0</v>
      </c>
      <c r="DN29" s="138">
        <f t="shared" si="9"/>
        <v>0</v>
      </c>
      <c r="DO29" s="138">
        <f t="shared" si="10"/>
        <v>0</v>
      </c>
      <c r="DP29" s="138">
        <f t="shared" si="11"/>
        <v>0</v>
      </c>
      <c r="DQ29" s="138">
        <f t="shared" si="12"/>
        <v>-8</v>
      </c>
      <c r="DR29" s="138">
        <f t="shared" si="13"/>
        <v>0</v>
      </c>
      <c r="DS29" s="138">
        <f t="shared" si="14"/>
        <v>0</v>
      </c>
      <c r="DT29" s="138">
        <f t="shared" si="15"/>
        <v>0</v>
      </c>
      <c r="DU29" s="138">
        <f t="shared" si="16"/>
        <v>0</v>
      </c>
      <c r="DV29" s="138">
        <f t="shared" si="17"/>
        <v>0</v>
      </c>
      <c r="DW29" s="138">
        <f t="shared" si="18"/>
        <v>0</v>
      </c>
      <c r="DX29" s="138">
        <f t="shared" si="19"/>
        <v>0</v>
      </c>
      <c r="DY29" s="138">
        <f t="shared" si="20"/>
        <v>0</v>
      </c>
      <c r="DZ29" s="138">
        <f t="shared" si="21"/>
        <v>0</v>
      </c>
      <c r="EA29" s="138">
        <f t="shared" si="22"/>
        <v>0</v>
      </c>
      <c r="EB29" s="138">
        <f t="shared" si="23"/>
        <v>0</v>
      </c>
      <c r="EC29" s="138">
        <f t="shared" si="24"/>
        <v>0</v>
      </c>
      <c r="ED29" s="138">
        <f t="shared" si="25"/>
        <v>0</v>
      </c>
      <c r="EE29" s="138">
        <f t="shared" si="26"/>
        <v>0</v>
      </c>
      <c r="EF29" s="138">
        <f t="shared" si="27"/>
        <v>0</v>
      </c>
      <c r="EG29" s="138">
        <f t="shared" si="28"/>
        <v>0</v>
      </c>
      <c r="EH29" s="138">
        <f t="shared" si="29"/>
        <v>0</v>
      </c>
      <c r="EI29" s="138">
        <f t="shared" si="30"/>
        <v>0</v>
      </c>
      <c r="EJ29" s="138">
        <f t="shared" si="31"/>
        <v>0</v>
      </c>
      <c r="EK29" s="138">
        <f t="shared" si="32"/>
        <v>0</v>
      </c>
      <c r="EL29" s="138">
        <f t="shared" si="33"/>
        <v>0</v>
      </c>
      <c r="EM29" s="138">
        <f t="shared" si="34"/>
        <v>0</v>
      </c>
      <c r="EN29" s="138">
        <f t="shared" si="35"/>
        <v>0</v>
      </c>
      <c r="EO29" s="138">
        <f t="shared" si="36"/>
        <v>0</v>
      </c>
      <c r="EP29" s="138">
        <f t="shared" si="37"/>
        <v>0</v>
      </c>
      <c r="EQ29" s="138">
        <f t="shared" si="38"/>
        <v>0</v>
      </c>
      <c r="ER29" s="138">
        <f t="shared" si="39"/>
        <v>0</v>
      </c>
      <c r="ES29" s="138">
        <f t="shared" si="40"/>
        <v>0</v>
      </c>
      <c r="ET29" s="138">
        <f t="shared" si="41"/>
        <v>0</v>
      </c>
      <c r="EU29" s="138">
        <f t="shared" si="42"/>
        <v>0</v>
      </c>
      <c r="EV29" s="138">
        <f t="shared" si="43"/>
        <v>0</v>
      </c>
      <c r="EW29" s="138">
        <f t="shared" si="44"/>
        <v>0</v>
      </c>
      <c r="EX29" s="138">
        <f t="shared" si="45"/>
        <v>0</v>
      </c>
      <c r="EY29" s="138">
        <f t="shared" si="46"/>
        <v>0</v>
      </c>
      <c r="EZ29" s="138">
        <f t="shared" si="47"/>
        <v>0</v>
      </c>
      <c r="FA29" s="138">
        <f t="shared" si="48"/>
        <v>0</v>
      </c>
      <c r="FB29" s="138">
        <f t="shared" si="49"/>
        <v>0</v>
      </c>
      <c r="FC29" s="138">
        <f t="shared" si="50"/>
        <v>0</v>
      </c>
      <c r="FD29" s="138">
        <f t="shared" si="51"/>
        <v>0</v>
      </c>
      <c r="FE29" s="138">
        <f t="shared" si="52"/>
        <v>0</v>
      </c>
      <c r="FF29" s="138">
        <f t="shared" si="53"/>
        <v>0</v>
      </c>
      <c r="FG29" s="113">
        <f t="shared" si="54"/>
        <v>0</v>
      </c>
      <c r="FH29" s="113">
        <f t="shared" si="55"/>
        <v>-8</v>
      </c>
      <c r="FI29" s="35"/>
      <c r="FJ29" s="151" cm="1">
        <f t="array" ref="FJ29">IF($C29="Production",
IFERROR(_xlfn.IFS(AND(DH29&gt;0,DH29+SUM(BF29:BG29)&lt;=$FM$3),DH29,AND(DH29&gt;0,DH29+SUM(BF29:BG29)&gt;$FM$3),$FM$3-SUM(BF29:BG29)),0),
IFERROR(_xlfn.IFS(AND(DH29&gt;0,DH29+BG29&lt;=$FK$3),DH29,AND(DH29&gt;0,DH29+BG29&gt;$FK$3),0),0)
)</f>
        <v>0</v>
      </c>
      <c r="FK29" s="152" cm="1">
        <f t="array" ref="FK29">IF($C29="Production",
IFERROR(_xlfn.IFS(AND(DI29&gt;0,DI29+SUM(BG29:BH29)&lt;=$FM$3),DI29,AND(DI29&gt;0,DI29+SUM(BG29:BH29)&gt;$FM$3),$FM$3-SUM(BG29:BH29)),0),
IFERROR(_xlfn.IFS(AND(DI29&gt;0,DI29+BH29&lt;=$FK$3),DI29,AND(DI29&gt;0,DI29+BH29&gt;$FK$3),0),0)
)</f>
        <v>0</v>
      </c>
      <c r="FL29" s="152" cm="1">
        <f t="array" ref="FL29">IF($C29="Production",
IFERROR(_xlfn.IFS(AND(DJ29&gt;0,DJ29+SUM(BH29:BI29)&lt;=$FM$3),DJ29,AND(DJ29&gt;0,DJ29+SUM(BH29:BI29)&gt;$FM$3),$FM$3-SUM(BH29:BI29)),0),
IFERROR(_xlfn.IFS(AND(DJ29&gt;0,DJ29+BI29&lt;=$FK$3),DJ29,AND(DJ29&gt;0,DJ29+BI29&gt;$FK$3),0),0)
)</f>
        <v>0</v>
      </c>
      <c r="FM29" s="152" cm="1">
        <f t="array" ref="FM29">IF($C29="Production",
IFERROR(_xlfn.IFS(AND(DK29&gt;0,DK29+SUM(BI29:BJ29)&lt;=$FM$3),DK29,AND(DK29&gt;0,DK29+SUM(BI29:BJ29)&gt;$FM$3),$FM$3-SUM(BI29:BJ29)),0),
IFERROR(_xlfn.IFS(AND(DK29&gt;0,DK29+BJ29&lt;=$FK$3),DK29,AND(DK29&gt;0,DK29+BJ29&gt;$FK$3),0),0)
)</f>
        <v>0</v>
      </c>
      <c r="FN29" s="152" cm="1">
        <f t="array" ref="FN29">IF($C29="Production",
IFERROR(_xlfn.IFS(AND(DL29&gt;0,DL29+SUM(BJ29:BK29)&lt;=$FM$3),DL29,AND(DL29&gt;0,DL29+SUM(BJ29:BK29)&gt;$FM$3),$FM$3-SUM(BJ29:BK29)),0),
IFERROR(_xlfn.IFS(AND(DL29&gt;0,DL29+BK29&lt;=$FK$3),DL29,AND(DL29&gt;0,DL29+BK29&gt;$FK$3),0),0)
)</f>
        <v>0</v>
      </c>
      <c r="FO29" s="152" cm="1">
        <f t="array" ref="FO29">IF($C29="Production",
IFERROR(_xlfn.IFS(AND(DM29&gt;0,DM29+SUM(BK29:BL29)&lt;=$FM$3),DM29,AND(DM29&gt;0,DM29+SUM(BK29:BL29)&gt;$FM$3),$FM$3-SUM(BK29:BL29)),0),
IFERROR(_xlfn.IFS(AND(DM29&gt;0,DM29+BL29&lt;=$FK$3),DM29,AND(DM29&gt;0,DM29+BL29&gt;$FK$3),0),0)
)</f>
        <v>0</v>
      </c>
      <c r="FP29" s="152" cm="1">
        <f t="array" ref="FP29">IF($C29="Production",
IFERROR(_xlfn.IFS(AND(DN29&gt;0,DN29+SUM(BL29:BM29)&lt;=$FM$3),DN29,AND(DN29&gt;0,DN29+SUM(BL29:BM29)&gt;$FM$3),$FM$3-SUM(BL29:BM29)),0),
IFERROR(_xlfn.IFS(AND(DN29&gt;0,DN29+BM29&lt;=$FK$3),DN29,AND(DN29&gt;0,DN29+BM29&gt;$FK$3),0),0)
)</f>
        <v>0</v>
      </c>
      <c r="FQ29" s="152" cm="1">
        <f t="array" ref="FQ29">IF($C29="Production",
IFERROR(_xlfn.IFS(AND(DO29&gt;0,DO29+SUM(BM29:BN29)&lt;=$FM$3),DO29,AND(DO29&gt;0,DO29+SUM(BM29:BN29)&gt;$FM$3),$FM$3-SUM(BM29:BN29)),0),
IFERROR(_xlfn.IFS(AND(DO29&gt;0,DO29+BN29&lt;=$FK$3),DO29,AND(DO29&gt;0,DO29+BN29&gt;$FK$3),0),0)
)</f>
        <v>0</v>
      </c>
      <c r="FR29" s="152" cm="1">
        <f t="array" ref="FR29">IF($C29="Production",
IFERROR(_xlfn.IFS(AND(DP29&gt;0,DP29+SUM(BN29:BO29)&lt;=$FM$3),DP29,AND(DP29&gt;0,DP29+SUM(BN29:BO29)&gt;$FM$3),$FM$3-SUM(BN29:BO29)),0),
IFERROR(_xlfn.IFS(AND(DP29&gt;0,DP29+BO29&lt;=$FK$3),DP29,AND(DP29&gt;0,DP29+BO29&gt;$FK$3),0),0)
)</f>
        <v>0</v>
      </c>
      <c r="FS29" s="152" cm="1">
        <f t="array" ref="FS29">IF($C29="Production",
IFERROR(_xlfn.IFS(AND(DQ29&gt;0,DQ29+SUM(BO29:BP29)&lt;=$FM$3),DQ29,AND(DQ29&gt;0,DQ29+SUM(BO29:BP29)&gt;$FM$3),$FM$3-SUM(BO29:BP29)),0),
IFERROR(_xlfn.IFS(AND(DQ29&gt;0,DQ29+BP29&lt;=$FK$3),DQ29,AND(DQ29&gt;0,DQ29+BP29&gt;$FK$3),0),0)
)</f>
        <v>0</v>
      </c>
      <c r="FT29" s="152" cm="1">
        <f t="array" ref="FT29">IF($C29="Production",
IFERROR(_xlfn.IFS(AND(DR29&gt;0,DR29+SUM(BP29:BQ29)&lt;=$FM$3),DR29,AND(DR29&gt;0,DR29+SUM(BP29:BQ29)&gt;$FM$3),$FM$3-SUM(BP29:BQ29)),0),
IFERROR(_xlfn.IFS(AND(DR29&gt;0,DR29+BQ29&lt;=$FK$3),DR29,AND(DR29&gt;0,DR29+BQ29&gt;$FK$3),0),0)
)</f>
        <v>0</v>
      </c>
      <c r="FU29" s="152" cm="1">
        <f t="array" ref="FU29">IF($C29="Production",
IFERROR(_xlfn.IFS(AND(DS29&gt;0,DS29+SUM(BQ29:BR29)&lt;=$FM$3),DS29,AND(DS29&gt;0,DS29+SUM(BQ29:BR29)&gt;$FM$3),$FM$3-SUM(BQ29:BR29)),0),
IFERROR(_xlfn.IFS(AND(DS29&gt;0,DS29+BR29&lt;=$FK$3),DS29,AND(DS29&gt;0,DS29+BR29&gt;$FK$3),0),0)
)</f>
        <v>0</v>
      </c>
      <c r="FV29" s="152" cm="1">
        <f t="array" ref="FV29">IF($C29="Production",
IFERROR(_xlfn.IFS(AND(DT29&gt;0,DT29+SUM(BR29:BS29)&lt;=$FM$3),DT29,AND(DT29&gt;0,DT29+SUM(BR29:BS29)&gt;$FM$3),$FM$3-SUM(BR29:BS29)),0),
IFERROR(_xlfn.IFS(AND(DT29&gt;0,DT29+BS29&lt;=$FK$3),DT29,AND(DT29&gt;0,DT29+BS29&gt;$FK$3),0),0)
)</f>
        <v>0</v>
      </c>
      <c r="FW29" s="152" cm="1">
        <f t="array" ref="FW29">IF($C29="Production",
IFERROR(_xlfn.IFS(AND(DU29&gt;0,DU29+SUM(BS29:BT29)&lt;=$FM$3),DU29,AND(DU29&gt;0,DU29+SUM(BS29:BT29)&gt;$FM$3),$FM$3-SUM(BS29:BT29)),0),
IFERROR(_xlfn.IFS(AND(DU29&gt;0,DU29+BT29&lt;=$FK$3),DU29,AND(DU29&gt;0,DU29+BT29&gt;$FK$3),0),0)
)</f>
        <v>0</v>
      </c>
      <c r="FX29" s="152" cm="1">
        <f t="array" ref="FX29">IF($C29="Production",
IFERROR(_xlfn.IFS(AND(DV29&gt;0,DV29+SUM(BT29:BU29)&lt;=$FM$3),DV29,AND(DV29&gt;0,DV29+SUM(BT29:BU29)&gt;$FM$3),$FM$3-SUM(BT29:BU29)),0),
IFERROR(_xlfn.IFS(AND(DV29&gt;0,DV29+BU29&lt;=$FK$3),DV29,AND(DV29&gt;0,DV29+BU29&gt;$FK$3),0),0)
)</f>
        <v>0</v>
      </c>
      <c r="FY29" s="152" cm="1">
        <f t="array" ref="FY29">IF($C29="Production",
IFERROR(_xlfn.IFS(AND(DW29&gt;0,DW29+SUM(BU29:BV29)&lt;=$FM$3),DW29,AND(DW29&gt;0,DW29+SUM(BU29:BV29)&gt;$FM$3),$FM$3-SUM(BU29:BV29)),0),
IFERROR(_xlfn.IFS(AND(DW29&gt;0,DW29+BV29&lt;=$FK$3),DW29,AND(DW29&gt;0,DW29+BV29&gt;$FK$3),0),0)
)</f>
        <v>0</v>
      </c>
      <c r="FZ29" s="152" cm="1">
        <f t="array" ref="FZ29">IF($C29="Production",
IFERROR(_xlfn.IFS(AND(DX29&gt;0,DX29+SUM(BV29:BW29)&lt;=$FM$3),DX29,AND(DX29&gt;0,DX29+SUM(BV29:BW29)&gt;$FM$3),$FM$3-SUM(BV29:BW29)),0),
IFERROR(_xlfn.IFS(AND(DX29&gt;0,DX29+BW29&lt;=$FK$3),DX29,AND(DX29&gt;0,DX29+BW29&gt;$FK$3),0),0)
)</f>
        <v>0</v>
      </c>
      <c r="GA29" s="152" cm="1">
        <f t="array" ref="GA29">IF($C29="Production",
IFERROR(_xlfn.IFS(AND(DY29&gt;0,DY29+SUM(BW29:BX29)&lt;=$FM$3),DY29,AND(DY29&gt;0,DY29+SUM(BW29:BX29)&gt;$FM$3),$FM$3-SUM(BW29:BX29)),0),
IFERROR(_xlfn.IFS(AND(DY29&gt;0,DY29+BX29&lt;=$FK$3),DY29,AND(DY29&gt;0,DY29+BX29&gt;$FK$3),0),0)
)</f>
        <v>0</v>
      </c>
      <c r="GB29" s="152" cm="1">
        <f t="array" ref="GB29">IF($C29="Production",
IFERROR(_xlfn.IFS(AND(DZ29&gt;0,DZ29+SUM(BX29:BY29)&lt;=$FM$3),DZ29,AND(DZ29&gt;0,DZ29+SUM(BX29:BY29)&gt;$FM$3),$FM$3-SUM(BX29:BY29)),0),
IFERROR(_xlfn.IFS(AND(DZ29&gt;0,DZ29+BY29&lt;=$FK$3),DZ29,AND(DZ29&gt;0,DZ29+BY29&gt;$FK$3),0),0)
)</f>
        <v>0</v>
      </c>
      <c r="GC29" s="152" cm="1">
        <f t="array" ref="GC29">IF($C29="Production",
IFERROR(_xlfn.IFS(AND(EA29&gt;0,EA29+SUM(BY29:BZ29)&lt;=$FM$3),EA29,AND(EA29&gt;0,EA29+SUM(BY29:BZ29)&gt;$FM$3),$FM$3-SUM(BY29:BZ29)),0),
IFERROR(_xlfn.IFS(AND(EA29&gt;0,EA29+BZ29&lt;=$FK$3),EA29,AND(EA29&gt;0,EA29+BZ29&gt;$FK$3),0),0)
)</f>
        <v>0</v>
      </c>
      <c r="GD29" s="152" cm="1">
        <f t="array" ref="GD29">IF($C29="Production",
IFERROR(_xlfn.IFS(AND(EB29&gt;0,EB29+SUM(BZ29:CA29)&lt;=$FM$3),EB29,AND(EB29&gt;0,EB29+SUM(BZ29:CA29)&gt;$FM$3),$FM$3-SUM(BZ29:CA29)),0),
IFERROR(_xlfn.IFS(AND(EB29&gt;0,EB29+CA29&lt;=$FK$3),EB29,AND(EB29&gt;0,EB29+CA29&gt;$FK$3),0),0)
)</f>
        <v>0</v>
      </c>
      <c r="GE29" s="152" cm="1">
        <f t="array" ref="GE29">IF($C29="Production",
IFERROR(_xlfn.IFS(AND(EC29&gt;0,EC29+SUM(CA29:CB29)&lt;=$FM$3),EC29,AND(EC29&gt;0,EC29+SUM(CA29:CB29)&gt;$FM$3),$FM$3-SUM(CA29:CB29)),0),
IFERROR(_xlfn.IFS(AND(EC29&gt;0,EC29+CB29&lt;=$FK$3),EC29,AND(EC29&gt;0,EC29+CB29&gt;$FK$3),0),0)
)</f>
        <v>0</v>
      </c>
      <c r="GF29" s="152" cm="1">
        <f t="array" ref="GF29">IF($C29="Production",
IFERROR(_xlfn.IFS(AND(ED29&gt;0,ED29+SUM(CB29:CC29)&lt;=$FM$3),ED29,AND(ED29&gt;0,ED29+SUM(CB29:CC29)&gt;$FM$3),$FM$3-SUM(CB29:CC29)),0),
IFERROR(_xlfn.IFS(AND(ED29&gt;0,ED29+CC29&lt;=$FK$3),ED29,AND(ED29&gt;0,ED29+CC29&gt;$FK$3),0),0)
)</f>
        <v>0</v>
      </c>
      <c r="GG29" s="152" cm="1">
        <f t="array" ref="GG29">IF($C29="Production",
IFERROR(_xlfn.IFS(AND(EE29&gt;0,EE29+SUM(CC29:CD29)&lt;=$FM$3),EE29,AND(EE29&gt;0,EE29+SUM(CC29:CD29)&gt;$FM$3),$FM$3-SUM(CC29:CD29)),0),
IFERROR(_xlfn.IFS(AND(EE29&gt;0,EE29+CD29&lt;=$FK$3),EE29,AND(EE29&gt;0,EE29+CD29&gt;$FK$3),0),0)
)</f>
        <v>0</v>
      </c>
      <c r="GH29" s="152" cm="1">
        <f t="array" ref="GH29">IF($C29="Production",
IFERROR(_xlfn.IFS(AND(EF29&gt;0,EF29+SUM(CD29:CE29)&lt;=$FM$3),EF29,AND(EF29&gt;0,EF29+SUM(CD29:CE29)&gt;$FM$3),$FM$3-SUM(CD29:CE29)),0),
IFERROR(_xlfn.IFS(AND(EF29&gt;0,EF29+CE29&lt;=$FK$3),EF29,AND(EF29&gt;0,EF29+CE29&gt;$FK$3),0),0)
)</f>
        <v>0</v>
      </c>
      <c r="GI29" s="152" cm="1">
        <f t="array" ref="GI29">IF($C29="Production",
IFERROR(_xlfn.IFS(AND(EG29&gt;0,EG29+SUM(CE29:CF29)&lt;=$FM$3),EG29,AND(EG29&gt;0,EG29+SUM(CE29:CF29)&gt;$FM$3),$FM$3-SUM(CE29:CF29)),0),
IFERROR(_xlfn.IFS(AND(EG29&gt;0,EG29+CF29&lt;=$FK$3),EG29,AND(EG29&gt;0,EG29+CF29&gt;$FK$3),0),0)
)</f>
        <v>0</v>
      </c>
      <c r="GJ29" s="152" cm="1">
        <f t="array" ref="GJ29">IF($C29="Production",
IFERROR(_xlfn.IFS(AND(EH29&gt;0,EH29+SUM(CF29:CG29)&lt;=$FM$3),EH29,AND(EH29&gt;0,EH29+SUM(CF29:CG29)&gt;$FM$3),$FM$3-SUM(CF29:CG29)),0),
IFERROR(_xlfn.IFS(AND(EH29&gt;0,EH29+CG29&lt;=$FK$3),EH29,AND(EH29&gt;0,EH29+CG29&gt;$FK$3),0),0)
)</f>
        <v>0</v>
      </c>
      <c r="GK29" s="152" cm="1">
        <f t="array" ref="GK29">IF($C29="Production",
IFERROR(_xlfn.IFS(AND(EI29&gt;0,EI29+SUM(CG29:CH29)&lt;=$FM$3),EI29,AND(EI29&gt;0,EI29+SUM(CG29:CH29)&gt;$FM$3),$FM$3-SUM(CG29:CH29)),0),
IFERROR(_xlfn.IFS(AND(EI29&gt;0,EI29+CH29&lt;=$FK$3),EI29,AND(EI29&gt;0,EI29+CH29&gt;$FK$3),0),0)
)</f>
        <v>0</v>
      </c>
      <c r="GL29" s="152" cm="1">
        <f t="array" ref="GL29">IF($C29="Production",
IFERROR(_xlfn.IFS(AND(EJ29&gt;0,EJ29+SUM(CH29:CI29)&lt;=$FM$3),EJ29,AND(EJ29&gt;0,EJ29+SUM(CH29:CI29)&gt;$FM$3),$FM$3-SUM(CH29:CI29)),0),
IFERROR(_xlfn.IFS(AND(EJ29&gt;0,EJ29+CI29&lt;=$FK$3),EJ29,AND(EJ29&gt;0,EJ29+CI29&gt;$FK$3),0),0)
)</f>
        <v>0</v>
      </c>
      <c r="GM29" s="152" cm="1">
        <f t="array" ref="GM29">IF($C29="Production",
IFERROR(_xlfn.IFS(AND(EK29&gt;0,EK29+SUM(CI29:CJ29)&lt;=$FM$3),EK29,AND(EK29&gt;0,EK29+SUM(CI29:CJ29)&gt;$FM$3),$FM$3-SUM(CI29:CJ29)),0),
IFERROR(_xlfn.IFS(AND(EK29&gt;0,EK29+CJ29&lt;=$FK$3),EK29,AND(EK29&gt;0,EK29+CJ29&gt;$FK$3),0),0)
)</f>
        <v>0</v>
      </c>
      <c r="GN29" s="152" cm="1">
        <f t="array" ref="GN29">IF($C29="Production",
IFERROR(_xlfn.IFS(AND(EL29&gt;0,EL29+SUM(CJ29:CK29)&lt;=$FM$3),EL29,AND(EL29&gt;0,EL29+SUM(CJ29:CK29)&gt;$FM$3),$FM$3-SUM(CJ29:CK29)),0),
IFERROR(_xlfn.IFS(AND(EL29&gt;0,EL29+CK29&lt;=$FK$3),EL29,AND(EL29&gt;0,EL29+CK29&gt;$FK$3),0),0)
)</f>
        <v>0</v>
      </c>
      <c r="GO29" s="152" cm="1">
        <f t="array" ref="GO29">IF($C29="Production",
IFERROR(_xlfn.IFS(AND(EM29&gt;0,EM29+SUM(CK29:CL29)&lt;=$FM$3),EM29,AND(EM29&gt;0,EM29+SUM(CK29:CL29)&gt;$FM$3),$FM$3-SUM(CK29:CL29)),0),
IFERROR(_xlfn.IFS(AND(EM29&gt;0,EM29+CL29&lt;=$FK$3),EM29,AND(EM29&gt;0,EM29+CL29&gt;$FK$3),0),0)
)</f>
        <v>0</v>
      </c>
      <c r="GP29" s="152" cm="1">
        <f t="array" ref="GP29">IF($C29="Production",
IFERROR(_xlfn.IFS(AND(EN29&gt;0,EN29+SUM(CL29:CM29)&lt;=$FM$3),EN29,AND(EN29&gt;0,EN29+SUM(CL29:CM29)&gt;$FM$3),$FM$3-SUM(CL29:CM29)),0),
IFERROR(_xlfn.IFS(AND(EN29&gt;0,EN29+CM29&lt;=$FK$3),EN29,AND(EN29&gt;0,EN29+CM29&gt;$FK$3),0),0)
)</f>
        <v>0</v>
      </c>
      <c r="GQ29" s="152" cm="1">
        <f t="array" ref="GQ29">IF($C29="Production",
IFERROR(_xlfn.IFS(AND(EO29&gt;0,EO29+SUM(CM29:CN29)&lt;=$FM$3),EO29,AND(EO29&gt;0,EO29+SUM(CM29:CN29)&gt;$FM$3),$FM$3-SUM(CM29:CN29)),0),
IFERROR(_xlfn.IFS(AND(EO29&gt;0,EO29+CN29&lt;=$FK$3),EO29,AND(EO29&gt;0,EO29+CN29&gt;$FK$3),0),0)
)</f>
        <v>0</v>
      </c>
      <c r="GR29" s="152" cm="1">
        <f t="array" ref="GR29">IF($C29="Production",
IFERROR(_xlfn.IFS(AND(EP29&gt;0,EP29+SUM(CN29:CO29)&lt;=$FM$3),EP29,AND(EP29&gt;0,EP29+SUM(CN29:CO29)&gt;$FM$3),$FM$3-SUM(CN29:CO29)),0),
IFERROR(_xlfn.IFS(AND(EP29&gt;0,EP29+CO29&lt;=$FK$3),EP29,AND(EP29&gt;0,EP29+CO29&gt;$FK$3),0),0)
)</f>
        <v>0</v>
      </c>
      <c r="GS29" s="152" cm="1">
        <f t="array" ref="GS29">IF($C29="Production",
IFERROR(_xlfn.IFS(AND(EQ29&gt;0,EQ29+SUM(CO29:CP29)&lt;=$FM$3),EQ29,AND(EQ29&gt;0,EQ29+SUM(CO29:CP29)&gt;$FM$3),$FM$3-SUM(CO29:CP29)),0),
IFERROR(_xlfn.IFS(AND(EQ29&gt;0,EQ29+CP29&lt;=$FK$3),EQ29,AND(EQ29&gt;0,EQ29+CP29&gt;$FK$3),0),0)
)</f>
        <v>0</v>
      </c>
      <c r="GT29" s="152" cm="1">
        <f t="array" ref="GT29">IF($C29="Production",
IFERROR(_xlfn.IFS(AND(ER29&gt;0,ER29+SUM(CP29:CQ29)&lt;=$FM$3),ER29,AND(ER29&gt;0,ER29+SUM(CP29:CQ29)&gt;$FM$3),$FM$3-SUM(CP29:CQ29)),0),
IFERROR(_xlfn.IFS(AND(ER29&gt;0,ER29+CQ29&lt;=$FK$3),ER29,AND(ER29&gt;0,ER29+CQ29&gt;$FK$3),0),0)
)</f>
        <v>0</v>
      </c>
      <c r="GU29" s="152" cm="1">
        <f t="array" ref="GU29">IF($C29="Production",
IFERROR(_xlfn.IFS(AND(ES29&gt;0,ES29+SUM(CQ29:CR29)&lt;=$FM$3),ES29,AND(ES29&gt;0,ES29+SUM(CQ29:CR29)&gt;$FM$3),$FM$3-SUM(CQ29:CR29)),0),
IFERROR(_xlfn.IFS(AND(ES29&gt;0,ES29+CR29&lt;=$FK$3),ES29,AND(ES29&gt;0,ES29+CR29&gt;$FK$3),0),0)
)</f>
        <v>0</v>
      </c>
      <c r="GV29" s="152" cm="1">
        <f t="array" ref="GV29">IF($C29="Production",
IFERROR(_xlfn.IFS(AND(ET29&gt;0,ET29+SUM(CR29:CS29)&lt;=$FM$3),ET29,AND(ET29&gt;0,ET29+SUM(CR29:CS29)&gt;$FM$3),$FM$3-SUM(CR29:CS29)),0),
IFERROR(_xlfn.IFS(AND(ET29&gt;0,ET29+CS29&lt;=$FK$3),ET29,AND(ET29&gt;0,ET29+CS29&gt;$FK$3),0),0)
)</f>
        <v>0</v>
      </c>
      <c r="GW29" s="152" cm="1">
        <f t="array" ref="GW29">IF($C29="Production",
IFERROR(_xlfn.IFS(AND(EU29&gt;0,EU29+SUM(CS29:CT29)&lt;=$FM$3),EU29,AND(EU29&gt;0,EU29+SUM(CS29:CT29)&gt;$FM$3),$FM$3-SUM(CS29:CT29)),0),
IFERROR(_xlfn.IFS(AND(EU29&gt;0,EU29+CT29&lt;=$FK$3),EU29,AND(EU29&gt;0,EU29+CT29&gt;$FK$3),0),0)
)</f>
        <v>0</v>
      </c>
      <c r="GX29" s="152" cm="1">
        <f t="array" ref="GX29">IF($C29="Production",
IFERROR(_xlfn.IFS(AND(EV29&gt;0,EV29+SUM(CT29:CU29)&lt;=$FM$3),EV29,AND(EV29&gt;0,EV29+SUM(CT29:CU29)&gt;$FM$3),$FM$3-SUM(CT29:CU29)),0),
IFERROR(_xlfn.IFS(AND(EV29&gt;0,EV29+CU29&lt;=$FK$3),EV29,AND(EV29&gt;0,EV29+CU29&gt;$FK$3),0),0)
)</f>
        <v>0</v>
      </c>
      <c r="GY29" s="152" cm="1">
        <f t="array" ref="GY29">IF($C29="Production",
IFERROR(_xlfn.IFS(AND(EW29&gt;0,EW29+SUM(CU29:CV29)&lt;=$FM$3),EW29,AND(EW29&gt;0,EW29+SUM(CU29:CV29)&gt;$FM$3),$FM$3-SUM(CU29:CV29)),0),
IFERROR(_xlfn.IFS(AND(EW29&gt;0,EW29+CV29&lt;=$FK$3),EW29,AND(EW29&gt;0,EW29+CV29&gt;$FK$3),0),0)
)</f>
        <v>0</v>
      </c>
      <c r="GZ29" s="152" cm="1">
        <f t="array" ref="GZ29">IF($C29="Production",
IFERROR(_xlfn.IFS(AND(EX29&gt;0,EX29+SUM(CV29:CW29)&lt;=$FM$3),EX29,AND(EX29&gt;0,EX29+SUM(CV29:CW29)&gt;$FM$3),$FM$3-SUM(CV29:CW29)),0),
IFERROR(_xlfn.IFS(AND(EX29&gt;0,EX29+CW29&lt;=$FK$3),EX29,AND(EX29&gt;0,EX29+CW29&gt;$FK$3),0),0)
)</f>
        <v>0</v>
      </c>
      <c r="HA29" s="152" cm="1">
        <f t="array" ref="HA29">IF($C29="Production",
IFERROR(_xlfn.IFS(AND(EY29&gt;0,EY29+SUM(CW29:CX29)&lt;=$FM$3),EY29,AND(EY29&gt;0,EY29+SUM(CW29:CX29)&gt;$FM$3),$FM$3-SUM(CW29:CX29)),0),
IFERROR(_xlfn.IFS(AND(EY29&gt;0,EY29+CX29&lt;=$FK$3),EY29,AND(EY29&gt;0,EY29+CX29&gt;$FK$3),0),0)
)</f>
        <v>0</v>
      </c>
      <c r="HB29" s="152" cm="1">
        <f t="array" ref="HB29">IF($C29="Production",
IFERROR(_xlfn.IFS(AND(EZ29&gt;0,EZ29+SUM(CX29:CY29)&lt;=$FM$3),EZ29,AND(EZ29&gt;0,EZ29+SUM(CX29:CY29)&gt;$FM$3),$FM$3-SUM(CX29:CY29)),0),
IFERROR(_xlfn.IFS(AND(EZ29&gt;0,EZ29+CY29&lt;=$FK$3),EZ29,AND(EZ29&gt;0,EZ29+CY29&gt;$FK$3),0),0)
)</f>
        <v>0</v>
      </c>
      <c r="HC29" s="152" cm="1">
        <f t="array" ref="HC29">IF($C29="Production",
IFERROR(_xlfn.IFS(AND(FA29&gt;0,FA29+SUM(CY29:CZ29)&lt;=$FM$3),FA29,AND(FA29&gt;0,FA29+SUM(CY29:CZ29)&gt;$FM$3),$FM$3-SUM(CY29:CZ29)),0),
IFERROR(_xlfn.IFS(AND(FA29&gt;0,FA29+CZ29&lt;=$FK$3),FA29,AND(FA29&gt;0,FA29+CZ29&gt;$FK$3),0),0)
)</f>
        <v>0</v>
      </c>
      <c r="HD29" s="152" cm="1">
        <f t="array" ref="HD29">IF($C29="Production",
IFERROR(_xlfn.IFS(AND(FB29&gt;0,FB29+SUM(CZ29:DA29)&lt;=$FM$3),FB29,AND(FB29&gt;0,FB29+SUM(CZ29:DA29)&gt;$FM$3),$FM$3-SUM(CZ29:DA29)),0),
IFERROR(_xlfn.IFS(AND(FB29&gt;0,FB29+DA29&lt;=$FK$3),FB29,AND(FB29&gt;0,FB29+DA29&gt;$FK$3),0),0)
)</f>
        <v>0</v>
      </c>
      <c r="HE29" s="152" cm="1">
        <f t="array" ref="HE29">IF($C29="Production",
IFERROR(_xlfn.IFS(AND(FC29&gt;0,FC29+SUM(DA29:DB29)&lt;=$FM$3),FC29,AND(FC29&gt;0,FC29+SUM(DA29:DB29)&gt;$FM$3),$FM$3-SUM(DA29:DB29)),0),
IFERROR(_xlfn.IFS(AND(FC29&gt;0,FC29+DB29&lt;=$FK$3),FC29,AND(FC29&gt;0,FC29+DB29&gt;$FK$3),0),0)
)</f>
        <v>0</v>
      </c>
      <c r="HF29" s="152" cm="1">
        <f t="array" ref="HF29">IF($C29="Production",
IFERROR(_xlfn.IFS(AND(FD29&gt;0,FD29+SUM(DB29:DC29)&lt;=$FM$3),FD29,AND(FD29&gt;0,FD29+SUM(DB29:DC29)&gt;$FM$3),$FM$3-SUM(DB29:DC29)),0),
IFERROR(_xlfn.IFS(AND(FD29&gt;0,FD29+DC29&lt;=$FK$3),FD29,AND(FD29&gt;0,FD29+DC29&gt;$FK$3),0),0)
)</f>
        <v>0</v>
      </c>
      <c r="HG29" s="152" cm="1">
        <f t="array" ref="HG29">IF($C29="Production",
IFERROR(_xlfn.IFS(AND(FE29&gt;0,FE29+SUM(DC29:DD29)&lt;=$FM$3),FE29,AND(FE29&gt;0,FE29+SUM(DC29:DD29)&gt;$FM$3),$FM$3-SUM(DC29:DD29)),0),
IFERROR(_xlfn.IFS(AND(FE29&gt;0,FE29+DD29&lt;=$FK$3),FE29,AND(FE29&gt;0,FE29+DD29&gt;$FK$3),0),0)
)</f>
        <v>0</v>
      </c>
      <c r="HH29" s="152" cm="1">
        <f t="array" ref="HH29">IF($C29="Production",
IFERROR(_xlfn.IFS(AND(FF29&gt;0,FF29+SUM(DD29:DE29)&lt;=$FM$3),FF29,AND(FF29&gt;0,FF29+SUM(DD29:DE29)&gt;$FM$3),$FM$3-SUM(DD29:DE29)),0),
IFERROR(_xlfn.IFS(AND(FF29&gt;0,FF29+DE29&lt;=$FK$3),FF29,AND(FF29&gt;0,FF29+DE29&gt;$FK$3),0),0)
)</f>
        <v>0</v>
      </c>
      <c r="HI29" s="156" cm="1">
        <f t="array" ref="HI29">IF($C29="Production",
IFERROR(_xlfn.IFS(AND(FG29&gt;0,FG29+SUM(DE29:DF29)&lt;=$FM$3),FG29,AND(FG29&gt;0,FG29+SUM(DE29:DF29)&gt;$FM$3),$FM$3-SUM(DE29:DF29)),0),
IFERROR(_xlfn.IFS(AND(FG29&gt;0,FG29+DF29&lt;=$FK$3),FG29,AND(FG29&gt;0,FG29+DF29&gt;$FK$3),0),0)
)</f>
        <v>0</v>
      </c>
      <c r="HJ29" s="113">
        <f t="shared" si="110"/>
        <v>0</v>
      </c>
      <c r="HK29" s="80"/>
      <c r="HL29" s="112">
        <f t="shared" si="56"/>
        <v>0</v>
      </c>
      <c r="HM29" s="138">
        <f t="shared" si="57"/>
        <v>0</v>
      </c>
      <c r="HN29" s="138">
        <f t="shared" si="58"/>
        <v>0</v>
      </c>
      <c r="HO29" s="138">
        <f t="shared" si="59"/>
        <v>0</v>
      </c>
      <c r="HP29" s="138">
        <f t="shared" si="60"/>
        <v>0</v>
      </c>
      <c r="HQ29" s="138">
        <f t="shared" si="61"/>
        <v>0</v>
      </c>
      <c r="HR29" s="138">
        <f t="shared" si="62"/>
        <v>0</v>
      </c>
      <c r="HS29" s="138">
        <f t="shared" si="63"/>
        <v>0</v>
      </c>
      <c r="HT29" s="138">
        <f t="shared" si="64"/>
        <v>0</v>
      </c>
      <c r="HU29" s="138">
        <f t="shared" si="65"/>
        <v>0</v>
      </c>
      <c r="HV29" s="138">
        <f t="shared" si="66"/>
        <v>0</v>
      </c>
      <c r="HW29" s="138">
        <f t="shared" si="67"/>
        <v>0</v>
      </c>
      <c r="HX29" s="138">
        <f t="shared" si="68"/>
        <v>0</v>
      </c>
      <c r="HY29" s="138">
        <f t="shared" si="69"/>
        <v>0</v>
      </c>
      <c r="HZ29" s="138">
        <f t="shared" si="70"/>
        <v>0</v>
      </c>
      <c r="IA29" s="138">
        <f t="shared" si="71"/>
        <v>0</v>
      </c>
      <c r="IB29" s="138">
        <f t="shared" si="72"/>
        <v>0</v>
      </c>
      <c r="IC29" s="138">
        <f t="shared" si="73"/>
        <v>0</v>
      </c>
      <c r="ID29" s="138">
        <f t="shared" si="74"/>
        <v>0</v>
      </c>
      <c r="IE29" s="138">
        <f t="shared" si="75"/>
        <v>0</v>
      </c>
      <c r="IF29" s="138">
        <f t="shared" si="76"/>
        <v>0</v>
      </c>
      <c r="IG29" s="138">
        <f t="shared" si="77"/>
        <v>0</v>
      </c>
      <c r="IH29" s="138">
        <f t="shared" si="78"/>
        <v>0</v>
      </c>
      <c r="II29" s="138">
        <f t="shared" si="79"/>
        <v>0</v>
      </c>
      <c r="IJ29" s="138">
        <f t="shared" si="80"/>
        <v>0</v>
      </c>
      <c r="IK29" s="138">
        <f t="shared" si="81"/>
        <v>0</v>
      </c>
      <c r="IL29" s="138">
        <f t="shared" si="82"/>
        <v>0</v>
      </c>
      <c r="IM29" s="138">
        <f t="shared" si="83"/>
        <v>0</v>
      </c>
      <c r="IN29" s="138">
        <f t="shared" si="84"/>
        <v>0</v>
      </c>
      <c r="IO29" s="138">
        <f t="shared" si="85"/>
        <v>0</v>
      </c>
      <c r="IP29" s="138">
        <f t="shared" si="86"/>
        <v>0</v>
      </c>
      <c r="IQ29" s="138">
        <f t="shared" si="87"/>
        <v>0</v>
      </c>
      <c r="IR29" s="138">
        <f t="shared" si="88"/>
        <v>0</v>
      </c>
      <c r="IS29" s="138">
        <f t="shared" si="89"/>
        <v>0</v>
      </c>
      <c r="IT29" s="138">
        <f t="shared" si="90"/>
        <v>0</v>
      </c>
      <c r="IU29" s="138">
        <f t="shared" si="91"/>
        <v>0</v>
      </c>
      <c r="IV29" s="138">
        <f t="shared" si="92"/>
        <v>0</v>
      </c>
      <c r="IW29" s="138">
        <f t="shared" si="93"/>
        <v>0</v>
      </c>
      <c r="IX29" s="138">
        <f t="shared" si="94"/>
        <v>0</v>
      </c>
      <c r="IY29" s="138">
        <f t="shared" si="95"/>
        <v>0</v>
      </c>
      <c r="IZ29" s="138">
        <f t="shared" si="96"/>
        <v>0</v>
      </c>
      <c r="JA29" s="138">
        <f t="shared" si="97"/>
        <v>0</v>
      </c>
      <c r="JB29" s="138">
        <f t="shared" si="98"/>
        <v>0</v>
      </c>
      <c r="JC29" s="138">
        <f t="shared" si="99"/>
        <v>0</v>
      </c>
      <c r="JD29" s="138">
        <f t="shared" si="100"/>
        <v>0</v>
      </c>
      <c r="JE29" s="138">
        <f t="shared" si="101"/>
        <v>0</v>
      </c>
      <c r="JF29" s="138">
        <f t="shared" si="102"/>
        <v>0</v>
      </c>
      <c r="JG29" s="138">
        <f t="shared" si="103"/>
        <v>0</v>
      </c>
      <c r="JH29" s="138">
        <f t="shared" si="104"/>
        <v>0</v>
      </c>
      <c r="JI29" s="138">
        <f t="shared" si="105"/>
        <v>0</v>
      </c>
      <c r="JJ29" s="138">
        <f t="shared" si="106"/>
        <v>0</v>
      </c>
      <c r="JK29" s="138">
        <f t="shared" si="107"/>
        <v>0</v>
      </c>
      <c r="JL29" s="118">
        <f t="shared" si="111"/>
        <v>0</v>
      </c>
      <c r="JO29" s="90">
        <f t="shared" si="112"/>
        <v>0</v>
      </c>
      <c r="JP29" s="79">
        <f t="shared" si="108"/>
        <v>0</v>
      </c>
      <c r="JQ29" s="91">
        <f t="shared" si="2"/>
        <v>0</v>
      </c>
      <c r="JS29" s="123">
        <f t="shared" si="109"/>
        <v>-8</v>
      </c>
      <c r="JU29" s="123">
        <f t="shared" si="113"/>
        <v>-8</v>
      </c>
    </row>
    <row r="30" spans="2:281" x14ac:dyDescent="0.15">
      <c r="B30" s="82" t="str">
        <f>'MODU 2025'!B33</f>
        <v>MONIN Margaux</v>
      </c>
      <c r="C30" s="82" t="str">
        <f>'MODU 2025'!C33</f>
        <v>Production</v>
      </c>
      <c r="D30" s="82">
        <f>'MODU 2025'!D33</f>
        <v>37</v>
      </c>
      <c r="E30" s="82"/>
      <c r="F30" s="133">
        <f>'MODU 2025'!G33</f>
        <v>41</v>
      </c>
      <c r="G30" s="140">
        <f>'MODU 2025'!H33</f>
        <v>33</v>
      </c>
      <c r="H30" s="140">
        <f>'MODU 2025'!I33</f>
        <v>41</v>
      </c>
      <c r="I30" s="140">
        <f>'MODU 2025'!J33</f>
        <v>40.75</v>
      </c>
      <c r="J30" s="140">
        <f>'MODU 2025'!K33</f>
        <v>41.25</v>
      </c>
      <c r="K30" s="140">
        <f>'MODU 2025'!L33</f>
        <v>40.75</v>
      </c>
      <c r="L30" s="140">
        <f>'MODU 2025'!M33</f>
        <v>41.25</v>
      </c>
      <c r="M30" s="140">
        <f>'MODU 2025'!N33</f>
        <v>33</v>
      </c>
      <c r="N30" s="140">
        <f>'MODU 2025'!O33</f>
        <v>41</v>
      </c>
      <c r="O30" s="140">
        <f>'MODU 2025'!P33</f>
        <v>40.75</v>
      </c>
      <c r="P30" s="140">
        <f>'MODU 2025'!Q33</f>
        <v>41</v>
      </c>
      <c r="Q30" s="140">
        <f>'MODU 2025'!R33</f>
        <v>33</v>
      </c>
      <c r="R30" s="140">
        <f>'MODU 2025'!S33</f>
        <v>41</v>
      </c>
      <c r="S30" s="140">
        <f>'MODU 2025'!T33</f>
        <v>33</v>
      </c>
      <c r="T30" s="140">
        <f>'MODU 2025'!U33</f>
        <v>41</v>
      </c>
      <c r="U30" s="140">
        <f>'MODU 2025'!V33</f>
        <v>33</v>
      </c>
      <c r="V30" s="140">
        <f>'MODU 2025'!W33</f>
        <v>41</v>
      </c>
      <c r="W30" s="140">
        <f>'MODU 2025'!X33</f>
        <v>33</v>
      </c>
      <c r="X30" s="140">
        <f>'MODU 2025'!Y33</f>
        <v>41</v>
      </c>
      <c r="Y30" s="140">
        <f>'MODU 2025'!Z33</f>
        <v>33</v>
      </c>
      <c r="Z30" s="140">
        <f>'MODU 2025'!AA33</f>
        <v>41</v>
      </c>
      <c r="AA30" s="140">
        <f>'MODU 2025'!AB33</f>
        <v>33</v>
      </c>
      <c r="AB30" s="140">
        <f>'MODU 2025'!AC33</f>
        <v>41</v>
      </c>
      <c r="AC30" s="140">
        <f>'MODU 2025'!AD33</f>
        <v>33</v>
      </c>
      <c r="AD30" s="140">
        <f>'MODU 2025'!AE33</f>
        <v>41</v>
      </c>
      <c r="AE30" s="140">
        <f>'MODU 2025'!AF33</f>
        <v>33</v>
      </c>
      <c r="AF30" s="140">
        <f>'MODU 2025'!AG33</f>
        <v>41</v>
      </c>
      <c r="AG30" s="140">
        <f>'MODU 2025'!AH33</f>
        <v>33</v>
      </c>
      <c r="AH30" s="140">
        <f>'MODU 2025'!AI33</f>
        <v>41</v>
      </c>
      <c r="AI30" s="140">
        <f>'MODU 2025'!AJ33</f>
        <v>33</v>
      </c>
      <c r="AJ30" s="140">
        <f>'MODU 2025'!AK33</f>
        <v>41</v>
      </c>
      <c r="AK30" s="140">
        <f>'MODU 2025'!AL33</f>
        <v>33</v>
      </c>
      <c r="AL30" s="140">
        <f>'MODU 2025'!AM33</f>
        <v>41</v>
      </c>
      <c r="AM30" s="140">
        <f>'MODU 2025'!AN33</f>
        <v>33</v>
      </c>
      <c r="AN30" s="140">
        <f>'MODU 2025'!AO33</f>
        <v>41</v>
      </c>
      <c r="AO30" s="140">
        <f>'MODU 2025'!AP33</f>
        <v>33</v>
      </c>
      <c r="AP30" s="140">
        <f>'MODU 2025'!AQ33</f>
        <v>41</v>
      </c>
      <c r="AQ30" s="140">
        <f>'MODU 2025'!AR33</f>
        <v>33</v>
      </c>
      <c r="AR30" s="140">
        <f>'MODU 2025'!AS33</f>
        <v>41</v>
      </c>
      <c r="AS30" s="140">
        <f>'MODU 2025'!AT33</f>
        <v>33</v>
      </c>
      <c r="AT30" s="140">
        <f>'MODU 2025'!AU33</f>
        <v>41</v>
      </c>
      <c r="AU30" s="140">
        <f>'MODU 2025'!AV33</f>
        <v>33</v>
      </c>
      <c r="AV30" s="140">
        <f>'MODU 2025'!AW33</f>
        <v>41</v>
      </c>
      <c r="AW30" s="140">
        <f>'MODU 2025'!AX33</f>
        <v>33</v>
      </c>
      <c r="AX30" s="140">
        <f>'MODU 2025'!AY33</f>
        <v>41</v>
      </c>
      <c r="AY30" s="140">
        <f>'MODU 2025'!AZ33</f>
        <v>33</v>
      </c>
      <c r="AZ30" s="140">
        <f>'MODU 2025'!BA33</f>
        <v>41</v>
      </c>
      <c r="BA30" s="140">
        <f>'MODU 2025'!BB33</f>
        <v>33</v>
      </c>
      <c r="BB30" s="140">
        <f>'MODU 2025'!BC33</f>
        <v>41</v>
      </c>
      <c r="BC30" s="140">
        <f>'MODU 2025'!BD33</f>
        <v>33</v>
      </c>
      <c r="BD30" s="140">
        <f>'MODU 2025'!BE33</f>
        <v>41</v>
      </c>
      <c r="BE30" s="134">
        <f>'MODU 2025'!BF33</f>
        <v>33</v>
      </c>
      <c r="BF30" s="82"/>
      <c r="BG30" s="107">
        <v>41</v>
      </c>
      <c r="BH30" s="145">
        <v>33</v>
      </c>
      <c r="BI30" s="145">
        <v>41</v>
      </c>
      <c r="BJ30" s="145">
        <v>33</v>
      </c>
      <c r="BK30" s="145">
        <v>41</v>
      </c>
      <c r="BL30" s="145">
        <v>33</v>
      </c>
      <c r="BM30" s="145">
        <v>41</v>
      </c>
      <c r="BN30" s="145">
        <v>33</v>
      </c>
      <c r="BO30" s="145">
        <v>41</v>
      </c>
      <c r="BP30" s="145">
        <v>33</v>
      </c>
      <c r="BQ30" s="145">
        <v>41</v>
      </c>
      <c r="BR30" s="145">
        <v>33</v>
      </c>
      <c r="BS30" s="145">
        <v>41</v>
      </c>
      <c r="BT30" s="145">
        <v>33</v>
      </c>
      <c r="BU30" s="145">
        <v>41</v>
      </c>
      <c r="BV30" s="145">
        <v>33</v>
      </c>
      <c r="BW30" s="145">
        <v>41</v>
      </c>
      <c r="BX30" s="145">
        <v>33</v>
      </c>
      <c r="BY30" s="145">
        <v>41</v>
      </c>
      <c r="BZ30" s="145">
        <v>33</v>
      </c>
      <c r="CA30" s="145">
        <v>41</v>
      </c>
      <c r="CB30" s="145">
        <v>33</v>
      </c>
      <c r="CC30" s="145">
        <v>41</v>
      </c>
      <c r="CD30" s="145">
        <v>33</v>
      </c>
      <c r="CE30" s="145">
        <v>41</v>
      </c>
      <c r="CF30" s="145">
        <v>33</v>
      </c>
      <c r="CG30" s="145">
        <v>41</v>
      </c>
      <c r="CH30" s="145">
        <v>33</v>
      </c>
      <c r="CI30" s="145">
        <v>41</v>
      </c>
      <c r="CJ30" s="145">
        <v>33</v>
      </c>
      <c r="CK30" s="145">
        <v>41</v>
      </c>
      <c r="CL30" s="145">
        <v>33</v>
      </c>
      <c r="CM30" s="145">
        <v>41</v>
      </c>
      <c r="CN30" s="145">
        <v>33</v>
      </c>
      <c r="CO30" s="145">
        <v>41</v>
      </c>
      <c r="CP30" s="145">
        <v>33</v>
      </c>
      <c r="CQ30" s="145">
        <v>41</v>
      </c>
      <c r="CR30" s="145">
        <v>33</v>
      </c>
      <c r="CS30" s="145">
        <v>41</v>
      </c>
      <c r="CT30" s="145">
        <v>33</v>
      </c>
      <c r="CU30" s="145">
        <v>41</v>
      </c>
      <c r="CV30" s="145">
        <v>33</v>
      </c>
      <c r="CW30" s="145">
        <v>41</v>
      </c>
      <c r="CX30" s="145">
        <v>33</v>
      </c>
      <c r="CY30" s="145">
        <v>41</v>
      </c>
      <c r="CZ30" s="145">
        <v>33</v>
      </c>
      <c r="DA30" s="145">
        <v>41</v>
      </c>
      <c r="DB30" s="145">
        <v>33</v>
      </c>
      <c r="DC30" s="145">
        <v>41</v>
      </c>
      <c r="DD30" s="145">
        <v>33</v>
      </c>
      <c r="DE30" s="145">
        <v>41</v>
      </c>
      <c r="DF30" s="108">
        <v>33</v>
      </c>
      <c r="DG30" s="84"/>
      <c r="DH30" s="112">
        <f t="shared" si="3"/>
        <v>0</v>
      </c>
      <c r="DI30" s="138">
        <f t="shared" si="4"/>
        <v>0</v>
      </c>
      <c r="DJ30" s="138">
        <f t="shared" si="5"/>
        <v>0</v>
      </c>
      <c r="DK30" s="138">
        <f t="shared" si="6"/>
        <v>7.75</v>
      </c>
      <c r="DL30" s="138">
        <f t="shared" si="7"/>
        <v>0</v>
      </c>
      <c r="DM30" s="138">
        <f t="shared" si="8"/>
        <v>8</v>
      </c>
      <c r="DN30" s="138">
        <f t="shared" si="9"/>
        <v>0</v>
      </c>
      <c r="DO30" s="138">
        <f t="shared" si="10"/>
        <v>0.25</v>
      </c>
      <c r="DP30" s="138">
        <f t="shared" si="11"/>
        <v>0</v>
      </c>
      <c r="DQ30" s="138">
        <f t="shared" si="12"/>
        <v>7.75</v>
      </c>
      <c r="DR30" s="138">
        <f t="shared" si="13"/>
        <v>0</v>
      </c>
      <c r="DS30" s="138">
        <f t="shared" si="14"/>
        <v>0</v>
      </c>
      <c r="DT30" s="138">
        <f t="shared" si="15"/>
        <v>0</v>
      </c>
      <c r="DU30" s="138">
        <f t="shared" si="16"/>
        <v>0</v>
      </c>
      <c r="DV30" s="138">
        <f t="shared" si="17"/>
        <v>0</v>
      </c>
      <c r="DW30" s="138">
        <f t="shared" si="18"/>
        <v>0</v>
      </c>
      <c r="DX30" s="138">
        <f t="shared" si="19"/>
        <v>0</v>
      </c>
      <c r="DY30" s="138">
        <f t="shared" si="20"/>
        <v>0</v>
      </c>
      <c r="DZ30" s="138">
        <f t="shared" si="21"/>
        <v>0</v>
      </c>
      <c r="EA30" s="138">
        <f t="shared" si="22"/>
        <v>0</v>
      </c>
      <c r="EB30" s="138">
        <f t="shared" si="23"/>
        <v>0</v>
      </c>
      <c r="EC30" s="138">
        <f t="shared" si="24"/>
        <v>0</v>
      </c>
      <c r="ED30" s="138">
        <f t="shared" si="25"/>
        <v>0</v>
      </c>
      <c r="EE30" s="138">
        <f t="shared" si="26"/>
        <v>0</v>
      </c>
      <c r="EF30" s="138">
        <f t="shared" si="27"/>
        <v>0</v>
      </c>
      <c r="EG30" s="138">
        <f t="shared" si="28"/>
        <v>0</v>
      </c>
      <c r="EH30" s="138">
        <f t="shared" si="29"/>
        <v>0</v>
      </c>
      <c r="EI30" s="138">
        <f t="shared" si="30"/>
        <v>0</v>
      </c>
      <c r="EJ30" s="138">
        <f t="shared" si="31"/>
        <v>0</v>
      </c>
      <c r="EK30" s="138">
        <f t="shared" si="32"/>
        <v>0</v>
      </c>
      <c r="EL30" s="138">
        <f t="shared" si="33"/>
        <v>0</v>
      </c>
      <c r="EM30" s="138">
        <f t="shared" si="34"/>
        <v>0</v>
      </c>
      <c r="EN30" s="138">
        <f t="shared" si="35"/>
        <v>0</v>
      </c>
      <c r="EO30" s="138">
        <f t="shared" si="36"/>
        <v>0</v>
      </c>
      <c r="EP30" s="138">
        <f t="shared" si="37"/>
        <v>0</v>
      </c>
      <c r="EQ30" s="138">
        <f t="shared" si="38"/>
        <v>0</v>
      </c>
      <c r="ER30" s="138">
        <f t="shared" si="39"/>
        <v>0</v>
      </c>
      <c r="ES30" s="138">
        <f t="shared" si="40"/>
        <v>0</v>
      </c>
      <c r="ET30" s="138">
        <f t="shared" si="41"/>
        <v>0</v>
      </c>
      <c r="EU30" s="138">
        <f t="shared" si="42"/>
        <v>0</v>
      </c>
      <c r="EV30" s="138">
        <f t="shared" si="43"/>
        <v>0</v>
      </c>
      <c r="EW30" s="138">
        <f t="shared" si="44"/>
        <v>0</v>
      </c>
      <c r="EX30" s="138">
        <f t="shared" si="45"/>
        <v>0</v>
      </c>
      <c r="EY30" s="138">
        <f t="shared" si="46"/>
        <v>0</v>
      </c>
      <c r="EZ30" s="138">
        <f t="shared" si="47"/>
        <v>0</v>
      </c>
      <c r="FA30" s="138">
        <f t="shared" si="48"/>
        <v>0</v>
      </c>
      <c r="FB30" s="138">
        <f t="shared" si="49"/>
        <v>0</v>
      </c>
      <c r="FC30" s="138">
        <f t="shared" si="50"/>
        <v>0</v>
      </c>
      <c r="FD30" s="138">
        <f t="shared" si="51"/>
        <v>0</v>
      </c>
      <c r="FE30" s="138">
        <f t="shared" si="52"/>
        <v>0</v>
      </c>
      <c r="FF30" s="138">
        <f t="shared" si="53"/>
        <v>0</v>
      </c>
      <c r="FG30" s="113">
        <f t="shared" si="54"/>
        <v>0</v>
      </c>
      <c r="FH30" s="113">
        <f t="shared" si="55"/>
        <v>23.75</v>
      </c>
      <c r="FI30" s="35"/>
      <c r="FJ30" s="151" cm="1">
        <f t="array" ref="FJ30">IF($C30="Production",
IFERROR(_xlfn.IFS(AND(DH30&gt;0,DH30+SUM(BF30:BG30)&lt;=$FM$3),DH30,AND(DH30&gt;0,DH30+SUM(BF30:BG30)&gt;$FM$3),$FM$3-SUM(BF30:BG30)),0),
IFERROR(_xlfn.IFS(AND(DH30&gt;0,DH30+BG30&lt;=$FK$3),DH30,AND(DH30&gt;0,DH30+BG30&gt;$FK$3),0),0)
)</f>
        <v>0</v>
      </c>
      <c r="FK30" s="152" cm="1">
        <f t="array" ref="FK30">IF($C30="Production",
IFERROR(_xlfn.IFS(AND(DI30&gt;0,DI30+SUM(BG30:BH30)&lt;=$FM$3),DI30,AND(DI30&gt;0,DI30+SUM(BG30:BH30)&gt;$FM$3),$FM$3-SUM(BG30:BH30)),0),
IFERROR(_xlfn.IFS(AND(DI30&gt;0,DI30+BH30&lt;=$FK$3),DI30,AND(DI30&gt;0,DI30+BH30&gt;$FK$3),0),0)
)</f>
        <v>0</v>
      </c>
      <c r="FL30" s="152" cm="1">
        <f t="array" ref="FL30">IF($C30="Production",
IFERROR(_xlfn.IFS(AND(DJ30&gt;0,DJ30+SUM(BH30:BI30)&lt;=$FM$3),DJ30,AND(DJ30&gt;0,DJ30+SUM(BH30:BI30)&gt;$FM$3),$FM$3-SUM(BH30:BI30)),0),
IFERROR(_xlfn.IFS(AND(DJ30&gt;0,DJ30+BI30&lt;=$FK$3),DJ30,AND(DJ30&gt;0,DJ30+BI30&gt;$FK$3),0),0)
)</f>
        <v>0</v>
      </c>
      <c r="FM30" s="152" cm="1">
        <f t="array" ref="FM30">IF($C30="Production",
IFERROR(_xlfn.IFS(AND(DK30&gt;0,DK30+SUM(BI30:BJ30)&lt;=$FM$3),DK30,AND(DK30&gt;0,DK30+SUM(BI30:BJ30)&gt;$FM$3),$FM$3-SUM(BI30:BJ30)),0),
IFERROR(_xlfn.IFS(AND(DK30&gt;0,DK30+BJ30&lt;=$FK$3),DK30,AND(DK30&gt;0,DK30+BJ30&gt;$FK$3),0),0)
)</f>
        <v>7.75</v>
      </c>
      <c r="FN30" s="152" cm="1">
        <f t="array" ref="FN30">IF($C30="Production",
IFERROR(_xlfn.IFS(AND(DL30&gt;0,DL30+SUM(BJ30:BK30)&lt;=$FM$3),DL30,AND(DL30&gt;0,DL30+SUM(BJ30:BK30)&gt;$FM$3),$FM$3-SUM(BJ30:BK30)),0),
IFERROR(_xlfn.IFS(AND(DL30&gt;0,DL30+BK30&lt;=$FK$3),DL30,AND(DL30&gt;0,DL30+BK30&gt;$FK$3),0),0)
)</f>
        <v>0</v>
      </c>
      <c r="FO30" s="152" cm="1">
        <f t="array" ref="FO30">IF($C30="Production",
IFERROR(_xlfn.IFS(AND(DM30&gt;0,DM30+SUM(BK30:BL30)&lt;=$FM$3),DM30,AND(DM30&gt;0,DM30+SUM(BK30:BL30)&gt;$FM$3),$FM$3-SUM(BK30:BL30)),0),
IFERROR(_xlfn.IFS(AND(DM30&gt;0,DM30+BL30&lt;=$FK$3),DM30,AND(DM30&gt;0,DM30+BL30&gt;$FK$3),0),0)
)</f>
        <v>8</v>
      </c>
      <c r="FP30" s="152" cm="1">
        <f t="array" ref="FP30">IF($C30="Production",
IFERROR(_xlfn.IFS(AND(DN30&gt;0,DN30+SUM(BL30:BM30)&lt;=$FM$3),DN30,AND(DN30&gt;0,DN30+SUM(BL30:BM30)&gt;$FM$3),$FM$3-SUM(BL30:BM30)),0),
IFERROR(_xlfn.IFS(AND(DN30&gt;0,DN30+BM30&lt;=$FK$3),DN30,AND(DN30&gt;0,DN30+BM30&gt;$FK$3),0),0)
)</f>
        <v>0</v>
      </c>
      <c r="FQ30" s="152" cm="1">
        <f t="array" ref="FQ30">IF($C30="Production",
IFERROR(_xlfn.IFS(AND(DO30&gt;0,DO30+SUM(BM30:BN30)&lt;=$FM$3),DO30,AND(DO30&gt;0,DO30+SUM(BM30:BN30)&gt;$FM$3),$FM$3-SUM(BM30:BN30)),0),
IFERROR(_xlfn.IFS(AND(DO30&gt;0,DO30+BN30&lt;=$FK$3),DO30,AND(DO30&gt;0,DO30+BN30&gt;$FK$3),0),0)
)</f>
        <v>0.25</v>
      </c>
      <c r="FR30" s="152" cm="1">
        <f t="array" ref="FR30">IF($C30="Production",
IFERROR(_xlfn.IFS(AND(DP30&gt;0,DP30+SUM(BN30:BO30)&lt;=$FM$3),DP30,AND(DP30&gt;0,DP30+SUM(BN30:BO30)&gt;$FM$3),$FM$3-SUM(BN30:BO30)),0),
IFERROR(_xlfn.IFS(AND(DP30&gt;0,DP30+BO30&lt;=$FK$3),DP30,AND(DP30&gt;0,DP30+BO30&gt;$FK$3),0),0)
)</f>
        <v>0</v>
      </c>
      <c r="FS30" s="152" cm="1">
        <f t="array" ref="FS30">IF($C30="Production",
IFERROR(_xlfn.IFS(AND(DQ30&gt;0,DQ30+SUM(BO30:BP30)&lt;=$FM$3),DQ30,AND(DQ30&gt;0,DQ30+SUM(BO30:BP30)&gt;$FM$3),$FM$3-SUM(BO30:BP30)),0),
IFERROR(_xlfn.IFS(AND(DQ30&gt;0,DQ30+BP30&lt;=$FK$3),DQ30,AND(DQ30&gt;0,DQ30+BP30&gt;$FK$3),0),0)
)</f>
        <v>7.75</v>
      </c>
      <c r="FT30" s="152" cm="1">
        <f t="array" ref="FT30">IF($C30="Production",
IFERROR(_xlfn.IFS(AND(DR30&gt;0,DR30+SUM(BP30:BQ30)&lt;=$FM$3),DR30,AND(DR30&gt;0,DR30+SUM(BP30:BQ30)&gt;$FM$3),$FM$3-SUM(BP30:BQ30)),0),
IFERROR(_xlfn.IFS(AND(DR30&gt;0,DR30+BQ30&lt;=$FK$3),DR30,AND(DR30&gt;0,DR30+BQ30&gt;$FK$3),0),0)
)</f>
        <v>0</v>
      </c>
      <c r="FU30" s="152" cm="1">
        <f t="array" ref="FU30">IF($C30="Production",
IFERROR(_xlfn.IFS(AND(DS30&gt;0,DS30+SUM(BQ30:BR30)&lt;=$FM$3),DS30,AND(DS30&gt;0,DS30+SUM(BQ30:BR30)&gt;$FM$3),$FM$3-SUM(BQ30:BR30)),0),
IFERROR(_xlfn.IFS(AND(DS30&gt;0,DS30+BR30&lt;=$FK$3),DS30,AND(DS30&gt;0,DS30+BR30&gt;$FK$3),0),0)
)</f>
        <v>0</v>
      </c>
      <c r="FV30" s="152" cm="1">
        <f t="array" ref="FV30">IF($C30="Production",
IFERROR(_xlfn.IFS(AND(DT30&gt;0,DT30+SUM(BR30:BS30)&lt;=$FM$3),DT30,AND(DT30&gt;0,DT30+SUM(BR30:BS30)&gt;$FM$3),$FM$3-SUM(BR30:BS30)),0),
IFERROR(_xlfn.IFS(AND(DT30&gt;0,DT30+BS30&lt;=$FK$3),DT30,AND(DT30&gt;0,DT30+BS30&gt;$FK$3),0),0)
)</f>
        <v>0</v>
      </c>
      <c r="FW30" s="152" cm="1">
        <f t="array" ref="FW30">IF($C30="Production",
IFERROR(_xlfn.IFS(AND(DU30&gt;0,DU30+SUM(BS30:BT30)&lt;=$FM$3),DU30,AND(DU30&gt;0,DU30+SUM(BS30:BT30)&gt;$FM$3),$FM$3-SUM(BS30:BT30)),0),
IFERROR(_xlfn.IFS(AND(DU30&gt;0,DU30+BT30&lt;=$FK$3),DU30,AND(DU30&gt;0,DU30+BT30&gt;$FK$3),0),0)
)</f>
        <v>0</v>
      </c>
      <c r="FX30" s="152" cm="1">
        <f t="array" ref="FX30">IF($C30="Production",
IFERROR(_xlfn.IFS(AND(DV30&gt;0,DV30+SUM(BT30:BU30)&lt;=$FM$3),DV30,AND(DV30&gt;0,DV30+SUM(BT30:BU30)&gt;$FM$3),$FM$3-SUM(BT30:BU30)),0),
IFERROR(_xlfn.IFS(AND(DV30&gt;0,DV30+BU30&lt;=$FK$3),DV30,AND(DV30&gt;0,DV30+BU30&gt;$FK$3),0),0)
)</f>
        <v>0</v>
      </c>
      <c r="FY30" s="152" cm="1">
        <f t="array" ref="FY30">IF($C30="Production",
IFERROR(_xlfn.IFS(AND(DW30&gt;0,DW30+SUM(BU30:BV30)&lt;=$FM$3),DW30,AND(DW30&gt;0,DW30+SUM(BU30:BV30)&gt;$FM$3),$FM$3-SUM(BU30:BV30)),0),
IFERROR(_xlfn.IFS(AND(DW30&gt;0,DW30+BV30&lt;=$FK$3),DW30,AND(DW30&gt;0,DW30+BV30&gt;$FK$3),0),0)
)</f>
        <v>0</v>
      </c>
      <c r="FZ30" s="152" cm="1">
        <f t="array" ref="FZ30">IF($C30="Production",
IFERROR(_xlfn.IFS(AND(DX30&gt;0,DX30+SUM(BV30:BW30)&lt;=$FM$3),DX30,AND(DX30&gt;0,DX30+SUM(BV30:BW30)&gt;$FM$3),$FM$3-SUM(BV30:BW30)),0),
IFERROR(_xlfn.IFS(AND(DX30&gt;0,DX30+BW30&lt;=$FK$3),DX30,AND(DX30&gt;0,DX30+BW30&gt;$FK$3),0),0)
)</f>
        <v>0</v>
      </c>
      <c r="GA30" s="152" cm="1">
        <f t="array" ref="GA30">IF($C30="Production",
IFERROR(_xlfn.IFS(AND(DY30&gt;0,DY30+SUM(BW30:BX30)&lt;=$FM$3),DY30,AND(DY30&gt;0,DY30+SUM(BW30:BX30)&gt;$FM$3),$FM$3-SUM(BW30:BX30)),0),
IFERROR(_xlfn.IFS(AND(DY30&gt;0,DY30+BX30&lt;=$FK$3),DY30,AND(DY30&gt;0,DY30+BX30&gt;$FK$3),0),0)
)</f>
        <v>0</v>
      </c>
      <c r="GB30" s="152" cm="1">
        <f t="array" ref="GB30">IF($C30="Production",
IFERROR(_xlfn.IFS(AND(DZ30&gt;0,DZ30+SUM(BX30:BY30)&lt;=$FM$3),DZ30,AND(DZ30&gt;0,DZ30+SUM(BX30:BY30)&gt;$FM$3),$FM$3-SUM(BX30:BY30)),0),
IFERROR(_xlfn.IFS(AND(DZ30&gt;0,DZ30+BY30&lt;=$FK$3),DZ30,AND(DZ30&gt;0,DZ30+BY30&gt;$FK$3),0),0)
)</f>
        <v>0</v>
      </c>
      <c r="GC30" s="152" cm="1">
        <f t="array" ref="GC30">IF($C30="Production",
IFERROR(_xlfn.IFS(AND(EA30&gt;0,EA30+SUM(BY30:BZ30)&lt;=$FM$3),EA30,AND(EA30&gt;0,EA30+SUM(BY30:BZ30)&gt;$FM$3),$FM$3-SUM(BY30:BZ30)),0),
IFERROR(_xlfn.IFS(AND(EA30&gt;0,EA30+BZ30&lt;=$FK$3),EA30,AND(EA30&gt;0,EA30+BZ30&gt;$FK$3),0),0)
)</f>
        <v>0</v>
      </c>
      <c r="GD30" s="152" cm="1">
        <f t="array" ref="GD30">IF($C30="Production",
IFERROR(_xlfn.IFS(AND(EB30&gt;0,EB30+SUM(BZ30:CA30)&lt;=$FM$3),EB30,AND(EB30&gt;0,EB30+SUM(BZ30:CA30)&gt;$FM$3),$FM$3-SUM(BZ30:CA30)),0),
IFERROR(_xlfn.IFS(AND(EB30&gt;0,EB30+CA30&lt;=$FK$3),EB30,AND(EB30&gt;0,EB30+CA30&gt;$FK$3),0),0)
)</f>
        <v>0</v>
      </c>
      <c r="GE30" s="152" cm="1">
        <f t="array" ref="GE30">IF($C30="Production",
IFERROR(_xlfn.IFS(AND(EC30&gt;0,EC30+SUM(CA30:CB30)&lt;=$FM$3),EC30,AND(EC30&gt;0,EC30+SUM(CA30:CB30)&gt;$FM$3),$FM$3-SUM(CA30:CB30)),0),
IFERROR(_xlfn.IFS(AND(EC30&gt;0,EC30+CB30&lt;=$FK$3),EC30,AND(EC30&gt;0,EC30+CB30&gt;$FK$3),0),0)
)</f>
        <v>0</v>
      </c>
      <c r="GF30" s="152" cm="1">
        <f t="array" ref="GF30">IF($C30="Production",
IFERROR(_xlfn.IFS(AND(ED30&gt;0,ED30+SUM(CB30:CC30)&lt;=$FM$3),ED30,AND(ED30&gt;0,ED30+SUM(CB30:CC30)&gt;$FM$3),$FM$3-SUM(CB30:CC30)),0),
IFERROR(_xlfn.IFS(AND(ED30&gt;0,ED30+CC30&lt;=$FK$3),ED30,AND(ED30&gt;0,ED30+CC30&gt;$FK$3),0),0)
)</f>
        <v>0</v>
      </c>
      <c r="GG30" s="152" cm="1">
        <f t="array" ref="GG30">IF($C30="Production",
IFERROR(_xlfn.IFS(AND(EE30&gt;0,EE30+SUM(CC30:CD30)&lt;=$FM$3),EE30,AND(EE30&gt;0,EE30+SUM(CC30:CD30)&gt;$FM$3),$FM$3-SUM(CC30:CD30)),0),
IFERROR(_xlfn.IFS(AND(EE30&gt;0,EE30+CD30&lt;=$FK$3),EE30,AND(EE30&gt;0,EE30+CD30&gt;$FK$3),0),0)
)</f>
        <v>0</v>
      </c>
      <c r="GH30" s="152" cm="1">
        <f t="array" ref="GH30">IF($C30="Production",
IFERROR(_xlfn.IFS(AND(EF30&gt;0,EF30+SUM(CD30:CE30)&lt;=$FM$3),EF30,AND(EF30&gt;0,EF30+SUM(CD30:CE30)&gt;$FM$3),$FM$3-SUM(CD30:CE30)),0),
IFERROR(_xlfn.IFS(AND(EF30&gt;0,EF30+CE30&lt;=$FK$3),EF30,AND(EF30&gt;0,EF30+CE30&gt;$FK$3),0),0)
)</f>
        <v>0</v>
      </c>
      <c r="GI30" s="152" cm="1">
        <f t="array" ref="GI30">IF($C30="Production",
IFERROR(_xlfn.IFS(AND(EG30&gt;0,EG30+SUM(CE30:CF30)&lt;=$FM$3),EG30,AND(EG30&gt;0,EG30+SUM(CE30:CF30)&gt;$FM$3),$FM$3-SUM(CE30:CF30)),0),
IFERROR(_xlfn.IFS(AND(EG30&gt;0,EG30+CF30&lt;=$FK$3),EG30,AND(EG30&gt;0,EG30+CF30&gt;$FK$3),0),0)
)</f>
        <v>0</v>
      </c>
      <c r="GJ30" s="152" cm="1">
        <f t="array" ref="GJ30">IF($C30="Production",
IFERROR(_xlfn.IFS(AND(EH30&gt;0,EH30+SUM(CF30:CG30)&lt;=$FM$3),EH30,AND(EH30&gt;0,EH30+SUM(CF30:CG30)&gt;$FM$3),$FM$3-SUM(CF30:CG30)),0),
IFERROR(_xlfn.IFS(AND(EH30&gt;0,EH30+CG30&lt;=$FK$3),EH30,AND(EH30&gt;0,EH30+CG30&gt;$FK$3),0),0)
)</f>
        <v>0</v>
      </c>
      <c r="GK30" s="152" cm="1">
        <f t="array" ref="GK30">IF($C30="Production",
IFERROR(_xlfn.IFS(AND(EI30&gt;0,EI30+SUM(CG30:CH30)&lt;=$FM$3),EI30,AND(EI30&gt;0,EI30+SUM(CG30:CH30)&gt;$FM$3),$FM$3-SUM(CG30:CH30)),0),
IFERROR(_xlfn.IFS(AND(EI30&gt;0,EI30+CH30&lt;=$FK$3),EI30,AND(EI30&gt;0,EI30+CH30&gt;$FK$3),0),0)
)</f>
        <v>0</v>
      </c>
      <c r="GL30" s="152" cm="1">
        <f t="array" ref="GL30">IF($C30="Production",
IFERROR(_xlfn.IFS(AND(EJ30&gt;0,EJ30+SUM(CH30:CI30)&lt;=$FM$3),EJ30,AND(EJ30&gt;0,EJ30+SUM(CH30:CI30)&gt;$FM$3),$FM$3-SUM(CH30:CI30)),0),
IFERROR(_xlfn.IFS(AND(EJ30&gt;0,EJ30+CI30&lt;=$FK$3),EJ30,AND(EJ30&gt;0,EJ30+CI30&gt;$FK$3),0),0)
)</f>
        <v>0</v>
      </c>
      <c r="GM30" s="152" cm="1">
        <f t="array" ref="GM30">IF($C30="Production",
IFERROR(_xlfn.IFS(AND(EK30&gt;0,EK30+SUM(CI30:CJ30)&lt;=$FM$3),EK30,AND(EK30&gt;0,EK30+SUM(CI30:CJ30)&gt;$FM$3),$FM$3-SUM(CI30:CJ30)),0),
IFERROR(_xlfn.IFS(AND(EK30&gt;0,EK30+CJ30&lt;=$FK$3),EK30,AND(EK30&gt;0,EK30+CJ30&gt;$FK$3),0),0)
)</f>
        <v>0</v>
      </c>
      <c r="GN30" s="152" cm="1">
        <f t="array" ref="GN30">IF($C30="Production",
IFERROR(_xlfn.IFS(AND(EL30&gt;0,EL30+SUM(CJ30:CK30)&lt;=$FM$3),EL30,AND(EL30&gt;0,EL30+SUM(CJ30:CK30)&gt;$FM$3),$FM$3-SUM(CJ30:CK30)),0),
IFERROR(_xlfn.IFS(AND(EL30&gt;0,EL30+CK30&lt;=$FK$3),EL30,AND(EL30&gt;0,EL30+CK30&gt;$FK$3),0),0)
)</f>
        <v>0</v>
      </c>
      <c r="GO30" s="152" cm="1">
        <f t="array" ref="GO30">IF($C30="Production",
IFERROR(_xlfn.IFS(AND(EM30&gt;0,EM30+SUM(CK30:CL30)&lt;=$FM$3),EM30,AND(EM30&gt;0,EM30+SUM(CK30:CL30)&gt;$FM$3),$FM$3-SUM(CK30:CL30)),0),
IFERROR(_xlfn.IFS(AND(EM30&gt;0,EM30+CL30&lt;=$FK$3),EM30,AND(EM30&gt;0,EM30+CL30&gt;$FK$3),0),0)
)</f>
        <v>0</v>
      </c>
      <c r="GP30" s="152" cm="1">
        <f t="array" ref="GP30">IF($C30="Production",
IFERROR(_xlfn.IFS(AND(EN30&gt;0,EN30+SUM(CL30:CM30)&lt;=$FM$3),EN30,AND(EN30&gt;0,EN30+SUM(CL30:CM30)&gt;$FM$3),$FM$3-SUM(CL30:CM30)),0),
IFERROR(_xlfn.IFS(AND(EN30&gt;0,EN30+CM30&lt;=$FK$3),EN30,AND(EN30&gt;0,EN30+CM30&gt;$FK$3),0),0)
)</f>
        <v>0</v>
      </c>
      <c r="GQ30" s="152" cm="1">
        <f t="array" ref="GQ30">IF($C30="Production",
IFERROR(_xlfn.IFS(AND(EO30&gt;0,EO30+SUM(CM30:CN30)&lt;=$FM$3),EO30,AND(EO30&gt;0,EO30+SUM(CM30:CN30)&gt;$FM$3),$FM$3-SUM(CM30:CN30)),0),
IFERROR(_xlfn.IFS(AND(EO30&gt;0,EO30+CN30&lt;=$FK$3),EO30,AND(EO30&gt;0,EO30+CN30&gt;$FK$3),0),0)
)</f>
        <v>0</v>
      </c>
      <c r="GR30" s="152" cm="1">
        <f t="array" ref="GR30">IF($C30="Production",
IFERROR(_xlfn.IFS(AND(EP30&gt;0,EP30+SUM(CN30:CO30)&lt;=$FM$3),EP30,AND(EP30&gt;0,EP30+SUM(CN30:CO30)&gt;$FM$3),$FM$3-SUM(CN30:CO30)),0),
IFERROR(_xlfn.IFS(AND(EP30&gt;0,EP30+CO30&lt;=$FK$3),EP30,AND(EP30&gt;0,EP30+CO30&gt;$FK$3),0),0)
)</f>
        <v>0</v>
      </c>
      <c r="GS30" s="152" cm="1">
        <f t="array" ref="GS30">IF($C30="Production",
IFERROR(_xlfn.IFS(AND(EQ30&gt;0,EQ30+SUM(CO30:CP30)&lt;=$FM$3),EQ30,AND(EQ30&gt;0,EQ30+SUM(CO30:CP30)&gt;$FM$3),$FM$3-SUM(CO30:CP30)),0),
IFERROR(_xlfn.IFS(AND(EQ30&gt;0,EQ30+CP30&lt;=$FK$3),EQ30,AND(EQ30&gt;0,EQ30+CP30&gt;$FK$3),0),0)
)</f>
        <v>0</v>
      </c>
      <c r="GT30" s="152" cm="1">
        <f t="array" ref="GT30">IF($C30="Production",
IFERROR(_xlfn.IFS(AND(ER30&gt;0,ER30+SUM(CP30:CQ30)&lt;=$FM$3),ER30,AND(ER30&gt;0,ER30+SUM(CP30:CQ30)&gt;$FM$3),$FM$3-SUM(CP30:CQ30)),0),
IFERROR(_xlfn.IFS(AND(ER30&gt;0,ER30+CQ30&lt;=$FK$3),ER30,AND(ER30&gt;0,ER30+CQ30&gt;$FK$3),0),0)
)</f>
        <v>0</v>
      </c>
      <c r="GU30" s="152" cm="1">
        <f t="array" ref="GU30">IF($C30="Production",
IFERROR(_xlfn.IFS(AND(ES30&gt;0,ES30+SUM(CQ30:CR30)&lt;=$FM$3),ES30,AND(ES30&gt;0,ES30+SUM(CQ30:CR30)&gt;$FM$3),$FM$3-SUM(CQ30:CR30)),0),
IFERROR(_xlfn.IFS(AND(ES30&gt;0,ES30+CR30&lt;=$FK$3),ES30,AND(ES30&gt;0,ES30+CR30&gt;$FK$3),0),0)
)</f>
        <v>0</v>
      </c>
      <c r="GV30" s="152" cm="1">
        <f t="array" ref="GV30">IF($C30="Production",
IFERROR(_xlfn.IFS(AND(ET30&gt;0,ET30+SUM(CR30:CS30)&lt;=$FM$3),ET30,AND(ET30&gt;0,ET30+SUM(CR30:CS30)&gt;$FM$3),$FM$3-SUM(CR30:CS30)),0),
IFERROR(_xlfn.IFS(AND(ET30&gt;0,ET30+CS30&lt;=$FK$3),ET30,AND(ET30&gt;0,ET30+CS30&gt;$FK$3),0),0)
)</f>
        <v>0</v>
      </c>
      <c r="GW30" s="152" cm="1">
        <f t="array" ref="GW30">IF($C30="Production",
IFERROR(_xlfn.IFS(AND(EU30&gt;0,EU30+SUM(CS30:CT30)&lt;=$FM$3),EU30,AND(EU30&gt;0,EU30+SUM(CS30:CT30)&gt;$FM$3),$FM$3-SUM(CS30:CT30)),0),
IFERROR(_xlfn.IFS(AND(EU30&gt;0,EU30+CT30&lt;=$FK$3),EU30,AND(EU30&gt;0,EU30+CT30&gt;$FK$3),0),0)
)</f>
        <v>0</v>
      </c>
      <c r="GX30" s="152" cm="1">
        <f t="array" ref="GX30">IF($C30="Production",
IFERROR(_xlfn.IFS(AND(EV30&gt;0,EV30+SUM(CT30:CU30)&lt;=$FM$3),EV30,AND(EV30&gt;0,EV30+SUM(CT30:CU30)&gt;$FM$3),$FM$3-SUM(CT30:CU30)),0),
IFERROR(_xlfn.IFS(AND(EV30&gt;0,EV30+CU30&lt;=$FK$3),EV30,AND(EV30&gt;0,EV30+CU30&gt;$FK$3),0),0)
)</f>
        <v>0</v>
      </c>
      <c r="GY30" s="152" cm="1">
        <f t="array" ref="GY30">IF($C30="Production",
IFERROR(_xlfn.IFS(AND(EW30&gt;0,EW30+SUM(CU30:CV30)&lt;=$FM$3),EW30,AND(EW30&gt;0,EW30+SUM(CU30:CV30)&gt;$FM$3),$FM$3-SUM(CU30:CV30)),0),
IFERROR(_xlfn.IFS(AND(EW30&gt;0,EW30+CV30&lt;=$FK$3),EW30,AND(EW30&gt;0,EW30+CV30&gt;$FK$3),0),0)
)</f>
        <v>0</v>
      </c>
      <c r="GZ30" s="152" cm="1">
        <f t="array" ref="GZ30">IF($C30="Production",
IFERROR(_xlfn.IFS(AND(EX30&gt;0,EX30+SUM(CV30:CW30)&lt;=$FM$3),EX30,AND(EX30&gt;0,EX30+SUM(CV30:CW30)&gt;$FM$3),$FM$3-SUM(CV30:CW30)),0),
IFERROR(_xlfn.IFS(AND(EX30&gt;0,EX30+CW30&lt;=$FK$3),EX30,AND(EX30&gt;0,EX30+CW30&gt;$FK$3),0),0)
)</f>
        <v>0</v>
      </c>
      <c r="HA30" s="152" cm="1">
        <f t="array" ref="HA30">IF($C30="Production",
IFERROR(_xlfn.IFS(AND(EY30&gt;0,EY30+SUM(CW30:CX30)&lt;=$FM$3),EY30,AND(EY30&gt;0,EY30+SUM(CW30:CX30)&gt;$FM$3),$FM$3-SUM(CW30:CX30)),0),
IFERROR(_xlfn.IFS(AND(EY30&gt;0,EY30+CX30&lt;=$FK$3),EY30,AND(EY30&gt;0,EY30+CX30&gt;$FK$3),0),0)
)</f>
        <v>0</v>
      </c>
      <c r="HB30" s="152" cm="1">
        <f t="array" ref="HB30">IF($C30="Production",
IFERROR(_xlfn.IFS(AND(EZ30&gt;0,EZ30+SUM(CX30:CY30)&lt;=$FM$3),EZ30,AND(EZ30&gt;0,EZ30+SUM(CX30:CY30)&gt;$FM$3),$FM$3-SUM(CX30:CY30)),0),
IFERROR(_xlfn.IFS(AND(EZ30&gt;0,EZ30+CY30&lt;=$FK$3),EZ30,AND(EZ30&gt;0,EZ30+CY30&gt;$FK$3),0),0)
)</f>
        <v>0</v>
      </c>
      <c r="HC30" s="152" cm="1">
        <f t="array" ref="HC30">IF($C30="Production",
IFERROR(_xlfn.IFS(AND(FA30&gt;0,FA30+SUM(CY30:CZ30)&lt;=$FM$3),FA30,AND(FA30&gt;0,FA30+SUM(CY30:CZ30)&gt;$FM$3),$FM$3-SUM(CY30:CZ30)),0),
IFERROR(_xlfn.IFS(AND(FA30&gt;0,FA30+CZ30&lt;=$FK$3),FA30,AND(FA30&gt;0,FA30+CZ30&gt;$FK$3),0),0)
)</f>
        <v>0</v>
      </c>
      <c r="HD30" s="152" cm="1">
        <f t="array" ref="HD30">IF($C30="Production",
IFERROR(_xlfn.IFS(AND(FB30&gt;0,FB30+SUM(CZ30:DA30)&lt;=$FM$3),FB30,AND(FB30&gt;0,FB30+SUM(CZ30:DA30)&gt;$FM$3),$FM$3-SUM(CZ30:DA30)),0),
IFERROR(_xlfn.IFS(AND(FB30&gt;0,FB30+DA30&lt;=$FK$3),FB30,AND(FB30&gt;0,FB30+DA30&gt;$FK$3),0),0)
)</f>
        <v>0</v>
      </c>
      <c r="HE30" s="152" cm="1">
        <f t="array" ref="HE30">IF($C30="Production",
IFERROR(_xlfn.IFS(AND(FC30&gt;0,FC30+SUM(DA30:DB30)&lt;=$FM$3),FC30,AND(FC30&gt;0,FC30+SUM(DA30:DB30)&gt;$FM$3),$FM$3-SUM(DA30:DB30)),0),
IFERROR(_xlfn.IFS(AND(FC30&gt;0,FC30+DB30&lt;=$FK$3),FC30,AND(FC30&gt;0,FC30+DB30&gt;$FK$3),0),0)
)</f>
        <v>0</v>
      </c>
      <c r="HF30" s="152" cm="1">
        <f t="array" ref="HF30">IF($C30="Production",
IFERROR(_xlfn.IFS(AND(FD30&gt;0,FD30+SUM(DB30:DC30)&lt;=$FM$3),FD30,AND(FD30&gt;0,FD30+SUM(DB30:DC30)&gt;$FM$3),$FM$3-SUM(DB30:DC30)),0),
IFERROR(_xlfn.IFS(AND(FD30&gt;0,FD30+DC30&lt;=$FK$3),FD30,AND(FD30&gt;0,FD30+DC30&gt;$FK$3),0),0)
)</f>
        <v>0</v>
      </c>
      <c r="HG30" s="152" cm="1">
        <f t="array" ref="HG30">IF($C30="Production",
IFERROR(_xlfn.IFS(AND(FE30&gt;0,FE30+SUM(DC30:DD30)&lt;=$FM$3),FE30,AND(FE30&gt;0,FE30+SUM(DC30:DD30)&gt;$FM$3),$FM$3-SUM(DC30:DD30)),0),
IFERROR(_xlfn.IFS(AND(FE30&gt;0,FE30+DD30&lt;=$FK$3),FE30,AND(FE30&gt;0,FE30+DD30&gt;$FK$3),0),0)
)</f>
        <v>0</v>
      </c>
      <c r="HH30" s="152" cm="1">
        <f t="array" ref="HH30">IF($C30="Production",
IFERROR(_xlfn.IFS(AND(FF30&gt;0,FF30+SUM(DD30:DE30)&lt;=$FM$3),FF30,AND(FF30&gt;0,FF30+SUM(DD30:DE30)&gt;$FM$3),$FM$3-SUM(DD30:DE30)),0),
IFERROR(_xlfn.IFS(AND(FF30&gt;0,FF30+DE30&lt;=$FK$3),FF30,AND(FF30&gt;0,FF30+DE30&gt;$FK$3),0),0)
)</f>
        <v>0</v>
      </c>
      <c r="HI30" s="156" cm="1">
        <f t="array" ref="HI30">IF($C30="Production",
IFERROR(_xlfn.IFS(AND(FG30&gt;0,FG30+SUM(DE30:DF30)&lt;=$FM$3),FG30,AND(FG30&gt;0,FG30+SUM(DE30:DF30)&gt;$FM$3),$FM$3-SUM(DE30:DF30)),0),
IFERROR(_xlfn.IFS(AND(FG30&gt;0,FG30+DF30&lt;=$FK$3),FG30,AND(FG30&gt;0,FG30+DF30&gt;$FK$3),0),0)
)</f>
        <v>0</v>
      </c>
      <c r="HJ30" s="113">
        <f t="shared" si="110"/>
        <v>23.75</v>
      </c>
      <c r="HK30" s="80"/>
      <c r="HL30" s="112">
        <f t="shared" si="56"/>
        <v>0</v>
      </c>
      <c r="HM30" s="138">
        <f t="shared" si="57"/>
        <v>0</v>
      </c>
      <c r="HN30" s="138">
        <f t="shared" si="58"/>
        <v>0</v>
      </c>
      <c r="HO30" s="138">
        <f t="shared" si="59"/>
        <v>0</v>
      </c>
      <c r="HP30" s="138">
        <f t="shared" si="60"/>
        <v>0</v>
      </c>
      <c r="HQ30" s="138">
        <f t="shared" si="61"/>
        <v>0</v>
      </c>
      <c r="HR30" s="138">
        <f t="shared" si="62"/>
        <v>0</v>
      </c>
      <c r="HS30" s="138">
        <f t="shared" si="63"/>
        <v>0</v>
      </c>
      <c r="HT30" s="138">
        <f t="shared" si="64"/>
        <v>0</v>
      </c>
      <c r="HU30" s="138">
        <f t="shared" si="65"/>
        <v>0</v>
      </c>
      <c r="HV30" s="138">
        <f t="shared" si="66"/>
        <v>0</v>
      </c>
      <c r="HW30" s="138">
        <f t="shared" si="67"/>
        <v>0</v>
      </c>
      <c r="HX30" s="138">
        <f t="shared" si="68"/>
        <v>0</v>
      </c>
      <c r="HY30" s="138">
        <f t="shared" si="69"/>
        <v>0</v>
      </c>
      <c r="HZ30" s="138">
        <f t="shared" si="70"/>
        <v>0</v>
      </c>
      <c r="IA30" s="138">
        <f t="shared" si="71"/>
        <v>0</v>
      </c>
      <c r="IB30" s="138">
        <f t="shared" si="72"/>
        <v>0</v>
      </c>
      <c r="IC30" s="138">
        <f t="shared" si="73"/>
        <v>0</v>
      </c>
      <c r="ID30" s="138">
        <f t="shared" si="74"/>
        <v>0</v>
      </c>
      <c r="IE30" s="138">
        <f t="shared" si="75"/>
        <v>0</v>
      </c>
      <c r="IF30" s="138">
        <f t="shared" si="76"/>
        <v>0</v>
      </c>
      <c r="IG30" s="138">
        <f t="shared" si="77"/>
        <v>0</v>
      </c>
      <c r="IH30" s="138">
        <f t="shared" si="78"/>
        <v>0</v>
      </c>
      <c r="II30" s="138">
        <f t="shared" si="79"/>
        <v>0</v>
      </c>
      <c r="IJ30" s="138">
        <f t="shared" si="80"/>
        <v>0</v>
      </c>
      <c r="IK30" s="138">
        <f t="shared" si="81"/>
        <v>0</v>
      </c>
      <c r="IL30" s="138">
        <f t="shared" si="82"/>
        <v>0</v>
      </c>
      <c r="IM30" s="138">
        <f t="shared" si="83"/>
        <v>0</v>
      </c>
      <c r="IN30" s="138">
        <f t="shared" si="84"/>
        <v>0</v>
      </c>
      <c r="IO30" s="138">
        <f t="shared" si="85"/>
        <v>0</v>
      </c>
      <c r="IP30" s="138">
        <f t="shared" si="86"/>
        <v>0</v>
      </c>
      <c r="IQ30" s="138">
        <f t="shared" si="87"/>
        <v>0</v>
      </c>
      <c r="IR30" s="138">
        <f t="shared" si="88"/>
        <v>0</v>
      </c>
      <c r="IS30" s="138">
        <f t="shared" si="89"/>
        <v>0</v>
      </c>
      <c r="IT30" s="138">
        <f t="shared" si="90"/>
        <v>0</v>
      </c>
      <c r="IU30" s="138">
        <f t="shared" si="91"/>
        <v>0</v>
      </c>
      <c r="IV30" s="138">
        <f t="shared" si="92"/>
        <v>0</v>
      </c>
      <c r="IW30" s="138">
        <f t="shared" si="93"/>
        <v>0</v>
      </c>
      <c r="IX30" s="138">
        <f t="shared" si="94"/>
        <v>0</v>
      </c>
      <c r="IY30" s="138">
        <f t="shared" si="95"/>
        <v>0</v>
      </c>
      <c r="IZ30" s="138">
        <f t="shared" si="96"/>
        <v>0</v>
      </c>
      <c r="JA30" s="138">
        <f t="shared" si="97"/>
        <v>0</v>
      </c>
      <c r="JB30" s="138">
        <f t="shared" si="98"/>
        <v>0</v>
      </c>
      <c r="JC30" s="138">
        <f t="shared" si="99"/>
        <v>0</v>
      </c>
      <c r="JD30" s="138">
        <f t="shared" si="100"/>
        <v>0</v>
      </c>
      <c r="JE30" s="138">
        <f t="shared" si="101"/>
        <v>0</v>
      </c>
      <c r="JF30" s="138">
        <f t="shared" si="102"/>
        <v>0</v>
      </c>
      <c r="JG30" s="138">
        <f t="shared" si="103"/>
        <v>0</v>
      </c>
      <c r="JH30" s="138">
        <f t="shared" si="104"/>
        <v>0</v>
      </c>
      <c r="JI30" s="138">
        <f t="shared" si="105"/>
        <v>0</v>
      </c>
      <c r="JJ30" s="138">
        <f t="shared" si="106"/>
        <v>0</v>
      </c>
      <c r="JK30" s="138">
        <f t="shared" si="107"/>
        <v>0</v>
      </c>
      <c r="JL30" s="118">
        <f t="shared" si="111"/>
        <v>0</v>
      </c>
      <c r="JO30" s="90">
        <f t="shared" si="112"/>
        <v>23.75</v>
      </c>
      <c r="JP30" s="79">
        <f t="shared" si="108"/>
        <v>0</v>
      </c>
      <c r="JQ30" s="91">
        <f t="shared" si="2"/>
        <v>29.6875</v>
      </c>
      <c r="JS30" s="123">
        <f t="shared" si="109"/>
        <v>0</v>
      </c>
      <c r="JU30" s="123">
        <f t="shared" si="113"/>
        <v>29.6875</v>
      </c>
    </row>
    <row r="31" spans="2:281" x14ac:dyDescent="0.15">
      <c r="B31" s="82" t="str">
        <f>'MODU 2025'!B34</f>
        <v>OUDAN Manon</v>
      </c>
      <c r="C31" s="82" t="str">
        <f>'MODU 2025'!C34</f>
        <v>Production</v>
      </c>
      <c r="D31" s="82">
        <f>'MODU 2025'!D34</f>
        <v>37</v>
      </c>
      <c r="E31" s="82"/>
      <c r="F31" s="133">
        <f>'MODU 2025'!G34</f>
        <v>41</v>
      </c>
      <c r="G31" s="140">
        <f>'MODU 2025'!H34</f>
        <v>33</v>
      </c>
      <c r="H31" s="140">
        <f>'MODU 2025'!I34</f>
        <v>41</v>
      </c>
      <c r="I31" s="140">
        <f>'MODU 2025'!J34</f>
        <v>33</v>
      </c>
      <c r="J31" s="140">
        <f>'MODU 2025'!K34</f>
        <v>39.5</v>
      </c>
      <c r="K31" s="140">
        <f>'MODU 2025'!L34</f>
        <v>40.75</v>
      </c>
      <c r="L31" s="140">
        <f>'MODU 2025'!M34</f>
        <v>41.25</v>
      </c>
      <c r="M31" s="140">
        <f>'MODU 2025'!N34</f>
        <v>33</v>
      </c>
      <c r="N31" s="140">
        <f>'MODU 2025'!O34</f>
        <v>41</v>
      </c>
      <c r="O31" s="140">
        <f>'MODU 2025'!P34</f>
        <v>33</v>
      </c>
      <c r="P31" s="140">
        <f>'MODU 2025'!Q34</f>
        <v>41</v>
      </c>
      <c r="Q31" s="140">
        <f>'MODU 2025'!R34</f>
        <v>33</v>
      </c>
      <c r="R31" s="140">
        <f>'MODU 2025'!S34</f>
        <v>41</v>
      </c>
      <c r="S31" s="140">
        <f>'MODU 2025'!T34</f>
        <v>33</v>
      </c>
      <c r="T31" s="140">
        <f>'MODU 2025'!U34</f>
        <v>41</v>
      </c>
      <c r="U31" s="140">
        <f>'MODU 2025'!V34</f>
        <v>33</v>
      </c>
      <c r="V31" s="140">
        <f>'MODU 2025'!W34</f>
        <v>41</v>
      </c>
      <c r="W31" s="140">
        <f>'MODU 2025'!X34</f>
        <v>33</v>
      </c>
      <c r="X31" s="140">
        <f>'MODU 2025'!Y34</f>
        <v>41</v>
      </c>
      <c r="Y31" s="140">
        <f>'MODU 2025'!Z34</f>
        <v>33</v>
      </c>
      <c r="Z31" s="140">
        <f>'MODU 2025'!AA34</f>
        <v>41</v>
      </c>
      <c r="AA31" s="140">
        <f>'MODU 2025'!AB34</f>
        <v>33</v>
      </c>
      <c r="AB31" s="140">
        <f>'MODU 2025'!AC34</f>
        <v>41</v>
      </c>
      <c r="AC31" s="140">
        <f>'MODU 2025'!AD34</f>
        <v>33</v>
      </c>
      <c r="AD31" s="140">
        <f>'MODU 2025'!AE34</f>
        <v>41</v>
      </c>
      <c r="AE31" s="140">
        <f>'MODU 2025'!AF34</f>
        <v>33</v>
      </c>
      <c r="AF31" s="140">
        <f>'MODU 2025'!AG34</f>
        <v>41</v>
      </c>
      <c r="AG31" s="140">
        <f>'MODU 2025'!AH34</f>
        <v>33</v>
      </c>
      <c r="AH31" s="140">
        <f>'MODU 2025'!AI34</f>
        <v>41</v>
      </c>
      <c r="AI31" s="140">
        <f>'MODU 2025'!AJ34</f>
        <v>33</v>
      </c>
      <c r="AJ31" s="140">
        <f>'MODU 2025'!AK34</f>
        <v>41</v>
      </c>
      <c r="AK31" s="140">
        <f>'MODU 2025'!AL34</f>
        <v>33</v>
      </c>
      <c r="AL31" s="140">
        <f>'MODU 2025'!AM34</f>
        <v>41</v>
      </c>
      <c r="AM31" s="140">
        <f>'MODU 2025'!AN34</f>
        <v>33</v>
      </c>
      <c r="AN31" s="140">
        <f>'MODU 2025'!AO34</f>
        <v>41</v>
      </c>
      <c r="AO31" s="140">
        <f>'MODU 2025'!AP34</f>
        <v>33</v>
      </c>
      <c r="AP31" s="140">
        <f>'MODU 2025'!AQ34</f>
        <v>41</v>
      </c>
      <c r="AQ31" s="140">
        <f>'MODU 2025'!AR34</f>
        <v>33</v>
      </c>
      <c r="AR31" s="140">
        <f>'MODU 2025'!AS34</f>
        <v>41</v>
      </c>
      <c r="AS31" s="140">
        <f>'MODU 2025'!AT34</f>
        <v>33</v>
      </c>
      <c r="AT31" s="140">
        <f>'MODU 2025'!AU34</f>
        <v>41</v>
      </c>
      <c r="AU31" s="140">
        <f>'MODU 2025'!AV34</f>
        <v>33</v>
      </c>
      <c r="AV31" s="140">
        <f>'MODU 2025'!AW34</f>
        <v>41</v>
      </c>
      <c r="AW31" s="140">
        <f>'MODU 2025'!AX34</f>
        <v>33</v>
      </c>
      <c r="AX31" s="140">
        <f>'MODU 2025'!AY34</f>
        <v>41</v>
      </c>
      <c r="AY31" s="140">
        <f>'MODU 2025'!AZ34</f>
        <v>33</v>
      </c>
      <c r="AZ31" s="140">
        <f>'MODU 2025'!BA34</f>
        <v>41</v>
      </c>
      <c r="BA31" s="140">
        <f>'MODU 2025'!BB34</f>
        <v>33</v>
      </c>
      <c r="BB31" s="140">
        <f>'MODU 2025'!BC34</f>
        <v>41</v>
      </c>
      <c r="BC31" s="140">
        <f>'MODU 2025'!BD34</f>
        <v>33</v>
      </c>
      <c r="BD31" s="140">
        <f>'MODU 2025'!BE34</f>
        <v>41</v>
      </c>
      <c r="BE31" s="134">
        <f>'MODU 2025'!BF34</f>
        <v>33</v>
      </c>
      <c r="BF31" s="82"/>
      <c r="BG31" s="107">
        <v>41</v>
      </c>
      <c r="BH31" s="145">
        <v>33</v>
      </c>
      <c r="BI31" s="145">
        <v>41</v>
      </c>
      <c r="BJ31" s="145">
        <v>33</v>
      </c>
      <c r="BK31" s="145">
        <v>41</v>
      </c>
      <c r="BL31" s="145">
        <v>33</v>
      </c>
      <c r="BM31" s="145">
        <v>41</v>
      </c>
      <c r="BN31" s="145">
        <v>33</v>
      </c>
      <c r="BO31" s="145">
        <v>41</v>
      </c>
      <c r="BP31" s="145">
        <v>33</v>
      </c>
      <c r="BQ31" s="145">
        <v>41</v>
      </c>
      <c r="BR31" s="145">
        <v>33</v>
      </c>
      <c r="BS31" s="145">
        <v>41</v>
      </c>
      <c r="BT31" s="145">
        <v>33</v>
      </c>
      <c r="BU31" s="145">
        <v>41</v>
      </c>
      <c r="BV31" s="145">
        <v>33</v>
      </c>
      <c r="BW31" s="145">
        <v>41</v>
      </c>
      <c r="BX31" s="145">
        <v>33</v>
      </c>
      <c r="BY31" s="145">
        <v>41</v>
      </c>
      <c r="BZ31" s="145">
        <v>33</v>
      </c>
      <c r="CA31" s="145">
        <v>41</v>
      </c>
      <c r="CB31" s="145">
        <v>33</v>
      </c>
      <c r="CC31" s="145">
        <v>41</v>
      </c>
      <c r="CD31" s="145">
        <v>33</v>
      </c>
      <c r="CE31" s="145">
        <v>41</v>
      </c>
      <c r="CF31" s="145">
        <v>33</v>
      </c>
      <c r="CG31" s="145">
        <v>41</v>
      </c>
      <c r="CH31" s="145">
        <v>33</v>
      </c>
      <c r="CI31" s="145">
        <v>41</v>
      </c>
      <c r="CJ31" s="145">
        <v>33</v>
      </c>
      <c r="CK31" s="145">
        <v>41</v>
      </c>
      <c r="CL31" s="145">
        <v>33</v>
      </c>
      <c r="CM31" s="145">
        <v>41</v>
      </c>
      <c r="CN31" s="145">
        <v>33</v>
      </c>
      <c r="CO31" s="145">
        <v>41</v>
      </c>
      <c r="CP31" s="145">
        <v>33</v>
      </c>
      <c r="CQ31" s="145">
        <v>41</v>
      </c>
      <c r="CR31" s="145">
        <v>33</v>
      </c>
      <c r="CS31" s="145">
        <v>41</v>
      </c>
      <c r="CT31" s="145">
        <v>33</v>
      </c>
      <c r="CU31" s="145">
        <v>41</v>
      </c>
      <c r="CV31" s="145">
        <v>33</v>
      </c>
      <c r="CW31" s="145">
        <v>41</v>
      </c>
      <c r="CX31" s="145">
        <v>33</v>
      </c>
      <c r="CY31" s="145">
        <v>41</v>
      </c>
      <c r="CZ31" s="145">
        <v>33</v>
      </c>
      <c r="DA31" s="145">
        <v>41</v>
      </c>
      <c r="DB31" s="145">
        <v>33</v>
      </c>
      <c r="DC31" s="145">
        <v>41</v>
      </c>
      <c r="DD31" s="145">
        <v>33</v>
      </c>
      <c r="DE31" s="145">
        <v>41</v>
      </c>
      <c r="DF31" s="108">
        <v>33</v>
      </c>
      <c r="DG31" s="84"/>
      <c r="DH31" s="112">
        <f t="shared" si="3"/>
        <v>0</v>
      </c>
      <c r="DI31" s="138">
        <f t="shared" si="4"/>
        <v>0</v>
      </c>
      <c r="DJ31" s="138">
        <f t="shared" si="5"/>
        <v>0</v>
      </c>
      <c r="DK31" s="138">
        <f t="shared" si="6"/>
        <v>0</v>
      </c>
      <c r="DL31" s="138">
        <f t="shared" si="7"/>
        <v>0</v>
      </c>
      <c r="DM31" s="138">
        <f t="shared" si="8"/>
        <v>6.25</v>
      </c>
      <c r="DN31" s="138">
        <f t="shared" si="9"/>
        <v>0</v>
      </c>
      <c r="DO31" s="138">
        <f t="shared" si="10"/>
        <v>0.25</v>
      </c>
      <c r="DP31" s="138">
        <f t="shared" si="11"/>
        <v>0</v>
      </c>
      <c r="DQ31" s="138">
        <f t="shared" si="12"/>
        <v>0</v>
      </c>
      <c r="DR31" s="138">
        <f t="shared" si="13"/>
        <v>0</v>
      </c>
      <c r="DS31" s="138">
        <f t="shared" si="14"/>
        <v>0</v>
      </c>
      <c r="DT31" s="138">
        <f t="shared" si="15"/>
        <v>0</v>
      </c>
      <c r="DU31" s="138">
        <f t="shared" si="16"/>
        <v>0</v>
      </c>
      <c r="DV31" s="138">
        <f t="shared" si="17"/>
        <v>0</v>
      </c>
      <c r="DW31" s="138">
        <f t="shared" si="18"/>
        <v>0</v>
      </c>
      <c r="DX31" s="138">
        <f t="shared" si="19"/>
        <v>0</v>
      </c>
      <c r="DY31" s="138">
        <f t="shared" si="20"/>
        <v>0</v>
      </c>
      <c r="DZ31" s="138">
        <f t="shared" si="21"/>
        <v>0</v>
      </c>
      <c r="EA31" s="138">
        <f t="shared" si="22"/>
        <v>0</v>
      </c>
      <c r="EB31" s="138">
        <f t="shared" si="23"/>
        <v>0</v>
      </c>
      <c r="EC31" s="138">
        <f t="shared" si="24"/>
        <v>0</v>
      </c>
      <c r="ED31" s="138">
        <f t="shared" si="25"/>
        <v>0</v>
      </c>
      <c r="EE31" s="138">
        <f t="shared" si="26"/>
        <v>0</v>
      </c>
      <c r="EF31" s="138">
        <f t="shared" si="27"/>
        <v>0</v>
      </c>
      <c r="EG31" s="138">
        <f t="shared" si="28"/>
        <v>0</v>
      </c>
      <c r="EH31" s="138">
        <f t="shared" si="29"/>
        <v>0</v>
      </c>
      <c r="EI31" s="138">
        <f t="shared" si="30"/>
        <v>0</v>
      </c>
      <c r="EJ31" s="138">
        <f t="shared" si="31"/>
        <v>0</v>
      </c>
      <c r="EK31" s="138">
        <f t="shared" si="32"/>
        <v>0</v>
      </c>
      <c r="EL31" s="138">
        <f t="shared" si="33"/>
        <v>0</v>
      </c>
      <c r="EM31" s="138">
        <f t="shared" si="34"/>
        <v>0</v>
      </c>
      <c r="EN31" s="138">
        <f t="shared" si="35"/>
        <v>0</v>
      </c>
      <c r="EO31" s="138">
        <f t="shared" si="36"/>
        <v>0</v>
      </c>
      <c r="EP31" s="138">
        <f t="shared" si="37"/>
        <v>0</v>
      </c>
      <c r="EQ31" s="138">
        <f t="shared" si="38"/>
        <v>0</v>
      </c>
      <c r="ER31" s="138">
        <f t="shared" si="39"/>
        <v>0</v>
      </c>
      <c r="ES31" s="138">
        <f t="shared" si="40"/>
        <v>0</v>
      </c>
      <c r="ET31" s="138">
        <f t="shared" si="41"/>
        <v>0</v>
      </c>
      <c r="EU31" s="138">
        <f t="shared" si="42"/>
        <v>0</v>
      </c>
      <c r="EV31" s="138">
        <f t="shared" si="43"/>
        <v>0</v>
      </c>
      <c r="EW31" s="138">
        <f t="shared" si="44"/>
        <v>0</v>
      </c>
      <c r="EX31" s="138">
        <f t="shared" si="45"/>
        <v>0</v>
      </c>
      <c r="EY31" s="138">
        <f t="shared" si="46"/>
        <v>0</v>
      </c>
      <c r="EZ31" s="138">
        <f t="shared" si="47"/>
        <v>0</v>
      </c>
      <c r="FA31" s="138">
        <f t="shared" si="48"/>
        <v>0</v>
      </c>
      <c r="FB31" s="138">
        <f t="shared" si="49"/>
        <v>0</v>
      </c>
      <c r="FC31" s="138">
        <f t="shared" si="50"/>
        <v>0</v>
      </c>
      <c r="FD31" s="138">
        <f t="shared" si="51"/>
        <v>0</v>
      </c>
      <c r="FE31" s="138">
        <f t="shared" si="52"/>
        <v>0</v>
      </c>
      <c r="FF31" s="138">
        <f t="shared" si="53"/>
        <v>0</v>
      </c>
      <c r="FG31" s="113">
        <f t="shared" si="54"/>
        <v>0</v>
      </c>
      <c r="FH31" s="113">
        <f t="shared" si="55"/>
        <v>6.5</v>
      </c>
      <c r="FI31" s="35"/>
      <c r="FJ31" s="151" cm="1">
        <f t="array" ref="FJ31">IF($C31="Production",
IFERROR(_xlfn.IFS(AND(DH31&gt;0,DH31+SUM(BF31:BG31)&lt;=$FM$3),DH31,AND(DH31&gt;0,DH31+SUM(BF31:BG31)&gt;$FM$3),$FM$3-SUM(BF31:BG31)),0),
IFERROR(_xlfn.IFS(AND(DH31&gt;0,DH31+BG31&lt;=$FK$3),DH31,AND(DH31&gt;0,DH31+BG31&gt;$FK$3),0),0)
)</f>
        <v>0</v>
      </c>
      <c r="FK31" s="152" cm="1">
        <f t="array" ref="FK31">IF($C31="Production",
IFERROR(_xlfn.IFS(AND(DI31&gt;0,DI31+SUM(BG31:BH31)&lt;=$FM$3),DI31,AND(DI31&gt;0,DI31+SUM(BG31:BH31)&gt;$FM$3),$FM$3-SUM(BG31:BH31)),0),
IFERROR(_xlfn.IFS(AND(DI31&gt;0,DI31+BH31&lt;=$FK$3),DI31,AND(DI31&gt;0,DI31+BH31&gt;$FK$3),0),0)
)</f>
        <v>0</v>
      </c>
      <c r="FL31" s="152" cm="1">
        <f t="array" ref="FL31">IF($C31="Production",
IFERROR(_xlfn.IFS(AND(DJ31&gt;0,DJ31+SUM(BH31:BI31)&lt;=$FM$3),DJ31,AND(DJ31&gt;0,DJ31+SUM(BH31:BI31)&gt;$FM$3),$FM$3-SUM(BH31:BI31)),0),
IFERROR(_xlfn.IFS(AND(DJ31&gt;0,DJ31+BI31&lt;=$FK$3),DJ31,AND(DJ31&gt;0,DJ31+BI31&gt;$FK$3),0),0)
)</f>
        <v>0</v>
      </c>
      <c r="FM31" s="152" cm="1">
        <f t="array" ref="FM31">IF($C31="Production",
IFERROR(_xlfn.IFS(AND(DK31&gt;0,DK31+SUM(BI31:BJ31)&lt;=$FM$3),DK31,AND(DK31&gt;0,DK31+SUM(BI31:BJ31)&gt;$FM$3),$FM$3-SUM(BI31:BJ31)),0),
IFERROR(_xlfn.IFS(AND(DK31&gt;0,DK31+BJ31&lt;=$FK$3),DK31,AND(DK31&gt;0,DK31+BJ31&gt;$FK$3),0),0)
)</f>
        <v>0</v>
      </c>
      <c r="FN31" s="152" cm="1">
        <f t="array" ref="FN31">IF($C31="Production",
IFERROR(_xlfn.IFS(AND(DL31&gt;0,DL31+SUM(BJ31:BK31)&lt;=$FM$3),DL31,AND(DL31&gt;0,DL31+SUM(BJ31:BK31)&gt;$FM$3),$FM$3-SUM(BJ31:BK31)),0),
IFERROR(_xlfn.IFS(AND(DL31&gt;0,DL31+BK31&lt;=$FK$3),DL31,AND(DL31&gt;0,DL31+BK31&gt;$FK$3),0),0)
)</f>
        <v>0</v>
      </c>
      <c r="FO31" s="152" cm="1">
        <f t="array" ref="FO31">IF($C31="Production",
IFERROR(_xlfn.IFS(AND(DM31&gt;0,DM31+SUM(BK31:BL31)&lt;=$FM$3),DM31,AND(DM31&gt;0,DM31+SUM(BK31:BL31)&gt;$FM$3),$FM$3-SUM(BK31:BL31)),0),
IFERROR(_xlfn.IFS(AND(DM31&gt;0,DM31+BL31&lt;=$FK$3),DM31,AND(DM31&gt;0,DM31+BL31&gt;$FK$3),0),0)
)</f>
        <v>6.25</v>
      </c>
      <c r="FP31" s="152" cm="1">
        <f t="array" ref="FP31">IF($C31="Production",
IFERROR(_xlfn.IFS(AND(DN31&gt;0,DN31+SUM(BL31:BM31)&lt;=$FM$3),DN31,AND(DN31&gt;0,DN31+SUM(BL31:BM31)&gt;$FM$3),$FM$3-SUM(BL31:BM31)),0),
IFERROR(_xlfn.IFS(AND(DN31&gt;0,DN31+BM31&lt;=$FK$3),DN31,AND(DN31&gt;0,DN31+BM31&gt;$FK$3),0),0)
)</f>
        <v>0</v>
      </c>
      <c r="FQ31" s="152" cm="1">
        <f t="array" ref="FQ31">IF($C31="Production",
IFERROR(_xlfn.IFS(AND(DO31&gt;0,DO31+SUM(BM31:BN31)&lt;=$FM$3),DO31,AND(DO31&gt;0,DO31+SUM(BM31:BN31)&gt;$FM$3),$FM$3-SUM(BM31:BN31)),0),
IFERROR(_xlfn.IFS(AND(DO31&gt;0,DO31+BN31&lt;=$FK$3),DO31,AND(DO31&gt;0,DO31+BN31&gt;$FK$3),0),0)
)</f>
        <v>0.25</v>
      </c>
      <c r="FR31" s="152" cm="1">
        <f t="array" ref="FR31">IF($C31="Production",
IFERROR(_xlfn.IFS(AND(DP31&gt;0,DP31+SUM(BN31:BO31)&lt;=$FM$3),DP31,AND(DP31&gt;0,DP31+SUM(BN31:BO31)&gt;$FM$3),$FM$3-SUM(BN31:BO31)),0),
IFERROR(_xlfn.IFS(AND(DP31&gt;0,DP31+BO31&lt;=$FK$3),DP31,AND(DP31&gt;0,DP31+BO31&gt;$FK$3),0),0)
)</f>
        <v>0</v>
      </c>
      <c r="FS31" s="152" cm="1">
        <f t="array" ref="FS31">IF($C31="Production",
IFERROR(_xlfn.IFS(AND(DQ31&gt;0,DQ31+SUM(BO31:BP31)&lt;=$FM$3),DQ31,AND(DQ31&gt;0,DQ31+SUM(BO31:BP31)&gt;$FM$3),$FM$3-SUM(BO31:BP31)),0),
IFERROR(_xlfn.IFS(AND(DQ31&gt;0,DQ31+BP31&lt;=$FK$3),DQ31,AND(DQ31&gt;0,DQ31+BP31&gt;$FK$3),0),0)
)</f>
        <v>0</v>
      </c>
      <c r="FT31" s="152" cm="1">
        <f t="array" ref="FT31">IF($C31="Production",
IFERROR(_xlfn.IFS(AND(DR31&gt;0,DR31+SUM(BP31:BQ31)&lt;=$FM$3),DR31,AND(DR31&gt;0,DR31+SUM(BP31:BQ31)&gt;$FM$3),$FM$3-SUM(BP31:BQ31)),0),
IFERROR(_xlfn.IFS(AND(DR31&gt;0,DR31+BQ31&lt;=$FK$3),DR31,AND(DR31&gt;0,DR31+BQ31&gt;$FK$3),0),0)
)</f>
        <v>0</v>
      </c>
      <c r="FU31" s="152" cm="1">
        <f t="array" ref="FU31">IF($C31="Production",
IFERROR(_xlfn.IFS(AND(DS31&gt;0,DS31+SUM(BQ31:BR31)&lt;=$FM$3),DS31,AND(DS31&gt;0,DS31+SUM(BQ31:BR31)&gt;$FM$3),$FM$3-SUM(BQ31:BR31)),0),
IFERROR(_xlfn.IFS(AND(DS31&gt;0,DS31+BR31&lt;=$FK$3),DS31,AND(DS31&gt;0,DS31+BR31&gt;$FK$3),0),0)
)</f>
        <v>0</v>
      </c>
      <c r="FV31" s="152" cm="1">
        <f t="array" ref="FV31">IF($C31="Production",
IFERROR(_xlfn.IFS(AND(DT31&gt;0,DT31+SUM(BR31:BS31)&lt;=$FM$3),DT31,AND(DT31&gt;0,DT31+SUM(BR31:BS31)&gt;$FM$3),$FM$3-SUM(BR31:BS31)),0),
IFERROR(_xlfn.IFS(AND(DT31&gt;0,DT31+BS31&lt;=$FK$3),DT31,AND(DT31&gt;0,DT31+BS31&gt;$FK$3),0),0)
)</f>
        <v>0</v>
      </c>
      <c r="FW31" s="152" cm="1">
        <f t="array" ref="FW31">IF($C31="Production",
IFERROR(_xlfn.IFS(AND(DU31&gt;0,DU31+SUM(BS31:BT31)&lt;=$FM$3),DU31,AND(DU31&gt;0,DU31+SUM(BS31:BT31)&gt;$FM$3),$FM$3-SUM(BS31:BT31)),0),
IFERROR(_xlfn.IFS(AND(DU31&gt;0,DU31+BT31&lt;=$FK$3),DU31,AND(DU31&gt;0,DU31+BT31&gt;$FK$3),0),0)
)</f>
        <v>0</v>
      </c>
      <c r="FX31" s="152" cm="1">
        <f t="array" ref="FX31">IF($C31="Production",
IFERROR(_xlfn.IFS(AND(DV31&gt;0,DV31+SUM(BT31:BU31)&lt;=$FM$3),DV31,AND(DV31&gt;0,DV31+SUM(BT31:BU31)&gt;$FM$3),$FM$3-SUM(BT31:BU31)),0),
IFERROR(_xlfn.IFS(AND(DV31&gt;0,DV31+BU31&lt;=$FK$3),DV31,AND(DV31&gt;0,DV31+BU31&gt;$FK$3),0),0)
)</f>
        <v>0</v>
      </c>
      <c r="FY31" s="152" cm="1">
        <f t="array" ref="FY31">IF($C31="Production",
IFERROR(_xlfn.IFS(AND(DW31&gt;0,DW31+SUM(BU31:BV31)&lt;=$FM$3),DW31,AND(DW31&gt;0,DW31+SUM(BU31:BV31)&gt;$FM$3),$FM$3-SUM(BU31:BV31)),0),
IFERROR(_xlfn.IFS(AND(DW31&gt;0,DW31+BV31&lt;=$FK$3),DW31,AND(DW31&gt;0,DW31+BV31&gt;$FK$3),0),0)
)</f>
        <v>0</v>
      </c>
      <c r="FZ31" s="152" cm="1">
        <f t="array" ref="FZ31">IF($C31="Production",
IFERROR(_xlfn.IFS(AND(DX31&gt;0,DX31+SUM(BV31:BW31)&lt;=$FM$3),DX31,AND(DX31&gt;0,DX31+SUM(BV31:BW31)&gt;$FM$3),$FM$3-SUM(BV31:BW31)),0),
IFERROR(_xlfn.IFS(AND(DX31&gt;0,DX31+BW31&lt;=$FK$3),DX31,AND(DX31&gt;0,DX31+BW31&gt;$FK$3),0),0)
)</f>
        <v>0</v>
      </c>
      <c r="GA31" s="152" cm="1">
        <f t="array" ref="GA31">IF($C31="Production",
IFERROR(_xlfn.IFS(AND(DY31&gt;0,DY31+SUM(BW31:BX31)&lt;=$FM$3),DY31,AND(DY31&gt;0,DY31+SUM(BW31:BX31)&gt;$FM$3),$FM$3-SUM(BW31:BX31)),0),
IFERROR(_xlfn.IFS(AND(DY31&gt;0,DY31+BX31&lt;=$FK$3),DY31,AND(DY31&gt;0,DY31+BX31&gt;$FK$3),0),0)
)</f>
        <v>0</v>
      </c>
      <c r="GB31" s="152" cm="1">
        <f t="array" ref="GB31">IF($C31="Production",
IFERROR(_xlfn.IFS(AND(DZ31&gt;0,DZ31+SUM(BX31:BY31)&lt;=$FM$3),DZ31,AND(DZ31&gt;0,DZ31+SUM(BX31:BY31)&gt;$FM$3),$FM$3-SUM(BX31:BY31)),0),
IFERROR(_xlfn.IFS(AND(DZ31&gt;0,DZ31+BY31&lt;=$FK$3),DZ31,AND(DZ31&gt;0,DZ31+BY31&gt;$FK$3),0),0)
)</f>
        <v>0</v>
      </c>
      <c r="GC31" s="152" cm="1">
        <f t="array" ref="GC31">IF($C31="Production",
IFERROR(_xlfn.IFS(AND(EA31&gt;0,EA31+SUM(BY31:BZ31)&lt;=$FM$3),EA31,AND(EA31&gt;0,EA31+SUM(BY31:BZ31)&gt;$FM$3),$FM$3-SUM(BY31:BZ31)),0),
IFERROR(_xlfn.IFS(AND(EA31&gt;0,EA31+BZ31&lt;=$FK$3),EA31,AND(EA31&gt;0,EA31+BZ31&gt;$FK$3),0),0)
)</f>
        <v>0</v>
      </c>
      <c r="GD31" s="152" cm="1">
        <f t="array" ref="GD31">IF($C31="Production",
IFERROR(_xlfn.IFS(AND(EB31&gt;0,EB31+SUM(BZ31:CA31)&lt;=$FM$3),EB31,AND(EB31&gt;0,EB31+SUM(BZ31:CA31)&gt;$FM$3),$FM$3-SUM(BZ31:CA31)),0),
IFERROR(_xlfn.IFS(AND(EB31&gt;0,EB31+CA31&lt;=$FK$3),EB31,AND(EB31&gt;0,EB31+CA31&gt;$FK$3),0),0)
)</f>
        <v>0</v>
      </c>
      <c r="GE31" s="152" cm="1">
        <f t="array" ref="GE31">IF($C31="Production",
IFERROR(_xlfn.IFS(AND(EC31&gt;0,EC31+SUM(CA31:CB31)&lt;=$FM$3),EC31,AND(EC31&gt;0,EC31+SUM(CA31:CB31)&gt;$FM$3),$FM$3-SUM(CA31:CB31)),0),
IFERROR(_xlfn.IFS(AND(EC31&gt;0,EC31+CB31&lt;=$FK$3),EC31,AND(EC31&gt;0,EC31+CB31&gt;$FK$3),0),0)
)</f>
        <v>0</v>
      </c>
      <c r="GF31" s="152" cm="1">
        <f t="array" ref="GF31">IF($C31="Production",
IFERROR(_xlfn.IFS(AND(ED31&gt;0,ED31+SUM(CB31:CC31)&lt;=$FM$3),ED31,AND(ED31&gt;0,ED31+SUM(CB31:CC31)&gt;$FM$3),$FM$3-SUM(CB31:CC31)),0),
IFERROR(_xlfn.IFS(AND(ED31&gt;0,ED31+CC31&lt;=$FK$3),ED31,AND(ED31&gt;0,ED31+CC31&gt;$FK$3),0),0)
)</f>
        <v>0</v>
      </c>
      <c r="GG31" s="152" cm="1">
        <f t="array" ref="GG31">IF($C31="Production",
IFERROR(_xlfn.IFS(AND(EE31&gt;0,EE31+SUM(CC31:CD31)&lt;=$FM$3),EE31,AND(EE31&gt;0,EE31+SUM(CC31:CD31)&gt;$FM$3),$FM$3-SUM(CC31:CD31)),0),
IFERROR(_xlfn.IFS(AND(EE31&gt;0,EE31+CD31&lt;=$FK$3),EE31,AND(EE31&gt;0,EE31+CD31&gt;$FK$3),0),0)
)</f>
        <v>0</v>
      </c>
      <c r="GH31" s="152" cm="1">
        <f t="array" ref="GH31">IF($C31="Production",
IFERROR(_xlfn.IFS(AND(EF31&gt;0,EF31+SUM(CD31:CE31)&lt;=$FM$3),EF31,AND(EF31&gt;0,EF31+SUM(CD31:CE31)&gt;$FM$3),$FM$3-SUM(CD31:CE31)),0),
IFERROR(_xlfn.IFS(AND(EF31&gt;0,EF31+CE31&lt;=$FK$3),EF31,AND(EF31&gt;0,EF31+CE31&gt;$FK$3),0),0)
)</f>
        <v>0</v>
      </c>
      <c r="GI31" s="152" cm="1">
        <f t="array" ref="GI31">IF($C31="Production",
IFERROR(_xlfn.IFS(AND(EG31&gt;0,EG31+SUM(CE31:CF31)&lt;=$FM$3),EG31,AND(EG31&gt;0,EG31+SUM(CE31:CF31)&gt;$FM$3),$FM$3-SUM(CE31:CF31)),0),
IFERROR(_xlfn.IFS(AND(EG31&gt;0,EG31+CF31&lt;=$FK$3),EG31,AND(EG31&gt;0,EG31+CF31&gt;$FK$3),0),0)
)</f>
        <v>0</v>
      </c>
      <c r="GJ31" s="152" cm="1">
        <f t="array" ref="GJ31">IF($C31="Production",
IFERROR(_xlfn.IFS(AND(EH31&gt;0,EH31+SUM(CF31:CG31)&lt;=$FM$3),EH31,AND(EH31&gt;0,EH31+SUM(CF31:CG31)&gt;$FM$3),$FM$3-SUM(CF31:CG31)),0),
IFERROR(_xlfn.IFS(AND(EH31&gt;0,EH31+CG31&lt;=$FK$3),EH31,AND(EH31&gt;0,EH31+CG31&gt;$FK$3),0),0)
)</f>
        <v>0</v>
      </c>
      <c r="GK31" s="152" cm="1">
        <f t="array" ref="GK31">IF($C31="Production",
IFERROR(_xlfn.IFS(AND(EI31&gt;0,EI31+SUM(CG31:CH31)&lt;=$FM$3),EI31,AND(EI31&gt;0,EI31+SUM(CG31:CH31)&gt;$FM$3),$FM$3-SUM(CG31:CH31)),0),
IFERROR(_xlfn.IFS(AND(EI31&gt;0,EI31+CH31&lt;=$FK$3),EI31,AND(EI31&gt;0,EI31+CH31&gt;$FK$3),0),0)
)</f>
        <v>0</v>
      </c>
      <c r="GL31" s="152" cm="1">
        <f t="array" ref="GL31">IF($C31="Production",
IFERROR(_xlfn.IFS(AND(EJ31&gt;0,EJ31+SUM(CH31:CI31)&lt;=$FM$3),EJ31,AND(EJ31&gt;0,EJ31+SUM(CH31:CI31)&gt;$FM$3),$FM$3-SUM(CH31:CI31)),0),
IFERROR(_xlfn.IFS(AND(EJ31&gt;0,EJ31+CI31&lt;=$FK$3),EJ31,AND(EJ31&gt;0,EJ31+CI31&gt;$FK$3),0),0)
)</f>
        <v>0</v>
      </c>
      <c r="GM31" s="152" cm="1">
        <f t="array" ref="GM31">IF($C31="Production",
IFERROR(_xlfn.IFS(AND(EK31&gt;0,EK31+SUM(CI31:CJ31)&lt;=$FM$3),EK31,AND(EK31&gt;0,EK31+SUM(CI31:CJ31)&gt;$FM$3),$FM$3-SUM(CI31:CJ31)),0),
IFERROR(_xlfn.IFS(AND(EK31&gt;0,EK31+CJ31&lt;=$FK$3),EK31,AND(EK31&gt;0,EK31+CJ31&gt;$FK$3),0),0)
)</f>
        <v>0</v>
      </c>
      <c r="GN31" s="152" cm="1">
        <f t="array" ref="GN31">IF($C31="Production",
IFERROR(_xlfn.IFS(AND(EL31&gt;0,EL31+SUM(CJ31:CK31)&lt;=$FM$3),EL31,AND(EL31&gt;0,EL31+SUM(CJ31:CK31)&gt;$FM$3),$FM$3-SUM(CJ31:CK31)),0),
IFERROR(_xlfn.IFS(AND(EL31&gt;0,EL31+CK31&lt;=$FK$3),EL31,AND(EL31&gt;0,EL31+CK31&gt;$FK$3),0),0)
)</f>
        <v>0</v>
      </c>
      <c r="GO31" s="152" cm="1">
        <f t="array" ref="GO31">IF($C31="Production",
IFERROR(_xlfn.IFS(AND(EM31&gt;0,EM31+SUM(CK31:CL31)&lt;=$FM$3),EM31,AND(EM31&gt;0,EM31+SUM(CK31:CL31)&gt;$FM$3),$FM$3-SUM(CK31:CL31)),0),
IFERROR(_xlfn.IFS(AND(EM31&gt;0,EM31+CL31&lt;=$FK$3),EM31,AND(EM31&gt;0,EM31+CL31&gt;$FK$3),0),0)
)</f>
        <v>0</v>
      </c>
      <c r="GP31" s="152" cm="1">
        <f t="array" ref="GP31">IF($C31="Production",
IFERROR(_xlfn.IFS(AND(EN31&gt;0,EN31+SUM(CL31:CM31)&lt;=$FM$3),EN31,AND(EN31&gt;0,EN31+SUM(CL31:CM31)&gt;$FM$3),$FM$3-SUM(CL31:CM31)),0),
IFERROR(_xlfn.IFS(AND(EN31&gt;0,EN31+CM31&lt;=$FK$3),EN31,AND(EN31&gt;0,EN31+CM31&gt;$FK$3),0),0)
)</f>
        <v>0</v>
      </c>
      <c r="GQ31" s="152" cm="1">
        <f t="array" ref="GQ31">IF($C31="Production",
IFERROR(_xlfn.IFS(AND(EO31&gt;0,EO31+SUM(CM31:CN31)&lt;=$FM$3),EO31,AND(EO31&gt;0,EO31+SUM(CM31:CN31)&gt;$FM$3),$FM$3-SUM(CM31:CN31)),0),
IFERROR(_xlfn.IFS(AND(EO31&gt;0,EO31+CN31&lt;=$FK$3),EO31,AND(EO31&gt;0,EO31+CN31&gt;$FK$3),0),0)
)</f>
        <v>0</v>
      </c>
      <c r="GR31" s="152" cm="1">
        <f t="array" ref="GR31">IF($C31="Production",
IFERROR(_xlfn.IFS(AND(EP31&gt;0,EP31+SUM(CN31:CO31)&lt;=$FM$3),EP31,AND(EP31&gt;0,EP31+SUM(CN31:CO31)&gt;$FM$3),$FM$3-SUM(CN31:CO31)),0),
IFERROR(_xlfn.IFS(AND(EP31&gt;0,EP31+CO31&lt;=$FK$3),EP31,AND(EP31&gt;0,EP31+CO31&gt;$FK$3),0),0)
)</f>
        <v>0</v>
      </c>
      <c r="GS31" s="152" cm="1">
        <f t="array" ref="GS31">IF($C31="Production",
IFERROR(_xlfn.IFS(AND(EQ31&gt;0,EQ31+SUM(CO31:CP31)&lt;=$FM$3),EQ31,AND(EQ31&gt;0,EQ31+SUM(CO31:CP31)&gt;$FM$3),$FM$3-SUM(CO31:CP31)),0),
IFERROR(_xlfn.IFS(AND(EQ31&gt;0,EQ31+CP31&lt;=$FK$3),EQ31,AND(EQ31&gt;0,EQ31+CP31&gt;$FK$3),0),0)
)</f>
        <v>0</v>
      </c>
      <c r="GT31" s="152" cm="1">
        <f t="array" ref="GT31">IF($C31="Production",
IFERROR(_xlfn.IFS(AND(ER31&gt;0,ER31+SUM(CP31:CQ31)&lt;=$FM$3),ER31,AND(ER31&gt;0,ER31+SUM(CP31:CQ31)&gt;$FM$3),$FM$3-SUM(CP31:CQ31)),0),
IFERROR(_xlfn.IFS(AND(ER31&gt;0,ER31+CQ31&lt;=$FK$3),ER31,AND(ER31&gt;0,ER31+CQ31&gt;$FK$3),0),0)
)</f>
        <v>0</v>
      </c>
      <c r="GU31" s="152" cm="1">
        <f t="array" ref="GU31">IF($C31="Production",
IFERROR(_xlfn.IFS(AND(ES31&gt;0,ES31+SUM(CQ31:CR31)&lt;=$FM$3),ES31,AND(ES31&gt;0,ES31+SUM(CQ31:CR31)&gt;$FM$3),$FM$3-SUM(CQ31:CR31)),0),
IFERROR(_xlfn.IFS(AND(ES31&gt;0,ES31+CR31&lt;=$FK$3),ES31,AND(ES31&gt;0,ES31+CR31&gt;$FK$3),0),0)
)</f>
        <v>0</v>
      </c>
      <c r="GV31" s="152" cm="1">
        <f t="array" ref="GV31">IF($C31="Production",
IFERROR(_xlfn.IFS(AND(ET31&gt;0,ET31+SUM(CR31:CS31)&lt;=$FM$3),ET31,AND(ET31&gt;0,ET31+SUM(CR31:CS31)&gt;$FM$3),$FM$3-SUM(CR31:CS31)),0),
IFERROR(_xlfn.IFS(AND(ET31&gt;0,ET31+CS31&lt;=$FK$3),ET31,AND(ET31&gt;0,ET31+CS31&gt;$FK$3),0),0)
)</f>
        <v>0</v>
      </c>
      <c r="GW31" s="152" cm="1">
        <f t="array" ref="GW31">IF($C31="Production",
IFERROR(_xlfn.IFS(AND(EU31&gt;0,EU31+SUM(CS31:CT31)&lt;=$FM$3),EU31,AND(EU31&gt;0,EU31+SUM(CS31:CT31)&gt;$FM$3),$FM$3-SUM(CS31:CT31)),0),
IFERROR(_xlfn.IFS(AND(EU31&gt;0,EU31+CT31&lt;=$FK$3),EU31,AND(EU31&gt;0,EU31+CT31&gt;$FK$3),0),0)
)</f>
        <v>0</v>
      </c>
      <c r="GX31" s="152" cm="1">
        <f t="array" ref="GX31">IF($C31="Production",
IFERROR(_xlfn.IFS(AND(EV31&gt;0,EV31+SUM(CT31:CU31)&lt;=$FM$3),EV31,AND(EV31&gt;0,EV31+SUM(CT31:CU31)&gt;$FM$3),$FM$3-SUM(CT31:CU31)),0),
IFERROR(_xlfn.IFS(AND(EV31&gt;0,EV31+CU31&lt;=$FK$3),EV31,AND(EV31&gt;0,EV31+CU31&gt;$FK$3),0),0)
)</f>
        <v>0</v>
      </c>
      <c r="GY31" s="152" cm="1">
        <f t="array" ref="GY31">IF($C31="Production",
IFERROR(_xlfn.IFS(AND(EW31&gt;0,EW31+SUM(CU31:CV31)&lt;=$FM$3),EW31,AND(EW31&gt;0,EW31+SUM(CU31:CV31)&gt;$FM$3),$FM$3-SUM(CU31:CV31)),0),
IFERROR(_xlfn.IFS(AND(EW31&gt;0,EW31+CV31&lt;=$FK$3),EW31,AND(EW31&gt;0,EW31+CV31&gt;$FK$3),0),0)
)</f>
        <v>0</v>
      </c>
      <c r="GZ31" s="152" cm="1">
        <f t="array" ref="GZ31">IF($C31="Production",
IFERROR(_xlfn.IFS(AND(EX31&gt;0,EX31+SUM(CV31:CW31)&lt;=$FM$3),EX31,AND(EX31&gt;0,EX31+SUM(CV31:CW31)&gt;$FM$3),$FM$3-SUM(CV31:CW31)),0),
IFERROR(_xlfn.IFS(AND(EX31&gt;0,EX31+CW31&lt;=$FK$3),EX31,AND(EX31&gt;0,EX31+CW31&gt;$FK$3),0),0)
)</f>
        <v>0</v>
      </c>
      <c r="HA31" s="152" cm="1">
        <f t="array" ref="HA31">IF($C31="Production",
IFERROR(_xlfn.IFS(AND(EY31&gt;0,EY31+SUM(CW31:CX31)&lt;=$FM$3),EY31,AND(EY31&gt;0,EY31+SUM(CW31:CX31)&gt;$FM$3),$FM$3-SUM(CW31:CX31)),0),
IFERROR(_xlfn.IFS(AND(EY31&gt;0,EY31+CX31&lt;=$FK$3),EY31,AND(EY31&gt;0,EY31+CX31&gt;$FK$3),0),0)
)</f>
        <v>0</v>
      </c>
      <c r="HB31" s="152" cm="1">
        <f t="array" ref="HB31">IF($C31="Production",
IFERROR(_xlfn.IFS(AND(EZ31&gt;0,EZ31+SUM(CX31:CY31)&lt;=$FM$3),EZ31,AND(EZ31&gt;0,EZ31+SUM(CX31:CY31)&gt;$FM$3),$FM$3-SUM(CX31:CY31)),0),
IFERROR(_xlfn.IFS(AND(EZ31&gt;0,EZ31+CY31&lt;=$FK$3),EZ31,AND(EZ31&gt;0,EZ31+CY31&gt;$FK$3),0),0)
)</f>
        <v>0</v>
      </c>
      <c r="HC31" s="152" cm="1">
        <f t="array" ref="HC31">IF($C31="Production",
IFERROR(_xlfn.IFS(AND(FA31&gt;0,FA31+SUM(CY31:CZ31)&lt;=$FM$3),FA31,AND(FA31&gt;0,FA31+SUM(CY31:CZ31)&gt;$FM$3),$FM$3-SUM(CY31:CZ31)),0),
IFERROR(_xlfn.IFS(AND(FA31&gt;0,FA31+CZ31&lt;=$FK$3),FA31,AND(FA31&gt;0,FA31+CZ31&gt;$FK$3),0),0)
)</f>
        <v>0</v>
      </c>
      <c r="HD31" s="152" cm="1">
        <f t="array" ref="HD31">IF($C31="Production",
IFERROR(_xlfn.IFS(AND(FB31&gt;0,FB31+SUM(CZ31:DA31)&lt;=$FM$3),FB31,AND(FB31&gt;0,FB31+SUM(CZ31:DA31)&gt;$FM$3),$FM$3-SUM(CZ31:DA31)),0),
IFERROR(_xlfn.IFS(AND(FB31&gt;0,FB31+DA31&lt;=$FK$3),FB31,AND(FB31&gt;0,FB31+DA31&gt;$FK$3),0),0)
)</f>
        <v>0</v>
      </c>
      <c r="HE31" s="152" cm="1">
        <f t="array" ref="HE31">IF($C31="Production",
IFERROR(_xlfn.IFS(AND(FC31&gt;0,FC31+SUM(DA31:DB31)&lt;=$FM$3),FC31,AND(FC31&gt;0,FC31+SUM(DA31:DB31)&gt;$FM$3),$FM$3-SUM(DA31:DB31)),0),
IFERROR(_xlfn.IFS(AND(FC31&gt;0,FC31+DB31&lt;=$FK$3),FC31,AND(FC31&gt;0,FC31+DB31&gt;$FK$3),0),0)
)</f>
        <v>0</v>
      </c>
      <c r="HF31" s="152" cm="1">
        <f t="array" ref="HF31">IF($C31="Production",
IFERROR(_xlfn.IFS(AND(FD31&gt;0,FD31+SUM(DB31:DC31)&lt;=$FM$3),FD31,AND(FD31&gt;0,FD31+SUM(DB31:DC31)&gt;$FM$3),$FM$3-SUM(DB31:DC31)),0),
IFERROR(_xlfn.IFS(AND(FD31&gt;0,FD31+DC31&lt;=$FK$3),FD31,AND(FD31&gt;0,FD31+DC31&gt;$FK$3),0),0)
)</f>
        <v>0</v>
      </c>
      <c r="HG31" s="152" cm="1">
        <f t="array" ref="HG31">IF($C31="Production",
IFERROR(_xlfn.IFS(AND(FE31&gt;0,FE31+SUM(DC31:DD31)&lt;=$FM$3),FE31,AND(FE31&gt;0,FE31+SUM(DC31:DD31)&gt;$FM$3),$FM$3-SUM(DC31:DD31)),0),
IFERROR(_xlfn.IFS(AND(FE31&gt;0,FE31+DD31&lt;=$FK$3),FE31,AND(FE31&gt;0,FE31+DD31&gt;$FK$3),0),0)
)</f>
        <v>0</v>
      </c>
      <c r="HH31" s="152" cm="1">
        <f t="array" ref="HH31">IF($C31="Production",
IFERROR(_xlfn.IFS(AND(FF31&gt;0,FF31+SUM(DD31:DE31)&lt;=$FM$3),FF31,AND(FF31&gt;0,FF31+SUM(DD31:DE31)&gt;$FM$3),$FM$3-SUM(DD31:DE31)),0),
IFERROR(_xlfn.IFS(AND(FF31&gt;0,FF31+DE31&lt;=$FK$3),FF31,AND(FF31&gt;0,FF31+DE31&gt;$FK$3),0),0)
)</f>
        <v>0</v>
      </c>
      <c r="HI31" s="156" cm="1">
        <f t="array" ref="HI31">IF($C31="Production",
IFERROR(_xlfn.IFS(AND(FG31&gt;0,FG31+SUM(DE31:DF31)&lt;=$FM$3),FG31,AND(FG31&gt;0,FG31+SUM(DE31:DF31)&gt;$FM$3),$FM$3-SUM(DE31:DF31)),0),
IFERROR(_xlfn.IFS(AND(FG31&gt;0,FG31+DF31&lt;=$FK$3),FG31,AND(FG31&gt;0,FG31+DF31&gt;$FK$3),0),0)
)</f>
        <v>0</v>
      </c>
      <c r="HJ31" s="113">
        <f t="shared" si="110"/>
        <v>6.5</v>
      </c>
      <c r="HK31" s="80"/>
      <c r="HL31" s="112">
        <f t="shared" si="56"/>
        <v>0</v>
      </c>
      <c r="HM31" s="138">
        <f t="shared" si="57"/>
        <v>0</v>
      </c>
      <c r="HN31" s="138">
        <f t="shared" si="58"/>
        <v>0</v>
      </c>
      <c r="HO31" s="138">
        <f t="shared" si="59"/>
        <v>0</v>
      </c>
      <c r="HP31" s="138">
        <f t="shared" si="60"/>
        <v>0</v>
      </c>
      <c r="HQ31" s="138">
        <f t="shared" si="61"/>
        <v>0</v>
      </c>
      <c r="HR31" s="138">
        <f t="shared" si="62"/>
        <v>0</v>
      </c>
      <c r="HS31" s="138">
        <f t="shared" si="63"/>
        <v>0</v>
      </c>
      <c r="HT31" s="138">
        <f t="shared" si="64"/>
        <v>0</v>
      </c>
      <c r="HU31" s="138">
        <f t="shared" si="65"/>
        <v>0</v>
      </c>
      <c r="HV31" s="138">
        <f t="shared" si="66"/>
        <v>0</v>
      </c>
      <c r="HW31" s="138">
        <f t="shared" si="67"/>
        <v>0</v>
      </c>
      <c r="HX31" s="138">
        <f t="shared" si="68"/>
        <v>0</v>
      </c>
      <c r="HY31" s="138">
        <f t="shared" si="69"/>
        <v>0</v>
      </c>
      <c r="HZ31" s="138">
        <f t="shared" si="70"/>
        <v>0</v>
      </c>
      <c r="IA31" s="138">
        <f t="shared" si="71"/>
        <v>0</v>
      </c>
      <c r="IB31" s="138">
        <f t="shared" si="72"/>
        <v>0</v>
      </c>
      <c r="IC31" s="138">
        <f t="shared" si="73"/>
        <v>0</v>
      </c>
      <c r="ID31" s="138">
        <f t="shared" si="74"/>
        <v>0</v>
      </c>
      <c r="IE31" s="138">
        <f t="shared" si="75"/>
        <v>0</v>
      </c>
      <c r="IF31" s="138">
        <f t="shared" si="76"/>
        <v>0</v>
      </c>
      <c r="IG31" s="138">
        <f t="shared" si="77"/>
        <v>0</v>
      </c>
      <c r="IH31" s="138">
        <f t="shared" si="78"/>
        <v>0</v>
      </c>
      <c r="II31" s="138">
        <f t="shared" si="79"/>
        <v>0</v>
      </c>
      <c r="IJ31" s="138">
        <f t="shared" si="80"/>
        <v>0</v>
      </c>
      <c r="IK31" s="138">
        <f t="shared" si="81"/>
        <v>0</v>
      </c>
      <c r="IL31" s="138">
        <f t="shared" si="82"/>
        <v>0</v>
      </c>
      <c r="IM31" s="138">
        <f t="shared" si="83"/>
        <v>0</v>
      </c>
      <c r="IN31" s="138">
        <f t="shared" si="84"/>
        <v>0</v>
      </c>
      <c r="IO31" s="138">
        <f t="shared" si="85"/>
        <v>0</v>
      </c>
      <c r="IP31" s="138">
        <f t="shared" si="86"/>
        <v>0</v>
      </c>
      <c r="IQ31" s="138">
        <f t="shared" si="87"/>
        <v>0</v>
      </c>
      <c r="IR31" s="138">
        <f t="shared" si="88"/>
        <v>0</v>
      </c>
      <c r="IS31" s="138">
        <f t="shared" si="89"/>
        <v>0</v>
      </c>
      <c r="IT31" s="138">
        <f t="shared" si="90"/>
        <v>0</v>
      </c>
      <c r="IU31" s="138">
        <f t="shared" si="91"/>
        <v>0</v>
      </c>
      <c r="IV31" s="138">
        <f t="shared" si="92"/>
        <v>0</v>
      </c>
      <c r="IW31" s="138">
        <f t="shared" si="93"/>
        <v>0</v>
      </c>
      <c r="IX31" s="138">
        <f t="shared" si="94"/>
        <v>0</v>
      </c>
      <c r="IY31" s="138">
        <f t="shared" si="95"/>
        <v>0</v>
      </c>
      <c r="IZ31" s="138">
        <f t="shared" si="96"/>
        <v>0</v>
      </c>
      <c r="JA31" s="138">
        <f t="shared" si="97"/>
        <v>0</v>
      </c>
      <c r="JB31" s="138">
        <f t="shared" si="98"/>
        <v>0</v>
      </c>
      <c r="JC31" s="138">
        <f t="shared" si="99"/>
        <v>0</v>
      </c>
      <c r="JD31" s="138">
        <f t="shared" si="100"/>
        <v>0</v>
      </c>
      <c r="JE31" s="138">
        <f t="shared" si="101"/>
        <v>0</v>
      </c>
      <c r="JF31" s="138">
        <f t="shared" si="102"/>
        <v>0</v>
      </c>
      <c r="JG31" s="138">
        <f t="shared" si="103"/>
        <v>0</v>
      </c>
      <c r="JH31" s="138">
        <f t="shared" si="104"/>
        <v>0</v>
      </c>
      <c r="JI31" s="138">
        <f t="shared" si="105"/>
        <v>0</v>
      </c>
      <c r="JJ31" s="138">
        <f t="shared" si="106"/>
        <v>0</v>
      </c>
      <c r="JK31" s="138">
        <f t="shared" si="107"/>
        <v>0</v>
      </c>
      <c r="JL31" s="118">
        <f t="shared" si="111"/>
        <v>0</v>
      </c>
      <c r="JO31" s="90">
        <f t="shared" si="112"/>
        <v>6.5</v>
      </c>
      <c r="JP31" s="79">
        <f t="shared" si="108"/>
        <v>0</v>
      </c>
      <c r="JQ31" s="91">
        <f t="shared" si="2"/>
        <v>8.125</v>
      </c>
      <c r="JS31" s="123">
        <f t="shared" si="109"/>
        <v>0</v>
      </c>
      <c r="JU31" s="123">
        <f t="shared" si="113"/>
        <v>8.125</v>
      </c>
    </row>
    <row r="32" spans="2:281" x14ac:dyDescent="0.15">
      <c r="B32" s="82" t="str">
        <f>'MODU 2025'!B35</f>
        <v>PACHECO Guillaume</v>
      </c>
      <c r="C32" s="82" t="str">
        <f>'MODU 2025'!C35</f>
        <v>Production</v>
      </c>
      <c r="D32" s="82">
        <f>'MODU 2025'!D35</f>
        <v>37</v>
      </c>
      <c r="E32" s="82"/>
      <c r="F32" s="133">
        <f>'MODU 2025'!G35</f>
        <v>40</v>
      </c>
      <c r="G32" s="140">
        <f>'MODU 2025'!H35</f>
        <v>33</v>
      </c>
      <c r="H32" s="140">
        <f>'MODU 2025'!I35</f>
        <v>41</v>
      </c>
      <c r="I32" s="140">
        <f>'MODU 2025'!J35</f>
        <v>31.25</v>
      </c>
      <c r="J32" s="140">
        <f>'MODU 2025'!K35</f>
        <v>41</v>
      </c>
      <c r="K32" s="140">
        <f>'MODU 2025'!L35</f>
        <v>33</v>
      </c>
      <c r="L32" s="140">
        <f>'MODU 2025'!M35</f>
        <v>41</v>
      </c>
      <c r="M32" s="140">
        <f>'MODU 2025'!N35</f>
        <v>33</v>
      </c>
      <c r="N32" s="140">
        <f>'MODU 2025'!O35</f>
        <v>37.5</v>
      </c>
      <c r="O32" s="140">
        <f>'MODU 2025'!P35</f>
        <v>40.25</v>
      </c>
      <c r="P32" s="140">
        <f>'MODU 2025'!Q35</f>
        <v>41</v>
      </c>
      <c r="Q32" s="140">
        <f>'MODU 2025'!R35</f>
        <v>33</v>
      </c>
      <c r="R32" s="140">
        <f>'MODU 2025'!S35</f>
        <v>41</v>
      </c>
      <c r="S32" s="140">
        <f>'MODU 2025'!T35</f>
        <v>33</v>
      </c>
      <c r="T32" s="140">
        <f>'MODU 2025'!U35</f>
        <v>41</v>
      </c>
      <c r="U32" s="140">
        <f>'MODU 2025'!V35</f>
        <v>33</v>
      </c>
      <c r="V32" s="140">
        <f>'MODU 2025'!W35</f>
        <v>41</v>
      </c>
      <c r="W32" s="140">
        <f>'MODU 2025'!X35</f>
        <v>33</v>
      </c>
      <c r="X32" s="140">
        <f>'MODU 2025'!Y35</f>
        <v>41</v>
      </c>
      <c r="Y32" s="140">
        <f>'MODU 2025'!Z35</f>
        <v>33</v>
      </c>
      <c r="Z32" s="140">
        <f>'MODU 2025'!AA35</f>
        <v>41</v>
      </c>
      <c r="AA32" s="140">
        <f>'MODU 2025'!AB35</f>
        <v>33</v>
      </c>
      <c r="AB32" s="140">
        <f>'MODU 2025'!AC35</f>
        <v>41</v>
      </c>
      <c r="AC32" s="140">
        <f>'MODU 2025'!AD35</f>
        <v>33</v>
      </c>
      <c r="AD32" s="140">
        <f>'MODU 2025'!AE35</f>
        <v>41</v>
      </c>
      <c r="AE32" s="140">
        <f>'MODU 2025'!AF35</f>
        <v>33</v>
      </c>
      <c r="AF32" s="140">
        <f>'MODU 2025'!AG35</f>
        <v>41</v>
      </c>
      <c r="AG32" s="140">
        <f>'MODU 2025'!AH35</f>
        <v>33</v>
      </c>
      <c r="AH32" s="140">
        <f>'MODU 2025'!AI35</f>
        <v>41</v>
      </c>
      <c r="AI32" s="140">
        <f>'MODU 2025'!AJ35</f>
        <v>33</v>
      </c>
      <c r="AJ32" s="140">
        <f>'MODU 2025'!AK35</f>
        <v>41</v>
      </c>
      <c r="AK32" s="140">
        <f>'MODU 2025'!AL35</f>
        <v>33</v>
      </c>
      <c r="AL32" s="140">
        <f>'MODU 2025'!AM35</f>
        <v>41</v>
      </c>
      <c r="AM32" s="140">
        <f>'MODU 2025'!AN35</f>
        <v>33</v>
      </c>
      <c r="AN32" s="140">
        <f>'MODU 2025'!AO35</f>
        <v>41</v>
      </c>
      <c r="AO32" s="140">
        <f>'MODU 2025'!AP35</f>
        <v>33</v>
      </c>
      <c r="AP32" s="140">
        <f>'MODU 2025'!AQ35</f>
        <v>41</v>
      </c>
      <c r="AQ32" s="140">
        <f>'MODU 2025'!AR35</f>
        <v>33</v>
      </c>
      <c r="AR32" s="140">
        <f>'MODU 2025'!AS35</f>
        <v>41</v>
      </c>
      <c r="AS32" s="140">
        <f>'MODU 2025'!AT35</f>
        <v>33</v>
      </c>
      <c r="AT32" s="140">
        <f>'MODU 2025'!AU35</f>
        <v>41</v>
      </c>
      <c r="AU32" s="140">
        <f>'MODU 2025'!AV35</f>
        <v>33</v>
      </c>
      <c r="AV32" s="140">
        <f>'MODU 2025'!AW35</f>
        <v>41</v>
      </c>
      <c r="AW32" s="140">
        <f>'MODU 2025'!AX35</f>
        <v>33</v>
      </c>
      <c r="AX32" s="140">
        <f>'MODU 2025'!AY35</f>
        <v>41</v>
      </c>
      <c r="AY32" s="140">
        <f>'MODU 2025'!AZ35</f>
        <v>33</v>
      </c>
      <c r="AZ32" s="140">
        <f>'MODU 2025'!BA35</f>
        <v>41</v>
      </c>
      <c r="BA32" s="140">
        <f>'MODU 2025'!BB35</f>
        <v>33</v>
      </c>
      <c r="BB32" s="140">
        <f>'MODU 2025'!BC35</f>
        <v>41</v>
      </c>
      <c r="BC32" s="140">
        <f>'MODU 2025'!BD35</f>
        <v>33</v>
      </c>
      <c r="BD32" s="140">
        <f>'MODU 2025'!BE35</f>
        <v>41</v>
      </c>
      <c r="BE32" s="134">
        <f>'MODU 2025'!BF35</f>
        <v>33</v>
      </c>
      <c r="BF32" s="82"/>
      <c r="BG32" s="107">
        <v>41</v>
      </c>
      <c r="BH32" s="145">
        <v>33</v>
      </c>
      <c r="BI32" s="145">
        <v>41</v>
      </c>
      <c r="BJ32" s="145">
        <v>33</v>
      </c>
      <c r="BK32" s="145">
        <v>41</v>
      </c>
      <c r="BL32" s="145">
        <v>33</v>
      </c>
      <c r="BM32" s="145">
        <v>41</v>
      </c>
      <c r="BN32" s="145">
        <v>33</v>
      </c>
      <c r="BO32" s="145">
        <v>41</v>
      </c>
      <c r="BP32" s="145">
        <v>33</v>
      </c>
      <c r="BQ32" s="145">
        <v>41</v>
      </c>
      <c r="BR32" s="145">
        <v>33</v>
      </c>
      <c r="BS32" s="145">
        <v>41</v>
      </c>
      <c r="BT32" s="145">
        <v>33</v>
      </c>
      <c r="BU32" s="145">
        <v>41</v>
      </c>
      <c r="BV32" s="145">
        <v>33</v>
      </c>
      <c r="BW32" s="145">
        <v>41</v>
      </c>
      <c r="BX32" s="145">
        <v>33</v>
      </c>
      <c r="BY32" s="145">
        <v>41</v>
      </c>
      <c r="BZ32" s="145">
        <v>33</v>
      </c>
      <c r="CA32" s="145">
        <v>41</v>
      </c>
      <c r="CB32" s="145">
        <v>33</v>
      </c>
      <c r="CC32" s="145">
        <v>41</v>
      </c>
      <c r="CD32" s="145">
        <v>33</v>
      </c>
      <c r="CE32" s="145">
        <v>41</v>
      </c>
      <c r="CF32" s="145">
        <v>33</v>
      </c>
      <c r="CG32" s="145">
        <v>41</v>
      </c>
      <c r="CH32" s="145">
        <v>33</v>
      </c>
      <c r="CI32" s="145">
        <v>41</v>
      </c>
      <c r="CJ32" s="145">
        <v>33</v>
      </c>
      <c r="CK32" s="145">
        <v>41</v>
      </c>
      <c r="CL32" s="145">
        <v>33</v>
      </c>
      <c r="CM32" s="145">
        <v>41</v>
      </c>
      <c r="CN32" s="145">
        <v>33</v>
      </c>
      <c r="CO32" s="145">
        <v>41</v>
      </c>
      <c r="CP32" s="145">
        <v>33</v>
      </c>
      <c r="CQ32" s="145">
        <v>41</v>
      </c>
      <c r="CR32" s="145">
        <v>33</v>
      </c>
      <c r="CS32" s="145">
        <v>41</v>
      </c>
      <c r="CT32" s="145">
        <v>33</v>
      </c>
      <c r="CU32" s="145">
        <v>41</v>
      </c>
      <c r="CV32" s="145">
        <v>33</v>
      </c>
      <c r="CW32" s="145">
        <v>41</v>
      </c>
      <c r="CX32" s="145">
        <v>33</v>
      </c>
      <c r="CY32" s="145">
        <v>41</v>
      </c>
      <c r="CZ32" s="145">
        <v>33</v>
      </c>
      <c r="DA32" s="145">
        <v>41</v>
      </c>
      <c r="DB32" s="145">
        <v>33</v>
      </c>
      <c r="DC32" s="145">
        <v>41</v>
      </c>
      <c r="DD32" s="145">
        <v>33</v>
      </c>
      <c r="DE32" s="145">
        <v>41</v>
      </c>
      <c r="DF32" s="108">
        <v>33</v>
      </c>
      <c r="DG32" s="84"/>
      <c r="DH32" s="112">
        <f t="shared" si="3"/>
        <v>0</v>
      </c>
      <c r="DI32" s="138">
        <f t="shared" si="4"/>
        <v>-1</v>
      </c>
      <c r="DJ32" s="138">
        <f t="shared" si="5"/>
        <v>0</v>
      </c>
      <c r="DK32" s="138">
        <f t="shared" si="6"/>
        <v>-1.75</v>
      </c>
      <c r="DL32" s="138">
        <f t="shared" si="7"/>
        <v>0</v>
      </c>
      <c r="DM32" s="138">
        <f t="shared" si="8"/>
        <v>0</v>
      </c>
      <c r="DN32" s="138">
        <f t="shared" si="9"/>
        <v>0</v>
      </c>
      <c r="DO32" s="138">
        <f t="shared" si="10"/>
        <v>0</v>
      </c>
      <c r="DP32" s="138">
        <f t="shared" si="11"/>
        <v>0</v>
      </c>
      <c r="DQ32" s="138">
        <f t="shared" si="12"/>
        <v>3.75</v>
      </c>
      <c r="DR32" s="138">
        <f t="shared" si="13"/>
        <v>0</v>
      </c>
      <c r="DS32" s="138">
        <f t="shared" si="14"/>
        <v>0</v>
      </c>
      <c r="DT32" s="138">
        <f t="shared" si="15"/>
        <v>0</v>
      </c>
      <c r="DU32" s="138">
        <f t="shared" si="16"/>
        <v>0</v>
      </c>
      <c r="DV32" s="138">
        <f t="shared" si="17"/>
        <v>0</v>
      </c>
      <c r="DW32" s="138">
        <f t="shared" si="18"/>
        <v>0</v>
      </c>
      <c r="DX32" s="138">
        <f t="shared" si="19"/>
        <v>0</v>
      </c>
      <c r="DY32" s="138">
        <f t="shared" si="20"/>
        <v>0</v>
      </c>
      <c r="DZ32" s="138">
        <f t="shared" si="21"/>
        <v>0</v>
      </c>
      <c r="EA32" s="138">
        <f t="shared" si="22"/>
        <v>0</v>
      </c>
      <c r="EB32" s="138">
        <f t="shared" si="23"/>
        <v>0</v>
      </c>
      <c r="EC32" s="138">
        <f t="shared" si="24"/>
        <v>0</v>
      </c>
      <c r="ED32" s="138">
        <f t="shared" si="25"/>
        <v>0</v>
      </c>
      <c r="EE32" s="138">
        <f t="shared" si="26"/>
        <v>0</v>
      </c>
      <c r="EF32" s="138">
        <f t="shared" si="27"/>
        <v>0</v>
      </c>
      <c r="EG32" s="138">
        <f t="shared" si="28"/>
        <v>0</v>
      </c>
      <c r="EH32" s="138">
        <f t="shared" si="29"/>
        <v>0</v>
      </c>
      <c r="EI32" s="138">
        <f t="shared" si="30"/>
        <v>0</v>
      </c>
      <c r="EJ32" s="138">
        <f t="shared" si="31"/>
        <v>0</v>
      </c>
      <c r="EK32" s="138">
        <f t="shared" si="32"/>
        <v>0</v>
      </c>
      <c r="EL32" s="138">
        <f t="shared" si="33"/>
        <v>0</v>
      </c>
      <c r="EM32" s="138">
        <f t="shared" si="34"/>
        <v>0</v>
      </c>
      <c r="EN32" s="138">
        <f t="shared" si="35"/>
        <v>0</v>
      </c>
      <c r="EO32" s="138">
        <f t="shared" si="36"/>
        <v>0</v>
      </c>
      <c r="EP32" s="138">
        <f t="shared" si="37"/>
        <v>0</v>
      </c>
      <c r="EQ32" s="138">
        <f t="shared" si="38"/>
        <v>0</v>
      </c>
      <c r="ER32" s="138">
        <f t="shared" si="39"/>
        <v>0</v>
      </c>
      <c r="ES32" s="138">
        <f t="shared" si="40"/>
        <v>0</v>
      </c>
      <c r="ET32" s="138">
        <f t="shared" si="41"/>
        <v>0</v>
      </c>
      <c r="EU32" s="138">
        <f t="shared" si="42"/>
        <v>0</v>
      </c>
      <c r="EV32" s="138">
        <f t="shared" si="43"/>
        <v>0</v>
      </c>
      <c r="EW32" s="138">
        <f t="shared" si="44"/>
        <v>0</v>
      </c>
      <c r="EX32" s="138">
        <f t="shared" si="45"/>
        <v>0</v>
      </c>
      <c r="EY32" s="138">
        <f t="shared" si="46"/>
        <v>0</v>
      </c>
      <c r="EZ32" s="138">
        <f t="shared" si="47"/>
        <v>0</v>
      </c>
      <c r="FA32" s="138">
        <f t="shared" si="48"/>
        <v>0</v>
      </c>
      <c r="FB32" s="138">
        <f t="shared" si="49"/>
        <v>0</v>
      </c>
      <c r="FC32" s="138">
        <f t="shared" si="50"/>
        <v>0</v>
      </c>
      <c r="FD32" s="138">
        <f t="shared" si="51"/>
        <v>0</v>
      </c>
      <c r="FE32" s="138">
        <f t="shared" si="52"/>
        <v>0</v>
      </c>
      <c r="FF32" s="138">
        <f t="shared" si="53"/>
        <v>0</v>
      </c>
      <c r="FG32" s="113">
        <f t="shared" si="54"/>
        <v>0</v>
      </c>
      <c r="FH32" s="113">
        <f t="shared" si="55"/>
        <v>1</v>
      </c>
      <c r="FI32" s="35"/>
      <c r="FJ32" s="151" cm="1">
        <f t="array" ref="FJ32">IF($C32="Production",
IFERROR(_xlfn.IFS(AND(DH32&gt;0,DH32+SUM(BF32:BG32)&lt;=$FM$3),DH32,AND(DH32&gt;0,DH32+SUM(BF32:BG32)&gt;$FM$3),$FM$3-SUM(BF32:BG32)),0),
IFERROR(_xlfn.IFS(AND(DH32&gt;0,DH32+BG32&lt;=$FK$3),DH32,AND(DH32&gt;0,DH32+BG32&gt;$FK$3),0),0)
)</f>
        <v>0</v>
      </c>
      <c r="FK32" s="152" cm="1">
        <f t="array" ref="FK32">IF($C32="Production",
IFERROR(_xlfn.IFS(AND(DI32&gt;0,DI32+SUM(BG32:BH32)&lt;=$FM$3),DI32,AND(DI32&gt;0,DI32+SUM(BG32:BH32)&gt;$FM$3),$FM$3-SUM(BG32:BH32)),0),
IFERROR(_xlfn.IFS(AND(DI32&gt;0,DI32+BH32&lt;=$FK$3),DI32,AND(DI32&gt;0,DI32+BH32&gt;$FK$3),0),0)
)</f>
        <v>0</v>
      </c>
      <c r="FL32" s="152" cm="1">
        <f t="array" ref="FL32">IF($C32="Production",
IFERROR(_xlfn.IFS(AND(DJ32&gt;0,DJ32+SUM(BH32:BI32)&lt;=$FM$3),DJ32,AND(DJ32&gt;0,DJ32+SUM(BH32:BI32)&gt;$FM$3),$FM$3-SUM(BH32:BI32)),0),
IFERROR(_xlfn.IFS(AND(DJ32&gt;0,DJ32+BI32&lt;=$FK$3),DJ32,AND(DJ32&gt;0,DJ32+BI32&gt;$FK$3),0),0)
)</f>
        <v>0</v>
      </c>
      <c r="FM32" s="152" cm="1">
        <f t="array" ref="FM32">IF($C32="Production",
IFERROR(_xlfn.IFS(AND(DK32&gt;0,DK32+SUM(BI32:BJ32)&lt;=$FM$3),DK32,AND(DK32&gt;0,DK32+SUM(BI32:BJ32)&gt;$FM$3),$FM$3-SUM(BI32:BJ32)),0),
IFERROR(_xlfn.IFS(AND(DK32&gt;0,DK32+BJ32&lt;=$FK$3),DK32,AND(DK32&gt;0,DK32+BJ32&gt;$FK$3),0),0)
)</f>
        <v>0</v>
      </c>
      <c r="FN32" s="152" cm="1">
        <f t="array" ref="FN32">IF($C32="Production",
IFERROR(_xlfn.IFS(AND(DL32&gt;0,DL32+SUM(BJ32:BK32)&lt;=$FM$3),DL32,AND(DL32&gt;0,DL32+SUM(BJ32:BK32)&gt;$FM$3),$FM$3-SUM(BJ32:BK32)),0),
IFERROR(_xlfn.IFS(AND(DL32&gt;0,DL32+BK32&lt;=$FK$3),DL32,AND(DL32&gt;0,DL32+BK32&gt;$FK$3),0),0)
)</f>
        <v>0</v>
      </c>
      <c r="FO32" s="152" cm="1">
        <f t="array" ref="FO32">IF($C32="Production",
IFERROR(_xlfn.IFS(AND(DM32&gt;0,DM32+SUM(BK32:BL32)&lt;=$FM$3),DM32,AND(DM32&gt;0,DM32+SUM(BK32:BL32)&gt;$FM$3),$FM$3-SUM(BK32:BL32)),0),
IFERROR(_xlfn.IFS(AND(DM32&gt;0,DM32+BL32&lt;=$FK$3),DM32,AND(DM32&gt;0,DM32+BL32&gt;$FK$3),0),0)
)</f>
        <v>0</v>
      </c>
      <c r="FP32" s="152" cm="1">
        <f t="array" ref="FP32">IF($C32="Production",
IFERROR(_xlfn.IFS(AND(DN32&gt;0,DN32+SUM(BL32:BM32)&lt;=$FM$3),DN32,AND(DN32&gt;0,DN32+SUM(BL32:BM32)&gt;$FM$3),$FM$3-SUM(BL32:BM32)),0),
IFERROR(_xlfn.IFS(AND(DN32&gt;0,DN32+BM32&lt;=$FK$3),DN32,AND(DN32&gt;0,DN32+BM32&gt;$FK$3),0),0)
)</f>
        <v>0</v>
      </c>
      <c r="FQ32" s="152" cm="1">
        <f t="array" ref="FQ32">IF($C32="Production",
IFERROR(_xlfn.IFS(AND(DO32&gt;0,DO32+SUM(BM32:BN32)&lt;=$FM$3),DO32,AND(DO32&gt;0,DO32+SUM(BM32:BN32)&gt;$FM$3),$FM$3-SUM(BM32:BN32)),0),
IFERROR(_xlfn.IFS(AND(DO32&gt;0,DO32+BN32&lt;=$FK$3),DO32,AND(DO32&gt;0,DO32+BN32&gt;$FK$3),0),0)
)</f>
        <v>0</v>
      </c>
      <c r="FR32" s="152" cm="1">
        <f t="array" ref="FR32">IF($C32="Production",
IFERROR(_xlfn.IFS(AND(DP32&gt;0,DP32+SUM(BN32:BO32)&lt;=$FM$3),DP32,AND(DP32&gt;0,DP32+SUM(BN32:BO32)&gt;$FM$3),$FM$3-SUM(BN32:BO32)),0),
IFERROR(_xlfn.IFS(AND(DP32&gt;0,DP32+BO32&lt;=$FK$3),DP32,AND(DP32&gt;0,DP32+BO32&gt;$FK$3),0),0)
)</f>
        <v>0</v>
      </c>
      <c r="FS32" s="152" cm="1">
        <f t="array" ref="FS32">IF($C32="Production",
IFERROR(_xlfn.IFS(AND(DQ32&gt;0,DQ32+SUM(BO32:BP32)&lt;=$FM$3),DQ32,AND(DQ32&gt;0,DQ32+SUM(BO32:BP32)&gt;$FM$3),$FM$3-SUM(BO32:BP32)),0),
IFERROR(_xlfn.IFS(AND(DQ32&gt;0,DQ32+BP32&lt;=$FK$3),DQ32,AND(DQ32&gt;0,DQ32+BP32&gt;$FK$3),0),0)
)</f>
        <v>3.75</v>
      </c>
      <c r="FT32" s="152" cm="1">
        <f t="array" ref="FT32">IF($C32="Production",
IFERROR(_xlfn.IFS(AND(DR32&gt;0,DR32+SUM(BP32:BQ32)&lt;=$FM$3),DR32,AND(DR32&gt;0,DR32+SUM(BP32:BQ32)&gt;$FM$3),$FM$3-SUM(BP32:BQ32)),0),
IFERROR(_xlfn.IFS(AND(DR32&gt;0,DR32+BQ32&lt;=$FK$3),DR32,AND(DR32&gt;0,DR32+BQ32&gt;$FK$3),0),0)
)</f>
        <v>0</v>
      </c>
      <c r="FU32" s="152" cm="1">
        <f t="array" ref="FU32">IF($C32="Production",
IFERROR(_xlfn.IFS(AND(DS32&gt;0,DS32+SUM(BQ32:BR32)&lt;=$FM$3),DS32,AND(DS32&gt;0,DS32+SUM(BQ32:BR32)&gt;$FM$3),$FM$3-SUM(BQ32:BR32)),0),
IFERROR(_xlfn.IFS(AND(DS32&gt;0,DS32+BR32&lt;=$FK$3),DS32,AND(DS32&gt;0,DS32+BR32&gt;$FK$3),0),0)
)</f>
        <v>0</v>
      </c>
      <c r="FV32" s="152" cm="1">
        <f t="array" ref="FV32">IF($C32="Production",
IFERROR(_xlfn.IFS(AND(DT32&gt;0,DT32+SUM(BR32:BS32)&lt;=$FM$3),DT32,AND(DT32&gt;0,DT32+SUM(BR32:BS32)&gt;$FM$3),$FM$3-SUM(BR32:BS32)),0),
IFERROR(_xlfn.IFS(AND(DT32&gt;0,DT32+BS32&lt;=$FK$3),DT32,AND(DT32&gt;0,DT32+BS32&gt;$FK$3),0),0)
)</f>
        <v>0</v>
      </c>
      <c r="FW32" s="152" cm="1">
        <f t="array" ref="FW32">IF($C32="Production",
IFERROR(_xlfn.IFS(AND(DU32&gt;0,DU32+SUM(BS32:BT32)&lt;=$FM$3),DU32,AND(DU32&gt;0,DU32+SUM(BS32:BT32)&gt;$FM$3),$FM$3-SUM(BS32:BT32)),0),
IFERROR(_xlfn.IFS(AND(DU32&gt;0,DU32+BT32&lt;=$FK$3),DU32,AND(DU32&gt;0,DU32+BT32&gt;$FK$3),0),0)
)</f>
        <v>0</v>
      </c>
      <c r="FX32" s="152" cm="1">
        <f t="array" ref="FX32">IF($C32="Production",
IFERROR(_xlfn.IFS(AND(DV32&gt;0,DV32+SUM(BT32:BU32)&lt;=$FM$3),DV32,AND(DV32&gt;0,DV32+SUM(BT32:BU32)&gt;$FM$3),$FM$3-SUM(BT32:BU32)),0),
IFERROR(_xlfn.IFS(AND(DV32&gt;0,DV32+BU32&lt;=$FK$3),DV32,AND(DV32&gt;0,DV32+BU32&gt;$FK$3),0),0)
)</f>
        <v>0</v>
      </c>
      <c r="FY32" s="152" cm="1">
        <f t="array" ref="FY32">IF($C32="Production",
IFERROR(_xlfn.IFS(AND(DW32&gt;0,DW32+SUM(BU32:BV32)&lt;=$FM$3),DW32,AND(DW32&gt;0,DW32+SUM(BU32:BV32)&gt;$FM$3),$FM$3-SUM(BU32:BV32)),0),
IFERROR(_xlfn.IFS(AND(DW32&gt;0,DW32+BV32&lt;=$FK$3),DW32,AND(DW32&gt;0,DW32+BV32&gt;$FK$3),0),0)
)</f>
        <v>0</v>
      </c>
      <c r="FZ32" s="152" cm="1">
        <f t="array" ref="FZ32">IF($C32="Production",
IFERROR(_xlfn.IFS(AND(DX32&gt;0,DX32+SUM(BV32:BW32)&lt;=$FM$3),DX32,AND(DX32&gt;0,DX32+SUM(BV32:BW32)&gt;$FM$3),$FM$3-SUM(BV32:BW32)),0),
IFERROR(_xlfn.IFS(AND(DX32&gt;0,DX32+BW32&lt;=$FK$3),DX32,AND(DX32&gt;0,DX32+BW32&gt;$FK$3),0),0)
)</f>
        <v>0</v>
      </c>
      <c r="GA32" s="152" cm="1">
        <f t="array" ref="GA32">IF($C32="Production",
IFERROR(_xlfn.IFS(AND(DY32&gt;0,DY32+SUM(BW32:BX32)&lt;=$FM$3),DY32,AND(DY32&gt;0,DY32+SUM(BW32:BX32)&gt;$FM$3),$FM$3-SUM(BW32:BX32)),0),
IFERROR(_xlfn.IFS(AND(DY32&gt;0,DY32+BX32&lt;=$FK$3),DY32,AND(DY32&gt;0,DY32+BX32&gt;$FK$3),0),0)
)</f>
        <v>0</v>
      </c>
      <c r="GB32" s="152" cm="1">
        <f t="array" ref="GB32">IF($C32="Production",
IFERROR(_xlfn.IFS(AND(DZ32&gt;0,DZ32+SUM(BX32:BY32)&lt;=$FM$3),DZ32,AND(DZ32&gt;0,DZ32+SUM(BX32:BY32)&gt;$FM$3),$FM$3-SUM(BX32:BY32)),0),
IFERROR(_xlfn.IFS(AND(DZ32&gt;0,DZ32+BY32&lt;=$FK$3),DZ32,AND(DZ32&gt;0,DZ32+BY32&gt;$FK$3),0),0)
)</f>
        <v>0</v>
      </c>
      <c r="GC32" s="152" cm="1">
        <f t="array" ref="GC32">IF($C32="Production",
IFERROR(_xlfn.IFS(AND(EA32&gt;0,EA32+SUM(BY32:BZ32)&lt;=$FM$3),EA32,AND(EA32&gt;0,EA32+SUM(BY32:BZ32)&gt;$FM$3),$FM$3-SUM(BY32:BZ32)),0),
IFERROR(_xlfn.IFS(AND(EA32&gt;0,EA32+BZ32&lt;=$FK$3),EA32,AND(EA32&gt;0,EA32+BZ32&gt;$FK$3),0),0)
)</f>
        <v>0</v>
      </c>
      <c r="GD32" s="152" cm="1">
        <f t="array" ref="GD32">IF($C32="Production",
IFERROR(_xlfn.IFS(AND(EB32&gt;0,EB32+SUM(BZ32:CA32)&lt;=$FM$3),EB32,AND(EB32&gt;0,EB32+SUM(BZ32:CA32)&gt;$FM$3),$FM$3-SUM(BZ32:CA32)),0),
IFERROR(_xlfn.IFS(AND(EB32&gt;0,EB32+CA32&lt;=$FK$3),EB32,AND(EB32&gt;0,EB32+CA32&gt;$FK$3),0),0)
)</f>
        <v>0</v>
      </c>
      <c r="GE32" s="152" cm="1">
        <f t="array" ref="GE32">IF($C32="Production",
IFERROR(_xlfn.IFS(AND(EC32&gt;0,EC32+SUM(CA32:CB32)&lt;=$FM$3),EC32,AND(EC32&gt;0,EC32+SUM(CA32:CB32)&gt;$FM$3),$FM$3-SUM(CA32:CB32)),0),
IFERROR(_xlfn.IFS(AND(EC32&gt;0,EC32+CB32&lt;=$FK$3),EC32,AND(EC32&gt;0,EC32+CB32&gt;$FK$3),0),0)
)</f>
        <v>0</v>
      </c>
      <c r="GF32" s="152" cm="1">
        <f t="array" ref="GF32">IF($C32="Production",
IFERROR(_xlfn.IFS(AND(ED32&gt;0,ED32+SUM(CB32:CC32)&lt;=$FM$3),ED32,AND(ED32&gt;0,ED32+SUM(CB32:CC32)&gt;$FM$3),$FM$3-SUM(CB32:CC32)),0),
IFERROR(_xlfn.IFS(AND(ED32&gt;0,ED32+CC32&lt;=$FK$3),ED32,AND(ED32&gt;0,ED32+CC32&gt;$FK$3),0),0)
)</f>
        <v>0</v>
      </c>
      <c r="GG32" s="152" cm="1">
        <f t="array" ref="GG32">IF($C32="Production",
IFERROR(_xlfn.IFS(AND(EE32&gt;0,EE32+SUM(CC32:CD32)&lt;=$FM$3),EE32,AND(EE32&gt;0,EE32+SUM(CC32:CD32)&gt;$FM$3),$FM$3-SUM(CC32:CD32)),0),
IFERROR(_xlfn.IFS(AND(EE32&gt;0,EE32+CD32&lt;=$FK$3),EE32,AND(EE32&gt;0,EE32+CD32&gt;$FK$3),0),0)
)</f>
        <v>0</v>
      </c>
      <c r="GH32" s="152" cm="1">
        <f t="array" ref="GH32">IF($C32="Production",
IFERROR(_xlfn.IFS(AND(EF32&gt;0,EF32+SUM(CD32:CE32)&lt;=$FM$3),EF32,AND(EF32&gt;0,EF32+SUM(CD32:CE32)&gt;$FM$3),$FM$3-SUM(CD32:CE32)),0),
IFERROR(_xlfn.IFS(AND(EF32&gt;0,EF32+CE32&lt;=$FK$3),EF32,AND(EF32&gt;0,EF32+CE32&gt;$FK$3),0),0)
)</f>
        <v>0</v>
      </c>
      <c r="GI32" s="152" cm="1">
        <f t="array" ref="GI32">IF($C32="Production",
IFERROR(_xlfn.IFS(AND(EG32&gt;0,EG32+SUM(CE32:CF32)&lt;=$FM$3),EG32,AND(EG32&gt;0,EG32+SUM(CE32:CF32)&gt;$FM$3),$FM$3-SUM(CE32:CF32)),0),
IFERROR(_xlfn.IFS(AND(EG32&gt;0,EG32+CF32&lt;=$FK$3),EG32,AND(EG32&gt;0,EG32+CF32&gt;$FK$3),0),0)
)</f>
        <v>0</v>
      </c>
      <c r="GJ32" s="152" cm="1">
        <f t="array" ref="GJ32">IF($C32="Production",
IFERROR(_xlfn.IFS(AND(EH32&gt;0,EH32+SUM(CF32:CG32)&lt;=$FM$3),EH32,AND(EH32&gt;0,EH32+SUM(CF32:CG32)&gt;$FM$3),$FM$3-SUM(CF32:CG32)),0),
IFERROR(_xlfn.IFS(AND(EH32&gt;0,EH32+CG32&lt;=$FK$3),EH32,AND(EH32&gt;0,EH32+CG32&gt;$FK$3),0),0)
)</f>
        <v>0</v>
      </c>
      <c r="GK32" s="152" cm="1">
        <f t="array" ref="GK32">IF($C32="Production",
IFERROR(_xlfn.IFS(AND(EI32&gt;0,EI32+SUM(CG32:CH32)&lt;=$FM$3),EI32,AND(EI32&gt;0,EI32+SUM(CG32:CH32)&gt;$FM$3),$FM$3-SUM(CG32:CH32)),0),
IFERROR(_xlfn.IFS(AND(EI32&gt;0,EI32+CH32&lt;=$FK$3),EI32,AND(EI32&gt;0,EI32+CH32&gt;$FK$3),0),0)
)</f>
        <v>0</v>
      </c>
      <c r="GL32" s="152" cm="1">
        <f t="array" ref="GL32">IF($C32="Production",
IFERROR(_xlfn.IFS(AND(EJ32&gt;0,EJ32+SUM(CH32:CI32)&lt;=$FM$3),EJ32,AND(EJ32&gt;0,EJ32+SUM(CH32:CI32)&gt;$FM$3),$FM$3-SUM(CH32:CI32)),0),
IFERROR(_xlfn.IFS(AND(EJ32&gt;0,EJ32+CI32&lt;=$FK$3),EJ32,AND(EJ32&gt;0,EJ32+CI32&gt;$FK$3),0),0)
)</f>
        <v>0</v>
      </c>
      <c r="GM32" s="152" cm="1">
        <f t="array" ref="GM32">IF($C32="Production",
IFERROR(_xlfn.IFS(AND(EK32&gt;0,EK32+SUM(CI32:CJ32)&lt;=$FM$3),EK32,AND(EK32&gt;0,EK32+SUM(CI32:CJ32)&gt;$FM$3),$FM$3-SUM(CI32:CJ32)),0),
IFERROR(_xlfn.IFS(AND(EK32&gt;0,EK32+CJ32&lt;=$FK$3),EK32,AND(EK32&gt;0,EK32+CJ32&gt;$FK$3),0),0)
)</f>
        <v>0</v>
      </c>
      <c r="GN32" s="152" cm="1">
        <f t="array" ref="GN32">IF($C32="Production",
IFERROR(_xlfn.IFS(AND(EL32&gt;0,EL32+SUM(CJ32:CK32)&lt;=$FM$3),EL32,AND(EL32&gt;0,EL32+SUM(CJ32:CK32)&gt;$FM$3),$FM$3-SUM(CJ32:CK32)),0),
IFERROR(_xlfn.IFS(AND(EL32&gt;0,EL32+CK32&lt;=$FK$3),EL32,AND(EL32&gt;0,EL32+CK32&gt;$FK$3),0),0)
)</f>
        <v>0</v>
      </c>
      <c r="GO32" s="152" cm="1">
        <f t="array" ref="GO32">IF($C32="Production",
IFERROR(_xlfn.IFS(AND(EM32&gt;0,EM32+SUM(CK32:CL32)&lt;=$FM$3),EM32,AND(EM32&gt;0,EM32+SUM(CK32:CL32)&gt;$FM$3),$FM$3-SUM(CK32:CL32)),0),
IFERROR(_xlfn.IFS(AND(EM32&gt;0,EM32+CL32&lt;=$FK$3),EM32,AND(EM32&gt;0,EM32+CL32&gt;$FK$3),0),0)
)</f>
        <v>0</v>
      </c>
      <c r="GP32" s="152" cm="1">
        <f t="array" ref="GP32">IF($C32="Production",
IFERROR(_xlfn.IFS(AND(EN32&gt;0,EN32+SUM(CL32:CM32)&lt;=$FM$3),EN32,AND(EN32&gt;0,EN32+SUM(CL32:CM32)&gt;$FM$3),$FM$3-SUM(CL32:CM32)),0),
IFERROR(_xlfn.IFS(AND(EN32&gt;0,EN32+CM32&lt;=$FK$3),EN32,AND(EN32&gt;0,EN32+CM32&gt;$FK$3),0),0)
)</f>
        <v>0</v>
      </c>
      <c r="GQ32" s="152" cm="1">
        <f t="array" ref="GQ32">IF($C32="Production",
IFERROR(_xlfn.IFS(AND(EO32&gt;0,EO32+SUM(CM32:CN32)&lt;=$FM$3),EO32,AND(EO32&gt;0,EO32+SUM(CM32:CN32)&gt;$FM$3),$FM$3-SUM(CM32:CN32)),0),
IFERROR(_xlfn.IFS(AND(EO32&gt;0,EO32+CN32&lt;=$FK$3),EO32,AND(EO32&gt;0,EO32+CN32&gt;$FK$3),0),0)
)</f>
        <v>0</v>
      </c>
      <c r="GR32" s="152" cm="1">
        <f t="array" ref="GR32">IF($C32="Production",
IFERROR(_xlfn.IFS(AND(EP32&gt;0,EP32+SUM(CN32:CO32)&lt;=$FM$3),EP32,AND(EP32&gt;0,EP32+SUM(CN32:CO32)&gt;$FM$3),$FM$3-SUM(CN32:CO32)),0),
IFERROR(_xlfn.IFS(AND(EP32&gt;0,EP32+CO32&lt;=$FK$3),EP32,AND(EP32&gt;0,EP32+CO32&gt;$FK$3),0),0)
)</f>
        <v>0</v>
      </c>
      <c r="GS32" s="152" cm="1">
        <f t="array" ref="GS32">IF($C32="Production",
IFERROR(_xlfn.IFS(AND(EQ32&gt;0,EQ32+SUM(CO32:CP32)&lt;=$FM$3),EQ32,AND(EQ32&gt;0,EQ32+SUM(CO32:CP32)&gt;$FM$3),$FM$3-SUM(CO32:CP32)),0),
IFERROR(_xlfn.IFS(AND(EQ32&gt;0,EQ32+CP32&lt;=$FK$3),EQ32,AND(EQ32&gt;0,EQ32+CP32&gt;$FK$3),0),0)
)</f>
        <v>0</v>
      </c>
      <c r="GT32" s="152" cm="1">
        <f t="array" ref="GT32">IF($C32="Production",
IFERROR(_xlfn.IFS(AND(ER32&gt;0,ER32+SUM(CP32:CQ32)&lt;=$FM$3),ER32,AND(ER32&gt;0,ER32+SUM(CP32:CQ32)&gt;$FM$3),$FM$3-SUM(CP32:CQ32)),0),
IFERROR(_xlfn.IFS(AND(ER32&gt;0,ER32+CQ32&lt;=$FK$3),ER32,AND(ER32&gt;0,ER32+CQ32&gt;$FK$3),0),0)
)</f>
        <v>0</v>
      </c>
      <c r="GU32" s="152" cm="1">
        <f t="array" ref="GU32">IF($C32="Production",
IFERROR(_xlfn.IFS(AND(ES32&gt;0,ES32+SUM(CQ32:CR32)&lt;=$FM$3),ES32,AND(ES32&gt;0,ES32+SUM(CQ32:CR32)&gt;$FM$3),$FM$3-SUM(CQ32:CR32)),0),
IFERROR(_xlfn.IFS(AND(ES32&gt;0,ES32+CR32&lt;=$FK$3),ES32,AND(ES32&gt;0,ES32+CR32&gt;$FK$3),0),0)
)</f>
        <v>0</v>
      </c>
      <c r="GV32" s="152" cm="1">
        <f t="array" ref="GV32">IF($C32="Production",
IFERROR(_xlfn.IFS(AND(ET32&gt;0,ET32+SUM(CR32:CS32)&lt;=$FM$3),ET32,AND(ET32&gt;0,ET32+SUM(CR32:CS32)&gt;$FM$3),$FM$3-SUM(CR32:CS32)),0),
IFERROR(_xlfn.IFS(AND(ET32&gt;0,ET32+CS32&lt;=$FK$3),ET32,AND(ET32&gt;0,ET32+CS32&gt;$FK$3),0),0)
)</f>
        <v>0</v>
      </c>
      <c r="GW32" s="152" cm="1">
        <f t="array" ref="GW32">IF($C32="Production",
IFERROR(_xlfn.IFS(AND(EU32&gt;0,EU32+SUM(CS32:CT32)&lt;=$FM$3),EU32,AND(EU32&gt;0,EU32+SUM(CS32:CT32)&gt;$FM$3),$FM$3-SUM(CS32:CT32)),0),
IFERROR(_xlfn.IFS(AND(EU32&gt;0,EU32+CT32&lt;=$FK$3),EU32,AND(EU32&gt;0,EU32+CT32&gt;$FK$3),0),0)
)</f>
        <v>0</v>
      </c>
      <c r="GX32" s="152" cm="1">
        <f t="array" ref="GX32">IF($C32="Production",
IFERROR(_xlfn.IFS(AND(EV32&gt;0,EV32+SUM(CT32:CU32)&lt;=$FM$3),EV32,AND(EV32&gt;0,EV32+SUM(CT32:CU32)&gt;$FM$3),$FM$3-SUM(CT32:CU32)),0),
IFERROR(_xlfn.IFS(AND(EV32&gt;0,EV32+CU32&lt;=$FK$3),EV32,AND(EV32&gt;0,EV32+CU32&gt;$FK$3),0),0)
)</f>
        <v>0</v>
      </c>
      <c r="GY32" s="152" cm="1">
        <f t="array" ref="GY32">IF($C32="Production",
IFERROR(_xlfn.IFS(AND(EW32&gt;0,EW32+SUM(CU32:CV32)&lt;=$FM$3),EW32,AND(EW32&gt;0,EW32+SUM(CU32:CV32)&gt;$FM$3),$FM$3-SUM(CU32:CV32)),0),
IFERROR(_xlfn.IFS(AND(EW32&gt;0,EW32+CV32&lt;=$FK$3),EW32,AND(EW32&gt;0,EW32+CV32&gt;$FK$3),0),0)
)</f>
        <v>0</v>
      </c>
      <c r="GZ32" s="152" cm="1">
        <f t="array" ref="GZ32">IF($C32="Production",
IFERROR(_xlfn.IFS(AND(EX32&gt;0,EX32+SUM(CV32:CW32)&lt;=$FM$3),EX32,AND(EX32&gt;0,EX32+SUM(CV32:CW32)&gt;$FM$3),$FM$3-SUM(CV32:CW32)),0),
IFERROR(_xlfn.IFS(AND(EX32&gt;0,EX32+CW32&lt;=$FK$3),EX32,AND(EX32&gt;0,EX32+CW32&gt;$FK$3),0),0)
)</f>
        <v>0</v>
      </c>
      <c r="HA32" s="152" cm="1">
        <f t="array" ref="HA32">IF($C32="Production",
IFERROR(_xlfn.IFS(AND(EY32&gt;0,EY32+SUM(CW32:CX32)&lt;=$FM$3),EY32,AND(EY32&gt;0,EY32+SUM(CW32:CX32)&gt;$FM$3),$FM$3-SUM(CW32:CX32)),0),
IFERROR(_xlfn.IFS(AND(EY32&gt;0,EY32+CX32&lt;=$FK$3),EY32,AND(EY32&gt;0,EY32+CX32&gt;$FK$3),0),0)
)</f>
        <v>0</v>
      </c>
      <c r="HB32" s="152" cm="1">
        <f t="array" ref="HB32">IF($C32="Production",
IFERROR(_xlfn.IFS(AND(EZ32&gt;0,EZ32+SUM(CX32:CY32)&lt;=$FM$3),EZ32,AND(EZ32&gt;0,EZ32+SUM(CX32:CY32)&gt;$FM$3),$FM$3-SUM(CX32:CY32)),0),
IFERROR(_xlfn.IFS(AND(EZ32&gt;0,EZ32+CY32&lt;=$FK$3),EZ32,AND(EZ32&gt;0,EZ32+CY32&gt;$FK$3),0),0)
)</f>
        <v>0</v>
      </c>
      <c r="HC32" s="152" cm="1">
        <f t="array" ref="HC32">IF($C32="Production",
IFERROR(_xlfn.IFS(AND(FA32&gt;0,FA32+SUM(CY32:CZ32)&lt;=$FM$3),FA32,AND(FA32&gt;0,FA32+SUM(CY32:CZ32)&gt;$FM$3),$FM$3-SUM(CY32:CZ32)),0),
IFERROR(_xlfn.IFS(AND(FA32&gt;0,FA32+CZ32&lt;=$FK$3),FA32,AND(FA32&gt;0,FA32+CZ32&gt;$FK$3),0),0)
)</f>
        <v>0</v>
      </c>
      <c r="HD32" s="152" cm="1">
        <f t="array" ref="HD32">IF($C32="Production",
IFERROR(_xlfn.IFS(AND(FB32&gt;0,FB32+SUM(CZ32:DA32)&lt;=$FM$3),FB32,AND(FB32&gt;0,FB32+SUM(CZ32:DA32)&gt;$FM$3),$FM$3-SUM(CZ32:DA32)),0),
IFERROR(_xlfn.IFS(AND(FB32&gt;0,FB32+DA32&lt;=$FK$3),FB32,AND(FB32&gt;0,FB32+DA32&gt;$FK$3),0),0)
)</f>
        <v>0</v>
      </c>
      <c r="HE32" s="152" cm="1">
        <f t="array" ref="HE32">IF($C32="Production",
IFERROR(_xlfn.IFS(AND(FC32&gt;0,FC32+SUM(DA32:DB32)&lt;=$FM$3),FC32,AND(FC32&gt;0,FC32+SUM(DA32:DB32)&gt;$FM$3),$FM$3-SUM(DA32:DB32)),0),
IFERROR(_xlfn.IFS(AND(FC32&gt;0,FC32+DB32&lt;=$FK$3),FC32,AND(FC32&gt;0,FC32+DB32&gt;$FK$3),0),0)
)</f>
        <v>0</v>
      </c>
      <c r="HF32" s="152" cm="1">
        <f t="array" ref="HF32">IF($C32="Production",
IFERROR(_xlfn.IFS(AND(FD32&gt;0,FD32+SUM(DB32:DC32)&lt;=$FM$3),FD32,AND(FD32&gt;0,FD32+SUM(DB32:DC32)&gt;$FM$3),$FM$3-SUM(DB32:DC32)),0),
IFERROR(_xlfn.IFS(AND(FD32&gt;0,FD32+DC32&lt;=$FK$3),FD32,AND(FD32&gt;0,FD32+DC32&gt;$FK$3),0),0)
)</f>
        <v>0</v>
      </c>
      <c r="HG32" s="152" cm="1">
        <f t="array" ref="HG32">IF($C32="Production",
IFERROR(_xlfn.IFS(AND(FE32&gt;0,FE32+SUM(DC32:DD32)&lt;=$FM$3),FE32,AND(FE32&gt;0,FE32+SUM(DC32:DD32)&gt;$FM$3),$FM$3-SUM(DC32:DD32)),0),
IFERROR(_xlfn.IFS(AND(FE32&gt;0,FE32+DD32&lt;=$FK$3),FE32,AND(FE32&gt;0,FE32+DD32&gt;$FK$3),0),0)
)</f>
        <v>0</v>
      </c>
      <c r="HH32" s="152" cm="1">
        <f t="array" ref="HH32">IF($C32="Production",
IFERROR(_xlfn.IFS(AND(FF32&gt;0,FF32+SUM(DD32:DE32)&lt;=$FM$3),FF32,AND(FF32&gt;0,FF32+SUM(DD32:DE32)&gt;$FM$3),$FM$3-SUM(DD32:DE32)),0),
IFERROR(_xlfn.IFS(AND(FF32&gt;0,FF32+DE32&lt;=$FK$3),FF32,AND(FF32&gt;0,FF32+DE32&gt;$FK$3),0),0)
)</f>
        <v>0</v>
      </c>
      <c r="HI32" s="156" cm="1">
        <f t="array" ref="HI32">IF($C32="Production",
IFERROR(_xlfn.IFS(AND(FG32&gt;0,FG32+SUM(DE32:DF32)&lt;=$FM$3),FG32,AND(FG32&gt;0,FG32+SUM(DE32:DF32)&gt;$FM$3),$FM$3-SUM(DE32:DF32)),0),
IFERROR(_xlfn.IFS(AND(FG32&gt;0,FG32+DF32&lt;=$FK$3),FG32,AND(FG32&gt;0,FG32+DF32&gt;$FK$3),0),0)
)</f>
        <v>0</v>
      </c>
      <c r="HJ32" s="113">
        <f t="shared" si="110"/>
        <v>3.75</v>
      </c>
      <c r="HK32" s="80"/>
      <c r="HL32" s="112">
        <f t="shared" si="56"/>
        <v>0</v>
      </c>
      <c r="HM32" s="138">
        <f t="shared" si="57"/>
        <v>0</v>
      </c>
      <c r="HN32" s="138">
        <f t="shared" si="58"/>
        <v>0</v>
      </c>
      <c r="HO32" s="138">
        <f t="shared" si="59"/>
        <v>0</v>
      </c>
      <c r="HP32" s="138">
        <f t="shared" si="60"/>
        <v>0</v>
      </c>
      <c r="HQ32" s="138">
        <f t="shared" si="61"/>
        <v>0</v>
      </c>
      <c r="HR32" s="138">
        <f t="shared" si="62"/>
        <v>0</v>
      </c>
      <c r="HS32" s="138">
        <f t="shared" si="63"/>
        <v>0</v>
      </c>
      <c r="HT32" s="138">
        <f t="shared" si="64"/>
        <v>0</v>
      </c>
      <c r="HU32" s="138">
        <f t="shared" si="65"/>
        <v>0</v>
      </c>
      <c r="HV32" s="138">
        <f t="shared" si="66"/>
        <v>0</v>
      </c>
      <c r="HW32" s="138">
        <f t="shared" si="67"/>
        <v>0</v>
      </c>
      <c r="HX32" s="138">
        <f t="shared" si="68"/>
        <v>0</v>
      </c>
      <c r="HY32" s="138">
        <f t="shared" si="69"/>
        <v>0</v>
      </c>
      <c r="HZ32" s="138">
        <f t="shared" si="70"/>
        <v>0</v>
      </c>
      <c r="IA32" s="138">
        <f t="shared" si="71"/>
        <v>0</v>
      </c>
      <c r="IB32" s="138">
        <f t="shared" si="72"/>
        <v>0</v>
      </c>
      <c r="IC32" s="138">
        <f t="shared" si="73"/>
        <v>0</v>
      </c>
      <c r="ID32" s="138">
        <f t="shared" si="74"/>
        <v>0</v>
      </c>
      <c r="IE32" s="138">
        <f t="shared" si="75"/>
        <v>0</v>
      </c>
      <c r="IF32" s="138">
        <f t="shared" si="76"/>
        <v>0</v>
      </c>
      <c r="IG32" s="138">
        <f t="shared" si="77"/>
        <v>0</v>
      </c>
      <c r="IH32" s="138">
        <f t="shared" si="78"/>
        <v>0</v>
      </c>
      <c r="II32" s="138">
        <f t="shared" si="79"/>
        <v>0</v>
      </c>
      <c r="IJ32" s="138">
        <f t="shared" si="80"/>
        <v>0</v>
      </c>
      <c r="IK32" s="138">
        <f t="shared" si="81"/>
        <v>0</v>
      </c>
      <c r="IL32" s="138">
        <f t="shared" si="82"/>
        <v>0</v>
      </c>
      <c r="IM32" s="138">
        <f t="shared" si="83"/>
        <v>0</v>
      </c>
      <c r="IN32" s="138">
        <f t="shared" si="84"/>
        <v>0</v>
      </c>
      <c r="IO32" s="138">
        <f t="shared" si="85"/>
        <v>0</v>
      </c>
      <c r="IP32" s="138">
        <f t="shared" si="86"/>
        <v>0</v>
      </c>
      <c r="IQ32" s="138">
        <f t="shared" si="87"/>
        <v>0</v>
      </c>
      <c r="IR32" s="138">
        <f t="shared" si="88"/>
        <v>0</v>
      </c>
      <c r="IS32" s="138">
        <f t="shared" si="89"/>
        <v>0</v>
      </c>
      <c r="IT32" s="138">
        <f t="shared" si="90"/>
        <v>0</v>
      </c>
      <c r="IU32" s="138">
        <f t="shared" si="91"/>
        <v>0</v>
      </c>
      <c r="IV32" s="138">
        <f t="shared" si="92"/>
        <v>0</v>
      </c>
      <c r="IW32" s="138">
        <f t="shared" si="93"/>
        <v>0</v>
      </c>
      <c r="IX32" s="138">
        <f t="shared" si="94"/>
        <v>0</v>
      </c>
      <c r="IY32" s="138">
        <f t="shared" si="95"/>
        <v>0</v>
      </c>
      <c r="IZ32" s="138">
        <f t="shared" si="96"/>
        <v>0</v>
      </c>
      <c r="JA32" s="138">
        <f t="shared" si="97"/>
        <v>0</v>
      </c>
      <c r="JB32" s="138">
        <f t="shared" si="98"/>
        <v>0</v>
      </c>
      <c r="JC32" s="138">
        <f t="shared" si="99"/>
        <v>0</v>
      </c>
      <c r="JD32" s="138">
        <f t="shared" si="100"/>
        <v>0</v>
      </c>
      <c r="JE32" s="138">
        <f t="shared" si="101"/>
        <v>0</v>
      </c>
      <c r="JF32" s="138">
        <f t="shared" si="102"/>
        <v>0</v>
      </c>
      <c r="JG32" s="138">
        <f t="shared" si="103"/>
        <v>0</v>
      </c>
      <c r="JH32" s="138">
        <f t="shared" si="104"/>
        <v>0</v>
      </c>
      <c r="JI32" s="138">
        <f t="shared" si="105"/>
        <v>0</v>
      </c>
      <c r="JJ32" s="138">
        <f t="shared" si="106"/>
        <v>0</v>
      </c>
      <c r="JK32" s="138">
        <f t="shared" si="107"/>
        <v>0</v>
      </c>
      <c r="JL32" s="118">
        <f t="shared" si="111"/>
        <v>0</v>
      </c>
      <c r="JO32" s="90">
        <f t="shared" si="112"/>
        <v>3.75</v>
      </c>
      <c r="JP32" s="79">
        <f t="shared" si="108"/>
        <v>0</v>
      </c>
      <c r="JQ32" s="91">
        <f t="shared" si="2"/>
        <v>4.6875</v>
      </c>
      <c r="JS32" s="123">
        <f t="shared" si="109"/>
        <v>-2.75</v>
      </c>
      <c r="JU32" s="123">
        <f t="shared" si="113"/>
        <v>1.9375</v>
      </c>
    </row>
    <row r="33" spans="2:281" x14ac:dyDescent="0.15">
      <c r="B33" s="82" t="str">
        <f>'MODU 2025'!B36</f>
        <v>PAIN Mélanie</v>
      </c>
      <c r="C33" s="82" t="str">
        <f>'MODU 2025'!C36</f>
        <v>Production</v>
      </c>
      <c r="D33" s="82">
        <f>'MODU 2025'!D36</f>
        <v>37</v>
      </c>
      <c r="E33" s="82"/>
      <c r="F33" s="133">
        <f>'MODU 2025'!G36</f>
        <v>41</v>
      </c>
      <c r="G33" s="140">
        <f>'MODU 2025'!H36</f>
        <v>33</v>
      </c>
      <c r="H33" s="140">
        <f>'MODU 2025'!I36</f>
        <v>41</v>
      </c>
      <c r="I33" s="140">
        <f>'MODU 2025'!J36</f>
        <v>33</v>
      </c>
      <c r="J33" s="140">
        <v>42</v>
      </c>
      <c r="K33" s="140">
        <f>'MODU 2025'!L36</f>
        <v>33</v>
      </c>
      <c r="L33" s="140">
        <f>'MODU 2025'!M36</f>
        <v>41</v>
      </c>
      <c r="M33" s="140">
        <f>'MODU 2025'!N36</f>
        <v>27.75</v>
      </c>
      <c r="N33" s="140">
        <f>'MODU 2025'!O36</f>
        <v>41</v>
      </c>
      <c r="O33" s="140">
        <f>'MODU 2025'!P36</f>
        <v>33</v>
      </c>
      <c r="P33" s="140">
        <f>'MODU 2025'!Q36</f>
        <v>41</v>
      </c>
      <c r="Q33" s="140">
        <f>'MODU 2025'!R36</f>
        <v>33</v>
      </c>
      <c r="R33" s="140">
        <f>'MODU 2025'!S36</f>
        <v>41</v>
      </c>
      <c r="S33" s="140">
        <f>'MODU 2025'!T36</f>
        <v>33</v>
      </c>
      <c r="T33" s="140">
        <f>'MODU 2025'!U36</f>
        <v>41</v>
      </c>
      <c r="U33" s="140">
        <f>'MODU 2025'!V36</f>
        <v>33</v>
      </c>
      <c r="V33" s="140">
        <f>'MODU 2025'!W36</f>
        <v>41</v>
      </c>
      <c r="W33" s="140">
        <f>'MODU 2025'!X36</f>
        <v>33</v>
      </c>
      <c r="X33" s="140">
        <f>'MODU 2025'!Y36</f>
        <v>41</v>
      </c>
      <c r="Y33" s="140">
        <f>'MODU 2025'!Z36</f>
        <v>33</v>
      </c>
      <c r="Z33" s="140">
        <f>'MODU 2025'!AA36</f>
        <v>41</v>
      </c>
      <c r="AA33" s="140">
        <f>'MODU 2025'!AB36</f>
        <v>33</v>
      </c>
      <c r="AB33" s="140">
        <f>'MODU 2025'!AC36</f>
        <v>41</v>
      </c>
      <c r="AC33" s="140">
        <f>'MODU 2025'!AD36</f>
        <v>33</v>
      </c>
      <c r="AD33" s="140">
        <f>'MODU 2025'!AE36</f>
        <v>41</v>
      </c>
      <c r="AE33" s="140">
        <f>'MODU 2025'!AF36</f>
        <v>33</v>
      </c>
      <c r="AF33" s="140">
        <f>'MODU 2025'!AG36</f>
        <v>41</v>
      </c>
      <c r="AG33" s="140">
        <f>'MODU 2025'!AH36</f>
        <v>33</v>
      </c>
      <c r="AH33" s="140">
        <f>'MODU 2025'!AI36</f>
        <v>41</v>
      </c>
      <c r="AI33" s="140">
        <f>'MODU 2025'!AJ36</f>
        <v>33</v>
      </c>
      <c r="AJ33" s="140">
        <f>'MODU 2025'!AK36</f>
        <v>41</v>
      </c>
      <c r="AK33" s="140">
        <f>'MODU 2025'!AL36</f>
        <v>33</v>
      </c>
      <c r="AL33" s="140">
        <f>'MODU 2025'!AM36</f>
        <v>41</v>
      </c>
      <c r="AM33" s="140">
        <f>'MODU 2025'!AN36</f>
        <v>33</v>
      </c>
      <c r="AN33" s="140">
        <f>'MODU 2025'!AO36</f>
        <v>41</v>
      </c>
      <c r="AO33" s="140">
        <f>'MODU 2025'!AP36</f>
        <v>33</v>
      </c>
      <c r="AP33" s="140">
        <f>'MODU 2025'!AQ36</f>
        <v>41</v>
      </c>
      <c r="AQ33" s="140">
        <f>'MODU 2025'!AR36</f>
        <v>33</v>
      </c>
      <c r="AR33" s="140">
        <f>'MODU 2025'!AS36</f>
        <v>41</v>
      </c>
      <c r="AS33" s="140">
        <f>'MODU 2025'!AT36</f>
        <v>33</v>
      </c>
      <c r="AT33" s="140">
        <f>'MODU 2025'!AU36</f>
        <v>41</v>
      </c>
      <c r="AU33" s="140">
        <f>'MODU 2025'!AV36</f>
        <v>33</v>
      </c>
      <c r="AV33" s="140">
        <f>'MODU 2025'!AW36</f>
        <v>41</v>
      </c>
      <c r="AW33" s="140">
        <f>'MODU 2025'!AX36</f>
        <v>33</v>
      </c>
      <c r="AX33" s="140">
        <f>'MODU 2025'!AY36</f>
        <v>41</v>
      </c>
      <c r="AY33" s="140">
        <f>'MODU 2025'!AZ36</f>
        <v>33</v>
      </c>
      <c r="AZ33" s="140">
        <f>'MODU 2025'!BA36</f>
        <v>41</v>
      </c>
      <c r="BA33" s="140">
        <f>'MODU 2025'!BB36</f>
        <v>33</v>
      </c>
      <c r="BB33" s="140">
        <f>'MODU 2025'!BC36</f>
        <v>41</v>
      </c>
      <c r="BC33" s="140">
        <f>'MODU 2025'!BD36</f>
        <v>33</v>
      </c>
      <c r="BD33" s="140">
        <f>'MODU 2025'!BE36</f>
        <v>41</v>
      </c>
      <c r="BE33" s="134">
        <f>'MODU 2025'!BF36</f>
        <v>33</v>
      </c>
      <c r="BF33" s="82"/>
      <c r="BG33" s="107">
        <v>41</v>
      </c>
      <c r="BH33" s="145">
        <v>33</v>
      </c>
      <c r="BI33" s="145">
        <v>41</v>
      </c>
      <c r="BJ33" s="145">
        <v>33</v>
      </c>
      <c r="BK33" s="145">
        <v>41</v>
      </c>
      <c r="BL33" s="145">
        <v>33</v>
      </c>
      <c r="BM33" s="145">
        <v>41</v>
      </c>
      <c r="BN33" s="145">
        <v>33</v>
      </c>
      <c r="BO33" s="145">
        <v>41</v>
      </c>
      <c r="BP33" s="145">
        <v>33</v>
      </c>
      <c r="BQ33" s="145">
        <v>41</v>
      </c>
      <c r="BR33" s="145">
        <v>33</v>
      </c>
      <c r="BS33" s="145">
        <v>41</v>
      </c>
      <c r="BT33" s="145">
        <v>33</v>
      </c>
      <c r="BU33" s="145">
        <v>41</v>
      </c>
      <c r="BV33" s="145">
        <v>33</v>
      </c>
      <c r="BW33" s="145">
        <v>41</v>
      </c>
      <c r="BX33" s="145">
        <v>33</v>
      </c>
      <c r="BY33" s="145">
        <v>41</v>
      </c>
      <c r="BZ33" s="145">
        <v>33</v>
      </c>
      <c r="CA33" s="145">
        <v>41</v>
      </c>
      <c r="CB33" s="145">
        <v>33</v>
      </c>
      <c r="CC33" s="145">
        <v>41</v>
      </c>
      <c r="CD33" s="145">
        <v>33</v>
      </c>
      <c r="CE33" s="145">
        <v>41</v>
      </c>
      <c r="CF33" s="145">
        <v>33</v>
      </c>
      <c r="CG33" s="145">
        <v>41</v>
      </c>
      <c r="CH33" s="145">
        <v>33</v>
      </c>
      <c r="CI33" s="145">
        <v>41</v>
      </c>
      <c r="CJ33" s="145">
        <v>33</v>
      </c>
      <c r="CK33" s="145">
        <v>41</v>
      </c>
      <c r="CL33" s="145">
        <v>33</v>
      </c>
      <c r="CM33" s="145">
        <v>41</v>
      </c>
      <c r="CN33" s="145">
        <v>33</v>
      </c>
      <c r="CO33" s="145">
        <v>41</v>
      </c>
      <c r="CP33" s="145">
        <v>33</v>
      </c>
      <c r="CQ33" s="145">
        <v>41</v>
      </c>
      <c r="CR33" s="145">
        <v>33</v>
      </c>
      <c r="CS33" s="145">
        <v>41</v>
      </c>
      <c r="CT33" s="145">
        <v>33</v>
      </c>
      <c r="CU33" s="145">
        <v>41</v>
      </c>
      <c r="CV33" s="145">
        <v>33</v>
      </c>
      <c r="CW33" s="145">
        <v>41</v>
      </c>
      <c r="CX33" s="145">
        <v>33</v>
      </c>
      <c r="CY33" s="145">
        <v>41</v>
      </c>
      <c r="CZ33" s="145">
        <v>33</v>
      </c>
      <c r="DA33" s="145">
        <v>41</v>
      </c>
      <c r="DB33" s="145">
        <v>33</v>
      </c>
      <c r="DC33" s="145">
        <v>41</v>
      </c>
      <c r="DD33" s="145">
        <v>33</v>
      </c>
      <c r="DE33" s="145">
        <v>41</v>
      </c>
      <c r="DF33" s="108">
        <v>33</v>
      </c>
      <c r="DG33" s="84"/>
      <c r="DH33" s="112">
        <f t="shared" si="3"/>
        <v>0</v>
      </c>
      <c r="DI33" s="138">
        <f t="shared" si="4"/>
        <v>0</v>
      </c>
      <c r="DJ33" s="138">
        <f t="shared" si="5"/>
        <v>0</v>
      </c>
      <c r="DK33" s="138">
        <f t="shared" si="6"/>
        <v>0</v>
      </c>
      <c r="DL33" s="138">
        <f t="shared" si="7"/>
        <v>0</v>
      </c>
      <c r="DM33" s="138">
        <f t="shared" si="8"/>
        <v>1</v>
      </c>
      <c r="DN33" s="138">
        <f t="shared" si="9"/>
        <v>0</v>
      </c>
      <c r="DO33" s="138">
        <f t="shared" si="10"/>
        <v>-5.25</v>
      </c>
      <c r="DP33" s="138">
        <f t="shared" si="11"/>
        <v>0</v>
      </c>
      <c r="DQ33" s="138">
        <f t="shared" si="12"/>
        <v>0</v>
      </c>
      <c r="DR33" s="138">
        <f t="shared" si="13"/>
        <v>0</v>
      </c>
      <c r="DS33" s="138">
        <f t="shared" si="14"/>
        <v>0</v>
      </c>
      <c r="DT33" s="138">
        <f t="shared" si="15"/>
        <v>0</v>
      </c>
      <c r="DU33" s="138">
        <f t="shared" si="16"/>
        <v>0</v>
      </c>
      <c r="DV33" s="138">
        <f t="shared" si="17"/>
        <v>0</v>
      </c>
      <c r="DW33" s="138">
        <f t="shared" si="18"/>
        <v>0</v>
      </c>
      <c r="DX33" s="138">
        <f t="shared" si="19"/>
        <v>0</v>
      </c>
      <c r="DY33" s="138">
        <f t="shared" si="20"/>
        <v>0</v>
      </c>
      <c r="DZ33" s="138">
        <f t="shared" si="21"/>
        <v>0</v>
      </c>
      <c r="EA33" s="138">
        <f t="shared" si="22"/>
        <v>0</v>
      </c>
      <c r="EB33" s="138">
        <f t="shared" si="23"/>
        <v>0</v>
      </c>
      <c r="EC33" s="138">
        <f t="shared" si="24"/>
        <v>0</v>
      </c>
      <c r="ED33" s="138">
        <f t="shared" si="25"/>
        <v>0</v>
      </c>
      <c r="EE33" s="138">
        <f t="shared" si="26"/>
        <v>0</v>
      </c>
      <c r="EF33" s="138">
        <f t="shared" si="27"/>
        <v>0</v>
      </c>
      <c r="EG33" s="138">
        <f t="shared" si="28"/>
        <v>0</v>
      </c>
      <c r="EH33" s="138">
        <f t="shared" si="29"/>
        <v>0</v>
      </c>
      <c r="EI33" s="138">
        <f t="shared" si="30"/>
        <v>0</v>
      </c>
      <c r="EJ33" s="138">
        <f t="shared" si="31"/>
        <v>0</v>
      </c>
      <c r="EK33" s="138">
        <f t="shared" si="32"/>
        <v>0</v>
      </c>
      <c r="EL33" s="138">
        <f t="shared" si="33"/>
        <v>0</v>
      </c>
      <c r="EM33" s="138">
        <f t="shared" si="34"/>
        <v>0</v>
      </c>
      <c r="EN33" s="138">
        <f t="shared" si="35"/>
        <v>0</v>
      </c>
      <c r="EO33" s="138">
        <f t="shared" si="36"/>
        <v>0</v>
      </c>
      <c r="EP33" s="138">
        <f t="shared" si="37"/>
        <v>0</v>
      </c>
      <c r="EQ33" s="138">
        <f t="shared" si="38"/>
        <v>0</v>
      </c>
      <c r="ER33" s="138">
        <f t="shared" si="39"/>
        <v>0</v>
      </c>
      <c r="ES33" s="138">
        <f t="shared" si="40"/>
        <v>0</v>
      </c>
      <c r="ET33" s="138">
        <f t="shared" si="41"/>
        <v>0</v>
      </c>
      <c r="EU33" s="138">
        <f t="shared" si="42"/>
        <v>0</v>
      </c>
      <c r="EV33" s="138">
        <f t="shared" si="43"/>
        <v>0</v>
      </c>
      <c r="EW33" s="138">
        <f t="shared" si="44"/>
        <v>0</v>
      </c>
      <c r="EX33" s="138">
        <f t="shared" si="45"/>
        <v>0</v>
      </c>
      <c r="EY33" s="138">
        <f t="shared" si="46"/>
        <v>0</v>
      </c>
      <c r="EZ33" s="138">
        <f t="shared" si="47"/>
        <v>0</v>
      </c>
      <c r="FA33" s="138">
        <f t="shared" si="48"/>
        <v>0</v>
      </c>
      <c r="FB33" s="138">
        <f t="shared" si="49"/>
        <v>0</v>
      </c>
      <c r="FC33" s="138">
        <f t="shared" si="50"/>
        <v>0</v>
      </c>
      <c r="FD33" s="138">
        <f t="shared" si="51"/>
        <v>0</v>
      </c>
      <c r="FE33" s="138">
        <f t="shared" si="52"/>
        <v>0</v>
      </c>
      <c r="FF33" s="138">
        <f t="shared" si="53"/>
        <v>0</v>
      </c>
      <c r="FG33" s="113">
        <f t="shared" si="54"/>
        <v>0</v>
      </c>
      <c r="FH33" s="113">
        <f t="shared" si="55"/>
        <v>-4.25</v>
      </c>
      <c r="FI33" s="35"/>
      <c r="FJ33" s="151" cm="1">
        <f t="array" ref="FJ33">IF($C33="Production",
IFERROR(_xlfn.IFS(AND(DH33&gt;0,DH33+SUM(BF33:BG33)&lt;=$FM$3),DH33,AND(DH33&gt;0,DH33+SUM(BF33:BG33)&gt;$FM$3),$FM$3-SUM(BF33:BG33)),0),
IFERROR(_xlfn.IFS(AND(DH33&gt;0,DH33+BG33&lt;=$FK$3),DH33,AND(DH33&gt;0,DH33+BG33&gt;$FK$3),0),0)
)</f>
        <v>0</v>
      </c>
      <c r="FK33" s="152" cm="1">
        <f t="array" ref="FK33">IF($C33="Production",
IFERROR(_xlfn.IFS(AND(DI33&gt;0,DI33+SUM(BG33:BH33)&lt;=$FM$3),DI33,AND(DI33&gt;0,DI33+SUM(BG33:BH33)&gt;$FM$3),$FM$3-SUM(BG33:BH33)),0),
IFERROR(_xlfn.IFS(AND(DI33&gt;0,DI33+BH33&lt;=$FK$3),DI33,AND(DI33&gt;0,DI33+BH33&gt;$FK$3),0),0)
)</f>
        <v>0</v>
      </c>
      <c r="FL33" s="152" cm="1">
        <f t="array" ref="FL33">IF($C33="Production",
IFERROR(_xlfn.IFS(AND(DJ33&gt;0,DJ33+SUM(BH33:BI33)&lt;=$FM$3),DJ33,AND(DJ33&gt;0,DJ33+SUM(BH33:BI33)&gt;$FM$3),$FM$3-SUM(BH33:BI33)),0),
IFERROR(_xlfn.IFS(AND(DJ33&gt;0,DJ33+BI33&lt;=$FK$3),DJ33,AND(DJ33&gt;0,DJ33+BI33&gt;$FK$3),0),0)
)</f>
        <v>0</v>
      </c>
      <c r="FM33" s="152" cm="1">
        <f t="array" ref="FM33">IF($C33="Production",
IFERROR(_xlfn.IFS(AND(DK33&gt;0,DK33+SUM(BI33:BJ33)&lt;=$FM$3),DK33,AND(DK33&gt;0,DK33+SUM(BI33:BJ33)&gt;$FM$3),$FM$3-SUM(BI33:BJ33)),0),
IFERROR(_xlfn.IFS(AND(DK33&gt;0,DK33+BJ33&lt;=$FK$3),DK33,AND(DK33&gt;0,DK33+BJ33&gt;$FK$3),0),0)
)</f>
        <v>0</v>
      </c>
      <c r="FN33" s="152" cm="1">
        <f t="array" ref="FN33">IF($C33="Production",
IFERROR(_xlfn.IFS(AND(DL33&gt;0,DL33+SUM(BJ33:BK33)&lt;=$FM$3),DL33,AND(DL33&gt;0,DL33+SUM(BJ33:BK33)&gt;$FM$3),$FM$3-SUM(BJ33:BK33)),0),
IFERROR(_xlfn.IFS(AND(DL33&gt;0,DL33+BK33&lt;=$FK$3),DL33,AND(DL33&gt;0,DL33+BK33&gt;$FK$3),0),0)
)</f>
        <v>0</v>
      </c>
      <c r="FO33" s="152" cm="1">
        <f t="array" ref="FO33">IF($C33="Production",
IFERROR(_xlfn.IFS(AND(DM33&gt;0,DM33+SUM(BK33:BL33)&lt;=$FM$3),DM33,AND(DM33&gt;0,DM33+SUM(BK33:BL33)&gt;$FM$3),$FM$3-SUM(BK33:BL33)),0),
IFERROR(_xlfn.IFS(AND(DM33&gt;0,DM33+BL33&lt;=$FK$3),DM33,AND(DM33&gt;0,DM33+BL33&gt;$FK$3),0),0)
)</f>
        <v>1</v>
      </c>
      <c r="FP33" s="152" cm="1">
        <f t="array" ref="FP33">IF($C33="Production",
IFERROR(_xlfn.IFS(AND(DN33&gt;0,DN33+SUM(BL33:BM33)&lt;=$FM$3),DN33,AND(DN33&gt;0,DN33+SUM(BL33:BM33)&gt;$FM$3),$FM$3-SUM(BL33:BM33)),0),
IFERROR(_xlfn.IFS(AND(DN33&gt;0,DN33+BM33&lt;=$FK$3),DN33,AND(DN33&gt;0,DN33+BM33&gt;$FK$3),0),0)
)</f>
        <v>0</v>
      </c>
      <c r="FQ33" s="152" cm="1">
        <f t="array" ref="FQ33">IF($C33="Production",
IFERROR(_xlfn.IFS(AND(DO33&gt;0,DO33+SUM(BM33:BN33)&lt;=$FM$3),DO33,AND(DO33&gt;0,DO33+SUM(BM33:BN33)&gt;$FM$3),$FM$3-SUM(BM33:BN33)),0),
IFERROR(_xlfn.IFS(AND(DO33&gt;0,DO33+BN33&lt;=$FK$3),DO33,AND(DO33&gt;0,DO33+BN33&gt;$FK$3),0),0)
)</f>
        <v>0</v>
      </c>
      <c r="FR33" s="152" cm="1">
        <f t="array" ref="FR33">IF($C33="Production",
IFERROR(_xlfn.IFS(AND(DP33&gt;0,DP33+SUM(BN33:BO33)&lt;=$FM$3),DP33,AND(DP33&gt;0,DP33+SUM(BN33:BO33)&gt;$FM$3),$FM$3-SUM(BN33:BO33)),0),
IFERROR(_xlfn.IFS(AND(DP33&gt;0,DP33+BO33&lt;=$FK$3),DP33,AND(DP33&gt;0,DP33+BO33&gt;$FK$3),0),0)
)</f>
        <v>0</v>
      </c>
      <c r="FS33" s="152" cm="1">
        <f t="array" ref="FS33">IF($C33="Production",
IFERROR(_xlfn.IFS(AND(DQ33&gt;0,DQ33+SUM(BO33:BP33)&lt;=$FM$3),DQ33,AND(DQ33&gt;0,DQ33+SUM(BO33:BP33)&gt;$FM$3),$FM$3-SUM(BO33:BP33)),0),
IFERROR(_xlfn.IFS(AND(DQ33&gt;0,DQ33+BP33&lt;=$FK$3),DQ33,AND(DQ33&gt;0,DQ33+BP33&gt;$FK$3),0),0)
)</f>
        <v>0</v>
      </c>
      <c r="FT33" s="152" cm="1">
        <f t="array" ref="FT33">IF($C33="Production",
IFERROR(_xlfn.IFS(AND(DR33&gt;0,DR33+SUM(BP33:BQ33)&lt;=$FM$3),DR33,AND(DR33&gt;0,DR33+SUM(BP33:BQ33)&gt;$FM$3),$FM$3-SUM(BP33:BQ33)),0),
IFERROR(_xlfn.IFS(AND(DR33&gt;0,DR33+BQ33&lt;=$FK$3),DR33,AND(DR33&gt;0,DR33+BQ33&gt;$FK$3),0),0)
)</f>
        <v>0</v>
      </c>
      <c r="FU33" s="152" cm="1">
        <f t="array" ref="FU33">IF($C33="Production",
IFERROR(_xlfn.IFS(AND(DS33&gt;0,DS33+SUM(BQ33:BR33)&lt;=$FM$3),DS33,AND(DS33&gt;0,DS33+SUM(BQ33:BR33)&gt;$FM$3),$FM$3-SUM(BQ33:BR33)),0),
IFERROR(_xlfn.IFS(AND(DS33&gt;0,DS33+BR33&lt;=$FK$3),DS33,AND(DS33&gt;0,DS33+BR33&gt;$FK$3),0),0)
)</f>
        <v>0</v>
      </c>
      <c r="FV33" s="152" cm="1">
        <f t="array" ref="FV33">IF($C33="Production",
IFERROR(_xlfn.IFS(AND(DT33&gt;0,DT33+SUM(BR33:BS33)&lt;=$FM$3),DT33,AND(DT33&gt;0,DT33+SUM(BR33:BS33)&gt;$FM$3),$FM$3-SUM(BR33:BS33)),0),
IFERROR(_xlfn.IFS(AND(DT33&gt;0,DT33+BS33&lt;=$FK$3),DT33,AND(DT33&gt;0,DT33+BS33&gt;$FK$3),0),0)
)</f>
        <v>0</v>
      </c>
      <c r="FW33" s="152" cm="1">
        <f t="array" ref="FW33">IF($C33="Production",
IFERROR(_xlfn.IFS(AND(DU33&gt;0,DU33+SUM(BS33:BT33)&lt;=$FM$3),DU33,AND(DU33&gt;0,DU33+SUM(BS33:BT33)&gt;$FM$3),$FM$3-SUM(BS33:BT33)),0),
IFERROR(_xlfn.IFS(AND(DU33&gt;0,DU33+BT33&lt;=$FK$3),DU33,AND(DU33&gt;0,DU33+BT33&gt;$FK$3),0),0)
)</f>
        <v>0</v>
      </c>
      <c r="FX33" s="152" cm="1">
        <f t="array" ref="FX33">IF($C33="Production",
IFERROR(_xlfn.IFS(AND(DV33&gt;0,DV33+SUM(BT33:BU33)&lt;=$FM$3),DV33,AND(DV33&gt;0,DV33+SUM(BT33:BU33)&gt;$FM$3),$FM$3-SUM(BT33:BU33)),0),
IFERROR(_xlfn.IFS(AND(DV33&gt;0,DV33+BU33&lt;=$FK$3),DV33,AND(DV33&gt;0,DV33+BU33&gt;$FK$3),0),0)
)</f>
        <v>0</v>
      </c>
      <c r="FY33" s="152" cm="1">
        <f t="array" ref="FY33">IF($C33="Production",
IFERROR(_xlfn.IFS(AND(DW33&gt;0,DW33+SUM(BU33:BV33)&lt;=$FM$3),DW33,AND(DW33&gt;0,DW33+SUM(BU33:BV33)&gt;$FM$3),$FM$3-SUM(BU33:BV33)),0),
IFERROR(_xlfn.IFS(AND(DW33&gt;0,DW33+BV33&lt;=$FK$3),DW33,AND(DW33&gt;0,DW33+BV33&gt;$FK$3),0),0)
)</f>
        <v>0</v>
      </c>
      <c r="FZ33" s="152" cm="1">
        <f t="array" ref="FZ33">IF($C33="Production",
IFERROR(_xlfn.IFS(AND(DX33&gt;0,DX33+SUM(BV33:BW33)&lt;=$FM$3),DX33,AND(DX33&gt;0,DX33+SUM(BV33:BW33)&gt;$FM$3),$FM$3-SUM(BV33:BW33)),0),
IFERROR(_xlfn.IFS(AND(DX33&gt;0,DX33+BW33&lt;=$FK$3),DX33,AND(DX33&gt;0,DX33+BW33&gt;$FK$3),0),0)
)</f>
        <v>0</v>
      </c>
      <c r="GA33" s="152" cm="1">
        <f t="array" ref="GA33">IF($C33="Production",
IFERROR(_xlfn.IFS(AND(DY33&gt;0,DY33+SUM(BW33:BX33)&lt;=$FM$3),DY33,AND(DY33&gt;0,DY33+SUM(BW33:BX33)&gt;$FM$3),$FM$3-SUM(BW33:BX33)),0),
IFERROR(_xlfn.IFS(AND(DY33&gt;0,DY33+BX33&lt;=$FK$3),DY33,AND(DY33&gt;0,DY33+BX33&gt;$FK$3),0),0)
)</f>
        <v>0</v>
      </c>
      <c r="GB33" s="152" cm="1">
        <f t="array" ref="GB33">IF($C33="Production",
IFERROR(_xlfn.IFS(AND(DZ33&gt;0,DZ33+SUM(BX33:BY33)&lt;=$FM$3),DZ33,AND(DZ33&gt;0,DZ33+SUM(BX33:BY33)&gt;$FM$3),$FM$3-SUM(BX33:BY33)),0),
IFERROR(_xlfn.IFS(AND(DZ33&gt;0,DZ33+BY33&lt;=$FK$3),DZ33,AND(DZ33&gt;0,DZ33+BY33&gt;$FK$3),0),0)
)</f>
        <v>0</v>
      </c>
      <c r="GC33" s="152" cm="1">
        <f t="array" ref="GC33">IF($C33="Production",
IFERROR(_xlfn.IFS(AND(EA33&gt;0,EA33+SUM(BY33:BZ33)&lt;=$FM$3),EA33,AND(EA33&gt;0,EA33+SUM(BY33:BZ33)&gt;$FM$3),$FM$3-SUM(BY33:BZ33)),0),
IFERROR(_xlfn.IFS(AND(EA33&gt;0,EA33+BZ33&lt;=$FK$3),EA33,AND(EA33&gt;0,EA33+BZ33&gt;$FK$3),0),0)
)</f>
        <v>0</v>
      </c>
      <c r="GD33" s="152" cm="1">
        <f t="array" ref="GD33">IF($C33="Production",
IFERROR(_xlfn.IFS(AND(EB33&gt;0,EB33+SUM(BZ33:CA33)&lt;=$FM$3),EB33,AND(EB33&gt;0,EB33+SUM(BZ33:CA33)&gt;$FM$3),$FM$3-SUM(BZ33:CA33)),0),
IFERROR(_xlfn.IFS(AND(EB33&gt;0,EB33+CA33&lt;=$FK$3),EB33,AND(EB33&gt;0,EB33+CA33&gt;$FK$3),0),0)
)</f>
        <v>0</v>
      </c>
      <c r="GE33" s="152" cm="1">
        <f t="array" ref="GE33">IF($C33="Production",
IFERROR(_xlfn.IFS(AND(EC33&gt;0,EC33+SUM(CA33:CB33)&lt;=$FM$3),EC33,AND(EC33&gt;0,EC33+SUM(CA33:CB33)&gt;$FM$3),$FM$3-SUM(CA33:CB33)),0),
IFERROR(_xlfn.IFS(AND(EC33&gt;0,EC33+CB33&lt;=$FK$3),EC33,AND(EC33&gt;0,EC33+CB33&gt;$FK$3),0),0)
)</f>
        <v>0</v>
      </c>
      <c r="GF33" s="152" cm="1">
        <f t="array" ref="GF33">IF($C33="Production",
IFERROR(_xlfn.IFS(AND(ED33&gt;0,ED33+SUM(CB33:CC33)&lt;=$FM$3),ED33,AND(ED33&gt;0,ED33+SUM(CB33:CC33)&gt;$FM$3),$FM$3-SUM(CB33:CC33)),0),
IFERROR(_xlfn.IFS(AND(ED33&gt;0,ED33+CC33&lt;=$FK$3),ED33,AND(ED33&gt;0,ED33+CC33&gt;$FK$3),0),0)
)</f>
        <v>0</v>
      </c>
      <c r="GG33" s="152" cm="1">
        <f t="array" ref="GG33">IF($C33="Production",
IFERROR(_xlfn.IFS(AND(EE33&gt;0,EE33+SUM(CC33:CD33)&lt;=$FM$3),EE33,AND(EE33&gt;0,EE33+SUM(CC33:CD33)&gt;$FM$3),$FM$3-SUM(CC33:CD33)),0),
IFERROR(_xlfn.IFS(AND(EE33&gt;0,EE33+CD33&lt;=$FK$3),EE33,AND(EE33&gt;0,EE33+CD33&gt;$FK$3),0),0)
)</f>
        <v>0</v>
      </c>
      <c r="GH33" s="152" cm="1">
        <f t="array" ref="GH33">IF($C33="Production",
IFERROR(_xlfn.IFS(AND(EF33&gt;0,EF33+SUM(CD33:CE33)&lt;=$FM$3),EF33,AND(EF33&gt;0,EF33+SUM(CD33:CE33)&gt;$FM$3),$FM$3-SUM(CD33:CE33)),0),
IFERROR(_xlfn.IFS(AND(EF33&gt;0,EF33+CE33&lt;=$FK$3),EF33,AND(EF33&gt;0,EF33+CE33&gt;$FK$3),0),0)
)</f>
        <v>0</v>
      </c>
      <c r="GI33" s="152" cm="1">
        <f t="array" ref="GI33">IF($C33="Production",
IFERROR(_xlfn.IFS(AND(EG33&gt;0,EG33+SUM(CE33:CF33)&lt;=$FM$3),EG33,AND(EG33&gt;0,EG33+SUM(CE33:CF33)&gt;$FM$3),$FM$3-SUM(CE33:CF33)),0),
IFERROR(_xlfn.IFS(AND(EG33&gt;0,EG33+CF33&lt;=$FK$3),EG33,AND(EG33&gt;0,EG33+CF33&gt;$FK$3),0),0)
)</f>
        <v>0</v>
      </c>
      <c r="GJ33" s="152" cm="1">
        <f t="array" ref="GJ33">IF($C33="Production",
IFERROR(_xlfn.IFS(AND(EH33&gt;0,EH33+SUM(CF33:CG33)&lt;=$FM$3),EH33,AND(EH33&gt;0,EH33+SUM(CF33:CG33)&gt;$FM$3),$FM$3-SUM(CF33:CG33)),0),
IFERROR(_xlfn.IFS(AND(EH33&gt;0,EH33+CG33&lt;=$FK$3),EH33,AND(EH33&gt;0,EH33+CG33&gt;$FK$3),0),0)
)</f>
        <v>0</v>
      </c>
      <c r="GK33" s="152" cm="1">
        <f t="array" ref="GK33">IF($C33="Production",
IFERROR(_xlfn.IFS(AND(EI33&gt;0,EI33+SUM(CG33:CH33)&lt;=$FM$3),EI33,AND(EI33&gt;0,EI33+SUM(CG33:CH33)&gt;$FM$3),$FM$3-SUM(CG33:CH33)),0),
IFERROR(_xlfn.IFS(AND(EI33&gt;0,EI33+CH33&lt;=$FK$3),EI33,AND(EI33&gt;0,EI33+CH33&gt;$FK$3),0),0)
)</f>
        <v>0</v>
      </c>
      <c r="GL33" s="152" cm="1">
        <f t="array" ref="GL33">IF($C33="Production",
IFERROR(_xlfn.IFS(AND(EJ33&gt;0,EJ33+SUM(CH33:CI33)&lt;=$FM$3),EJ33,AND(EJ33&gt;0,EJ33+SUM(CH33:CI33)&gt;$FM$3),$FM$3-SUM(CH33:CI33)),0),
IFERROR(_xlfn.IFS(AND(EJ33&gt;0,EJ33+CI33&lt;=$FK$3),EJ33,AND(EJ33&gt;0,EJ33+CI33&gt;$FK$3),0),0)
)</f>
        <v>0</v>
      </c>
      <c r="GM33" s="152" cm="1">
        <f t="array" ref="GM33">IF($C33="Production",
IFERROR(_xlfn.IFS(AND(EK33&gt;0,EK33+SUM(CI33:CJ33)&lt;=$FM$3),EK33,AND(EK33&gt;0,EK33+SUM(CI33:CJ33)&gt;$FM$3),$FM$3-SUM(CI33:CJ33)),0),
IFERROR(_xlfn.IFS(AND(EK33&gt;0,EK33+CJ33&lt;=$FK$3),EK33,AND(EK33&gt;0,EK33+CJ33&gt;$FK$3),0),0)
)</f>
        <v>0</v>
      </c>
      <c r="GN33" s="152" cm="1">
        <f t="array" ref="GN33">IF($C33="Production",
IFERROR(_xlfn.IFS(AND(EL33&gt;0,EL33+SUM(CJ33:CK33)&lt;=$FM$3),EL33,AND(EL33&gt;0,EL33+SUM(CJ33:CK33)&gt;$FM$3),$FM$3-SUM(CJ33:CK33)),0),
IFERROR(_xlfn.IFS(AND(EL33&gt;0,EL33+CK33&lt;=$FK$3),EL33,AND(EL33&gt;0,EL33+CK33&gt;$FK$3),0),0)
)</f>
        <v>0</v>
      </c>
      <c r="GO33" s="152" cm="1">
        <f t="array" ref="GO33">IF($C33="Production",
IFERROR(_xlfn.IFS(AND(EM33&gt;0,EM33+SUM(CK33:CL33)&lt;=$FM$3),EM33,AND(EM33&gt;0,EM33+SUM(CK33:CL33)&gt;$FM$3),$FM$3-SUM(CK33:CL33)),0),
IFERROR(_xlfn.IFS(AND(EM33&gt;0,EM33+CL33&lt;=$FK$3),EM33,AND(EM33&gt;0,EM33+CL33&gt;$FK$3),0),0)
)</f>
        <v>0</v>
      </c>
      <c r="GP33" s="152" cm="1">
        <f t="array" ref="GP33">IF($C33="Production",
IFERROR(_xlfn.IFS(AND(EN33&gt;0,EN33+SUM(CL33:CM33)&lt;=$FM$3),EN33,AND(EN33&gt;0,EN33+SUM(CL33:CM33)&gt;$FM$3),$FM$3-SUM(CL33:CM33)),0),
IFERROR(_xlfn.IFS(AND(EN33&gt;0,EN33+CM33&lt;=$FK$3),EN33,AND(EN33&gt;0,EN33+CM33&gt;$FK$3),0),0)
)</f>
        <v>0</v>
      </c>
      <c r="GQ33" s="152" cm="1">
        <f t="array" ref="GQ33">IF($C33="Production",
IFERROR(_xlfn.IFS(AND(EO33&gt;0,EO33+SUM(CM33:CN33)&lt;=$FM$3),EO33,AND(EO33&gt;0,EO33+SUM(CM33:CN33)&gt;$FM$3),$FM$3-SUM(CM33:CN33)),0),
IFERROR(_xlfn.IFS(AND(EO33&gt;0,EO33+CN33&lt;=$FK$3),EO33,AND(EO33&gt;0,EO33+CN33&gt;$FK$3),0),0)
)</f>
        <v>0</v>
      </c>
      <c r="GR33" s="152" cm="1">
        <f t="array" ref="GR33">IF($C33="Production",
IFERROR(_xlfn.IFS(AND(EP33&gt;0,EP33+SUM(CN33:CO33)&lt;=$FM$3),EP33,AND(EP33&gt;0,EP33+SUM(CN33:CO33)&gt;$FM$3),$FM$3-SUM(CN33:CO33)),0),
IFERROR(_xlfn.IFS(AND(EP33&gt;0,EP33+CO33&lt;=$FK$3),EP33,AND(EP33&gt;0,EP33+CO33&gt;$FK$3),0),0)
)</f>
        <v>0</v>
      </c>
      <c r="GS33" s="152" cm="1">
        <f t="array" ref="GS33">IF($C33="Production",
IFERROR(_xlfn.IFS(AND(EQ33&gt;0,EQ33+SUM(CO33:CP33)&lt;=$FM$3),EQ33,AND(EQ33&gt;0,EQ33+SUM(CO33:CP33)&gt;$FM$3),$FM$3-SUM(CO33:CP33)),0),
IFERROR(_xlfn.IFS(AND(EQ33&gt;0,EQ33+CP33&lt;=$FK$3),EQ33,AND(EQ33&gt;0,EQ33+CP33&gt;$FK$3),0),0)
)</f>
        <v>0</v>
      </c>
      <c r="GT33" s="152" cm="1">
        <f t="array" ref="GT33">IF($C33="Production",
IFERROR(_xlfn.IFS(AND(ER33&gt;0,ER33+SUM(CP33:CQ33)&lt;=$FM$3),ER33,AND(ER33&gt;0,ER33+SUM(CP33:CQ33)&gt;$FM$3),$FM$3-SUM(CP33:CQ33)),0),
IFERROR(_xlfn.IFS(AND(ER33&gt;0,ER33+CQ33&lt;=$FK$3),ER33,AND(ER33&gt;0,ER33+CQ33&gt;$FK$3),0),0)
)</f>
        <v>0</v>
      </c>
      <c r="GU33" s="152" cm="1">
        <f t="array" ref="GU33">IF($C33="Production",
IFERROR(_xlfn.IFS(AND(ES33&gt;0,ES33+SUM(CQ33:CR33)&lt;=$FM$3),ES33,AND(ES33&gt;0,ES33+SUM(CQ33:CR33)&gt;$FM$3),$FM$3-SUM(CQ33:CR33)),0),
IFERROR(_xlfn.IFS(AND(ES33&gt;0,ES33+CR33&lt;=$FK$3),ES33,AND(ES33&gt;0,ES33+CR33&gt;$FK$3),0),0)
)</f>
        <v>0</v>
      </c>
      <c r="GV33" s="152" cm="1">
        <f t="array" ref="GV33">IF($C33="Production",
IFERROR(_xlfn.IFS(AND(ET33&gt;0,ET33+SUM(CR33:CS33)&lt;=$FM$3),ET33,AND(ET33&gt;0,ET33+SUM(CR33:CS33)&gt;$FM$3),$FM$3-SUM(CR33:CS33)),0),
IFERROR(_xlfn.IFS(AND(ET33&gt;0,ET33+CS33&lt;=$FK$3),ET33,AND(ET33&gt;0,ET33+CS33&gt;$FK$3),0),0)
)</f>
        <v>0</v>
      </c>
      <c r="GW33" s="152" cm="1">
        <f t="array" ref="GW33">IF($C33="Production",
IFERROR(_xlfn.IFS(AND(EU33&gt;0,EU33+SUM(CS33:CT33)&lt;=$FM$3),EU33,AND(EU33&gt;0,EU33+SUM(CS33:CT33)&gt;$FM$3),$FM$3-SUM(CS33:CT33)),0),
IFERROR(_xlfn.IFS(AND(EU33&gt;0,EU33+CT33&lt;=$FK$3),EU33,AND(EU33&gt;0,EU33+CT33&gt;$FK$3),0),0)
)</f>
        <v>0</v>
      </c>
      <c r="GX33" s="152" cm="1">
        <f t="array" ref="GX33">IF($C33="Production",
IFERROR(_xlfn.IFS(AND(EV33&gt;0,EV33+SUM(CT33:CU33)&lt;=$FM$3),EV33,AND(EV33&gt;0,EV33+SUM(CT33:CU33)&gt;$FM$3),$FM$3-SUM(CT33:CU33)),0),
IFERROR(_xlfn.IFS(AND(EV33&gt;0,EV33+CU33&lt;=$FK$3),EV33,AND(EV33&gt;0,EV33+CU33&gt;$FK$3),0),0)
)</f>
        <v>0</v>
      </c>
      <c r="GY33" s="152" cm="1">
        <f t="array" ref="GY33">IF($C33="Production",
IFERROR(_xlfn.IFS(AND(EW33&gt;0,EW33+SUM(CU33:CV33)&lt;=$FM$3),EW33,AND(EW33&gt;0,EW33+SUM(CU33:CV33)&gt;$FM$3),$FM$3-SUM(CU33:CV33)),0),
IFERROR(_xlfn.IFS(AND(EW33&gt;0,EW33+CV33&lt;=$FK$3),EW33,AND(EW33&gt;0,EW33+CV33&gt;$FK$3),0),0)
)</f>
        <v>0</v>
      </c>
      <c r="GZ33" s="152" cm="1">
        <f t="array" ref="GZ33">IF($C33="Production",
IFERROR(_xlfn.IFS(AND(EX33&gt;0,EX33+SUM(CV33:CW33)&lt;=$FM$3),EX33,AND(EX33&gt;0,EX33+SUM(CV33:CW33)&gt;$FM$3),$FM$3-SUM(CV33:CW33)),0),
IFERROR(_xlfn.IFS(AND(EX33&gt;0,EX33+CW33&lt;=$FK$3),EX33,AND(EX33&gt;0,EX33+CW33&gt;$FK$3),0),0)
)</f>
        <v>0</v>
      </c>
      <c r="HA33" s="152" cm="1">
        <f t="array" ref="HA33">IF($C33="Production",
IFERROR(_xlfn.IFS(AND(EY33&gt;0,EY33+SUM(CW33:CX33)&lt;=$FM$3),EY33,AND(EY33&gt;0,EY33+SUM(CW33:CX33)&gt;$FM$3),$FM$3-SUM(CW33:CX33)),0),
IFERROR(_xlfn.IFS(AND(EY33&gt;0,EY33+CX33&lt;=$FK$3),EY33,AND(EY33&gt;0,EY33+CX33&gt;$FK$3),0),0)
)</f>
        <v>0</v>
      </c>
      <c r="HB33" s="152" cm="1">
        <f t="array" ref="HB33">IF($C33="Production",
IFERROR(_xlfn.IFS(AND(EZ33&gt;0,EZ33+SUM(CX33:CY33)&lt;=$FM$3),EZ33,AND(EZ33&gt;0,EZ33+SUM(CX33:CY33)&gt;$FM$3),$FM$3-SUM(CX33:CY33)),0),
IFERROR(_xlfn.IFS(AND(EZ33&gt;0,EZ33+CY33&lt;=$FK$3),EZ33,AND(EZ33&gt;0,EZ33+CY33&gt;$FK$3),0),0)
)</f>
        <v>0</v>
      </c>
      <c r="HC33" s="152" cm="1">
        <f t="array" ref="HC33">IF($C33="Production",
IFERROR(_xlfn.IFS(AND(FA33&gt;0,FA33+SUM(CY33:CZ33)&lt;=$FM$3),FA33,AND(FA33&gt;0,FA33+SUM(CY33:CZ33)&gt;$FM$3),$FM$3-SUM(CY33:CZ33)),0),
IFERROR(_xlfn.IFS(AND(FA33&gt;0,FA33+CZ33&lt;=$FK$3),FA33,AND(FA33&gt;0,FA33+CZ33&gt;$FK$3),0),0)
)</f>
        <v>0</v>
      </c>
      <c r="HD33" s="152" cm="1">
        <f t="array" ref="HD33">IF($C33="Production",
IFERROR(_xlfn.IFS(AND(FB33&gt;0,FB33+SUM(CZ33:DA33)&lt;=$FM$3),FB33,AND(FB33&gt;0,FB33+SUM(CZ33:DA33)&gt;$FM$3),$FM$3-SUM(CZ33:DA33)),0),
IFERROR(_xlfn.IFS(AND(FB33&gt;0,FB33+DA33&lt;=$FK$3),FB33,AND(FB33&gt;0,FB33+DA33&gt;$FK$3),0),0)
)</f>
        <v>0</v>
      </c>
      <c r="HE33" s="152" cm="1">
        <f t="array" ref="HE33">IF($C33="Production",
IFERROR(_xlfn.IFS(AND(FC33&gt;0,FC33+SUM(DA33:DB33)&lt;=$FM$3),FC33,AND(FC33&gt;0,FC33+SUM(DA33:DB33)&gt;$FM$3),$FM$3-SUM(DA33:DB33)),0),
IFERROR(_xlfn.IFS(AND(FC33&gt;0,FC33+DB33&lt;=$FK$3),FC33,AND(FC33&gt;0,FC33+DB33&gt;$FK$3),0),0)
)</f>
        <v>0</v>
      </c>
      <c r="HF33" s="152" cm="1">
        <f t="array" ref="HF33">IF($C33="Production",
IFERROR(_xlfn.IFS(AND(FD33&gt;0,FD33+SUM(DB33:DC33)&lt;=$FM$3),FD33,AND(FD33&gt;0,FD33+SUM(DB33:DC33)&gt;$FM$3),$FM$3-SUM(DB33:DC33)),0),
IFERROR(_xlfn.IFS(AND(FD33&gt;0,FD33+DC33&lt;=$FK$3),FD33,AND(FD33&gt;0,FD33+DC33&gt;$FK$3),0),0)
)</f>
        <v>0</v>
      </c>
      <c r="HG33" s="152" cm="1">
        <f t="array" ref="HG33">IF($C33="Production",
IFERROR(_xlfn.IFS(AND(FE33&gt;0,FE33+SUM(DC33:DD33)&lt;=$FM$3),FE33,AND(FE33&gt;0,FE33+SUM(DC33:DD33)&gt;$FM$3),$FM$3-SUM(DC33:DD33)),0),
IFERROR(_xlfn.IFS(AND(FE33&gt;0,FE33+DD33&lt;=$FK$3),FE33,AND(FE33&gt;0,FE33+DD33&gt;$FK$3),0),0)
)</f>
        <v>0</v>
      </c>
      <c r="HH33" s="152" cm="1">
        <f t="array" ref="HH33">IF($C33="Production",
IFERROR(_xlfn.IFS(AND(FF33&gt;0,FF33+SUM(DD33:DE33)&lt;=$FM$3),FF33,AND(FF33&gt;0,FF33+SUM(DD33:DE33)&gt;$FM$3),$FM$3-SUM(DD33:DE33)),0),
IFERROR(_xlfn.IFS(AND(FF33&gt;0,FF33+DE33&lt;=$FK$3),FF33,AND(FF33&gt;0,FF33+DE33&gt;$FK$3),0),0)
)</f>
        <v>0</v>
      </c>
      <c r="HI33" s="156" cm="1">
        <f t="array" ref="HI33">IF($C33="Production",
IFERROR(_xlfn.IFS(AND(FG33&gt;0,FG33+SUM(DE33:DF33)&lt;=$FM$3),FG33,AND(FG33&gt;0,FG33+SUM(DE33:DF33)&gt;$FM$3),$FM$3-SUM(DE33:DF33)),0),
IFERROR(_xlfn.IFS(AND(FG33&gt;0,FG33+DF33&lt;=$FK$3),FG33,AND(FG33&gt;0,FG33+DF33&gt;$FK$3),0),0)
)</f>
        <v>0</v>
      </c>
      <c r="HJ33" s="113">
        <f t="shared" si="110"/>
        <v>1</v>
      </c>
      <c r="HK33" s="80"/>
      <c r="HL33" s="112">
        <f t="shared" si="56"/>
        <v>0</v>
      </c>
      <c r="HM33" s="138">
        <f t="shared" si="57"/>
        <v>0</v>
      </c>
      <c r="HN33" s="138">
        <f t="shared" si="58"/>
        <v>0</v>
      </c>
      <c r="HO33" s="138">
        <f t="shared" si="59"/>
        <v>0</v>
      </c>
      <c r="HP33" s="138">
        <f t="shared" si="60"/>
        <v>0</v>
      </c>
      <c r="HQ33" s="138">
        <f t="shared" si="61"/>
        <v>0</v>
      </c>
      <c r="HR33" s="138">
        <f t="shared" si="62"/>
        <v>0</v>
      </c>
      <c r="HS33" s="138">
        <f t="shared" si="63"/>
        <v>0</v>
      </c>
      <c r="HT33" s="138">
        <f t="shared" si="64"/>
        <v>0</v>
      </c>
      <c r="HU33" s="138">
        <f t="shared" si="65"/>
        <v>0</v>
      </c>
      <c r="HV33" s="138">
        <f t="shared" si="66"/>
        <v>0</v>
      </c>
      <c r="HW33" s="138">
        <f t="shared" si="67"/>
        <v>0</v>
      </c>
      <c r="HX33" s="138">
        <f t="shared" si="68"/>
        <v>0</v>
      </c>
      <c r="HY33" s="138">
        <f t="shared" si="69"/>
        <v>0</v>
      </c>
      <c r="HZ33" s="138">
        <f t="shared" si="70"/>
        <v>0</v>
      </c>
      <c r="IA33" s="138">
        <f t="shared" si="71"/>
        <v>0</v>
      </c>
      <c r="IB33" s="138">
        <f t="shared" si="72"/>
        <v>0</v>
      </c>
      <c r="IC33" s="138">
        <f t="shared" si="73"/>
        <v>0</v>
      </c>
      <c r="ID33" s="138">
        <f t="shared" si="74"/>
        <v>0</v>
      </c>
      <c r="IE33" s="138">
        <f t="shared" si="75"/>
        <v>0</v>
      </c>
      <c r="IF33" s="138">
        <f t="shared" si="76"/>
        <v>0</v>
      </c>
      <c r="IG33" s="138">
        <f t="shared" si="77"/>
        <v>0</v>
      </c>
      <c r="IH33" s="138">
        <f t="shared" si="78"/>
        <v>0</v>
      </c>
      <c r="II33" s="138">
        <f t="shared" si="79"/>
        <v>0</v>
      </c>
      <c r="IJ33" s="138">
        <f t="shared" si="80"/>
        <v>0</v>
      </c>
      <c r="IK33" s="138">
        <f t="shared" si="81"/>
        <v>0</v>
      </c>
      <c r="IL33" s="138">
        <f t="shared" si="82"/>
        <v>0</v>
      </c>
      <c r="IM33" s="138">
        <f t="shared" si="83"/>
        <v>0</v>
      </c>
      <c r="IN33" s="138">
        <f t="shared" si="84"/>
        <v>0</v>
      </c>
      <c r="IO33" s="138">
        <f t="shared" si="85"/>
        <v>0</v>
      </c>
      <c r="IP33" s="138">
        <f t="shared" si="86"/>
        <v>0</v>
      </c>
      <c r="IQ33" s="138">
        <f t="shared" si="87"/>
        <v>0</v>
      </c>
      <c r="IR33" s="138">
        <f t="shared" si="88"/>
        <v>0</v>
      </c>
      <c r="IS33" s="138">
        <f t="shared" si="89"/>
        <v>0</v>
      </c>
      <c r="IT33" s="138">
        <f t="shared" si="90"/>
        <v>0</v>
      </c>
      <c r="IU33" s="138">
        <f t="shared" si="91"/>
        <v>0</v>
      </c>
      <c r="IV33" s="138">
        <f t="shared" si="92"/>
        <v>0</v>
      </c>
      <c r="IW33" s="138">
        <f t="shared" si="93"/>
        <v>0</v>
      </c>
      <c r="IX33" s="138">
        <f t="shared" si="94"/>
        <v>0</v>
      </c>
      <c r="IY33" s="138">
        <f t="shared" si="95"/>
        <v>0</v>
      </c>
      <c r="IZ33" s="138">
        <f t="shared" si="96"/>
        <v>0</v>
      </c>
      <c r="JA33" s="138">
        <f t="shared" si="97"/>
        <v>0</v>
      </c>
      <c r="JB33" s="138">
        <f t="shared" si="98"/>
        <v>0</v>
      </c>
      <c r="JC33" s="138">
        <f t="shared" si="99"/>
        <v>0</v>
      </c>
      <c r="JD33" s="138">
        <f t="shared" si="100"/>
        <v>0</v>
      </c>
      <c r="JE33" s="138">
        <f t="shared" si="101"/>
        <v>0</v>
      </c>
      <c r="JF33" s="138">
        <f t="shared" si="102"/>
        <v>0</v>
      </c>
      <c r="JG33" s="138">
        <f t="shared" si="103"/>
        <v>0</v>
      </c>
      <c r="JH33" s="138">
        <f t="shared" si="104"/>
        <v>0</v>
      </c>
      <c r="JI33" s="138">
        <f t="shared" si="105"/>
        <v>0</v>
      </c>
      <c r="JJ33" s="138">
        <f t="shared" si="106"/>
        <v>0</v>
      </c>
      <c r="JK33" s="138">
        <f t="shared" si="107"/>
        <v>0</v>
      </c>
      <c r="JL33" s="118">
        <f t="shared" si="111"/>
        <v>0</v>
      </c>
      <c r="JO33" s="90">
        <f t="shared" si="112"/>
        <v>1</v>
      </c>
      <c r="JP33" s="79">
        <f t="shared" si="108"/>
        <v>0</v>
      </c>
      <c r="JQ33" s="91">
        <f t="shared" si="2"/>
        <v>1.25</v>
      </c>
      <c r="JS33" s="123">
        <f t="shared" si="109"/>
        <v>-5.25</v>
      </c>
      <c r="JU33" s="123">
        <f t="shared" si="113"/>
        <v>-4</v>
      </c>
    </row>
    <row r="34" spans="2:281" x14ac:dyDescent="0.15">
      <c r="B34" s="82" t="str">
        <f>'MODU 2025'!B37</f>
        <v>PENINGUY Grégory</v>
      </c>
      <c r="C34" s="82" t="str">
        <f>'MODU 2025'!C37</f>
        <v>Production</v>
      </c>
      <c r="D34" s="82">
        <f>'MODU 2025'!D37</f>
        <v>37</v>
      </c>
      <c r="E34" s="82"/>
      <c r="F34" s="133">
        <f>'MODU 2025'!G37</f>
        <v>39</v>
      </c>
      <c r="G34" s="140">
        <f>'MODU 2025'!H37</f>
        <v>38</v>
      </c>
      <c r="H34" s="140">
        <f>'MODU 2025'!I37</f>
        <v>40.75</v>
      </c>
      <c r="I34" s="140">
        <f>'MODU 2025'!J37</f>
        <v>33.25</v>
      </c>
      <c r="J34" s="140">
        <f>'MODU 2025'!K37</f>
        <v>41.75</v>
      </c>
      <c r="K34" s="140">
        <f>'MODU 2025'!L37</f>
        <v>33</v>
      </c>
      <c r="L34" s="140">
        <f>'MODU 2025'!M37</f>
        <v>41</v>
      </c>
      <c r="M34" s="140">
        <f>'MODU 2025'!N37</f>
        <v>33</v>
      </c>
      <c r="N34" s="140">
        <f>'MODU 2025'!O37</f>
        <v>41</v>
      </c>
      <c r="O34" s="140">
        <f>'MODU 2025'!P37</f>
        <v>33</v>
      </c>
      <c r="P34" s="140">
        <f>'MODU 2025'!Q37</f>
        <v>41</v>
      </c>
      <c r="Q34" s="140">
        <f>'MODU 2025'!R37</f>
        <v>33</v>
      </c>
      <c r="R34" s="140">
        <f>'MODU 2025'!S37</f>
        <v>41</v>
      </c>
      <c r="S34" s="140">
        <f>'MODU 2025'!T37</f>
        <v>33</v>
      </c>
      <c r="T34" s="140">
        <f>'MODU 2025'!U37</f>
        <v>41</v>
      </c>
      <c r="U34" s="140">
        <f>'MODU 2025'!V37</f>
        <v>33</v>
      </c>
      <c r="V34" s="140">
        <f>'MODU 2025'!W37</f>
        <v>41</v>
      </c>
      <c r="W34" s="140">
        <f>'MODU 2025'!X37</f>
        <v>33</v>
      </c>
      <c r="X34" s="140">
        <f>'MODU 2025'!Y37</f>
        <v>41</v>
      </c>
      <c r="Y34" s="140">
        <f>'MODU 2025'!Z37</f>
        <v>33</v>
      </c>
      <c r="Z34" s="140">
        <f>'MODU 2025'!AA37</f>
        <v>41</v>
      </c>
      <c r="AA34" s="140">
        <f>'MODU 2025'!AB37</f>
        <v>33</v>
      </c>
      <c r="AB34" s="140">
        <f>'MODU 2025'!AC37</f>
        <v>41</v>
      </c>
      <c r="AC34" s="140">
        <f>'MODU 2025'!AD37</f>
        <v>33</v>
      </c>
      <c r="AD34" s="140">
        <f>'MODU 2025'!AE37</f>
        <v>41</v>
      </c>
      <c r="AE34" s="140">
        <f>'MODU 2025'!AF37</f>
        <v>33</v>
      </c>
      <c r="AF34" s="140">
        <f>'MODU 2025'!AG37</f>
        <v>41</v>
      </c>
      <c r="AG34" s="140">
        <f>'MODU 2025'!AH37</f>
        <v>33</v>
      </c>
      <c r="AH34" s="140">
        <f>'MODU 2025'!AI37</f>
        <v>41</v>
      </c>
      <c r="AI34" s="140">
        <f>'MODU 2025'!AJ37</f>
        <v>33</v>
      </c>
      <c r="AJ34" s="140">
        <f>'MODU 2025'!AK37</f>
        <v>41</v>
      </c>
      <c r="AK34" s="140">
        <f>'MODU 2025'!AL37</f>
        <v>33</v>
      </c>
      <c r="AL34" s="140">
        <f>'MODU 2025'!AM37</f>
        <v>41</v>
      </c>
      <c r="AM34" s="140">
        <f>'MODU 2025'!AN37</f>
        <v>33</v>
      </c>
      <c r="AN34" s="140">
        <f>'MODU 2025'!AO37</f>
        <v>41</v>
      </c>
      <c r="AO34" s="140">
        <f>'MODU 2025'!AP37</f>
        <v>33</v>
      </c>
      <c r="AP34" s="140">
        <f>'MODU 2025'!AQ37</f>
        <v>41</v>
      </c>
      <c r="AQ34" s="140">
        <f>'MODU 2025'!AR37</f>
        <v>33</v>
      </c>
      <c r="AR34" s="140">
        <f>'MODU 2025'!AS37</f>
        <v>41</v>
      </c>
      <c r="AS34" s="140">
        <f>'MODU 2025'!AT37</f>
        <v>33</v>
      </c>
      <c r="AT34" s="140">
        <f>'MODU 2025'!AU37</f>
        <v>41</v>
      </c>
      <c r="AU34" s="140">
        <f>'MODU 2025'!AV37</f>
        <v>33</v>
      </c>
      <c r="AV34" s="140">
        <f>'MODU 2025'!AW37</f>
        <v>41</v>
      </c>
      <c r="AW34" s="140">
        <f>'MODU 2025'!AX37</f>
        <v>33</v>
      </c>
      <c r="AX34" s="140">
        <f>'MODU 2025'!AY37</f>
        <v>41</v>
      </c>
      <c r="AY34" s="140">
        <f>'MODU 2025'!AZ37</f>
        <v>33</v>
      </c>
      <c r="AZ34" s="140">
        <f>'MODU 2025'!BA37</f>
        <v>41</v>
      </c>
      <c r="BA34" s="140">
        <f>'MODU 2025'!BB37</f>
        <v>33</v>
      </c>
      <c r="BB34" s="140">
        <f>'MODU 2025'!BC37</f>
        <v>41</v>
      </c>
      <c r="BC34" s="140">
        <f>'MODU 2025'!BD37</f>
        <v>33</v>
      </c>
      <c r="BD34" s="140">
        <f>'MODU 2025'!BE37</f>
        <v>41</v>
      </c>
      <c r="BE34" s="134">
        <f>'MODU 2025'!BF37</f>
        <v>33</v>
      </c>
      <c r="BF34" s="82"/>
      <c r="BG34" s="107">
        <v>33</v>
      </c>
      <c r="BH34" s="145">
        <v>41</v>
      </c>
      <c r="BI34" s="145">
        <v>33</v>
      </c>
      <c r="BJ34" s="145">
        <v>41</v>
      </c>
      <c r="BK34" s="145">
        <v>33</v>
      </c>
      <c r="BL34" s="145">
        <v>41</v>
      </c>
      <c r="BM34" s="145">
        <v>33</v>
      </c>
      <c r="BN34" s="145">
        <v>41</v>
      </c>
      <c r="BO34" s="145">
        <v>33</v>
      </c>
      <c r="BP34" s="145">
        <v>41</v>
      </c>
      <c r="BQ34" s="145">
        <v>33</v>
      </c>
      <c r="BR34" s="145">
        <v>41</v>
      </c>
      <c r="BS34" s="145">
        <v>33</v>
      </c>
      <c r="BT34" s="145">
        <v>41</v>
      </c>
      <c r="BU34" s="145">
        <v>33</v>
      </c>
      <c r="BV34" s="145">
        <v>41</v>
      </c>
      <c r="BW34" s="145">
        <v>33</v>
      </c>
      <c r="BX34" s="145">
        <v>41</v>
      </c>
      <c r="BY34" s="145">
        <v>33</v>
      </c>
      <c r="BZ34" s="145">
        <v>41</v>
      </c>
      <c r="CA34" s="145">
        <v>33</v>
      </c>
      <c r="CB34" s="145">
        <v>41</v>
      </c>
      <c r="CC34" s="145">
        <v>33</v>
      </c>
      <c r="CD34" s="145">
        <v>41</v>
      </c>
      <c r="CE34" s="145">
        <v>33</v>
      </c>
      <c r="CF34" s="145">
        <v>41</v>
      </c>
      <c r="CG34" s="145">
        <v>33</v>
      </c>
      <c r="CH34" s="145">
        <v>41</v>
      </c>
      <c r="CI34" s="145">
        <v>33</v>
      </c>
      <c r="CJ34" s="145">
        <v>41</v>
      </c>
      <c r="CK34" s="145">
        <v>33</v>
      </c>
      <c r="CL34" s="145">
        <v>41</v>
      </c>
      <c r="CM34" s="145">
        <v>33</v>
      </c>
      <c r="CN34" s="145">
        <v>41</v>
      </c>
      <c r="CO34" s="145">
        <v>33</v>
      </c>
      <c r="CP34" s="145">
        <v>41</v>
      </c>
      <c r="CQ34" s="145">
        <v>33</v>
      </c>
      <c r="CR34" s="145">
        <v>41</v>
      </c>
      <c r="CS34" s="145">
        <v>33</v>
      </c>
      <c r="CT34" s="145">
        <v>41</v>
      </c>
      <c r="CU34" s="145">
        <v>33</v>
      </c>
      <c r="CV34" s="145">
        <v>41</v>
      </c>
      <c r="CW34" s="145">
        <v>33</v>
      </c>
      <c r="CX34" s="145">
        <v>41</v>
      </c>
      <c r="CY34" s="145">
        <v>33</v>
      </c>
      <c r="CZ34" s="145">
        <v>41</v>
      </c>
      <c r="DA34" s="145">
        <v>33</v>
      </c>
      <c r="DB34" s="145">
        <v>41</v>
      </c>
      <c r="DC34" s="145">
        <v>33</v>
      </c>
      <c r="DD34" s="145">
        <v>41</v>
      </c>
      <c r="DE34" s="145">
        <v>33</v>
      </c>
      <c r="DF34" s="108">
        <v>41</v>
      </c>
      <c r="DG34" s="84"/>
      <c r="DH34" s="112">
        <f t="shared" si="3"/>
        <v>0</v>
      </c>
      <c r="DI34" s="138">
        <f t="shared" si="4"/>
        <v>3</v>
      </c>
      <c r="DJ34" s="138">
        <f t="shared" si="5"/>
        <v>0</v>
      </c>
      <c r="DK34" s="138">
        <f t="shared" si="6"/>
        <v>0</v>
      </c>
      <c r="DL34" s="138">
        <f t="shared" si="7"/>
        <v>0</v>
      </c>
      <c r="DM34" s="138">
        <f t="shared" si="8"/>
        <v>0.75</v>
      </c>
      <c r="DN34" s="138">
        <f t="shared" si="9"/>
        <v>0</v>
      </c>
      <c r="DO34" s="138">
        <f t="shared" si="10"/>
        <v>0</v>
      </c>
      <c r="DP34" s="138">
        <f t="shared" si="11"/>
        <v>0</v>
      </c>
      <c r="DQ34" s="138">
        <f t="shared" si="12"/>
        <v>0</v>
      </c>
      <c r="DR34" s="138">
        <f t="shared" si="13"/>
        <v>0</v>
      </c>
      <c r="DS34" s="138">
        <f t="shared" si="14"/>
        <v>0</v>
      </c>
      <c r="DT34" s="138">
        <f t="shared" si="15"/>
        <v>0</v>
      </c>
      <c r="DU34" s="138">
        <f t="shared" si="16"/>
        <v>0</v>
      </c>
      <c r="DV34" s="138">
        <f t="shared" si="17"/>
        <v>0</v>
      </c>
      <c r="DW34" s="138">
        <f t="shared" si="18"/>
        <v>0</v>
      </c>
      <c r="DX34" s="138">
        <f t="shared" si="19"/>
        <v>0</v>
      </c>
      <c r="DY34" s="138">
        <f t="shared" si="20"/>
        <v>0</v>
      </c>
      <c r="DZ34" s="138">
        <f t="shared" si="21"/>
        <v>0</v>
      </c>
      <c r="EA34" s="138">
        <f t="shared" si="22"/>
        <v>0</v>
      </c>
      <c r="EB34" s="138">
        <f t="shared" si="23"/>
        <v>0</v>
      </c>
      <c r="EC34" s="138">
        <f t="shared" si="24"/>
        <v>0</v>
      </c>
      <c r="ED34" s="138">
        <f t="shared" si="25"/>
        <v>0</v>
      </c>
      <c r="EE34" s="138">
        <f t="shared" si="26"/>
        <v>0</v>
      </c>
      <c r="EF34" s="138">
        <f t="shared" si="27"/>
        <v>0</v>
      </c>
      <c r="EG34" s="138">
        <f t="shared" si="28"/>
        <v>0</v>
      </c>
      <c r="EH34" s="138">
        <f t="shared" si="29"/>
        <v>0</v>
      </c>
      <c r="EI34" s="138">
        <f t="shared" si="30"/>
        <v>0</v>
      </c>
      <c r="EJ34" s="138">
        <f t="shared" si="31"/>
        <v>0</v>
      </c>
      <c r="EK34" s="138">
        <f t="shared" si="32"/>
        <v>0</v>
      </c>
      <c r="EL34" s="138">
        <f t="shared" si="33"/>
        <v>0</v>
      </c>
      <c r="EM34" s="138">
        <f t="shared" si="34"/>
        <v>0</v>
      </c>
      <c r="EN34" s="138">
        <f t="shared" si="35"/>
        <v>0</v>
      </c>
      <c r="EO34" s="138">
        <f t="shared" si="36"/>
        <v>0</v>
      </c>
      <c r="EP34" s="138">
        <f t="shared" si="37"/>
        <v>0</v>
      </c>
      <c r="EQ34" s="138">
        <f t="shared" si="38"/>
        <v>0</v>
      </c>
      <c r="ER34" s="138">
        <f t="shared" si="39"/>
        <v>0</v>
      </c>
      <c r="ES34" s="138">
        <f t="shared" si="40"/>
        <v>0</v>
      </c>
      <c r="ET34" s="138">
        <f t="shared" si="41"/>
        <v>0</v>
      </c>
      <c r="EU34" s="138">
        <f t="shared" si="42"/>
        <v>0</v>
      </c>
      <c r="EV34" s="138">
        <f t="shared" si="43"/>
        <v>0</v>
      </c>
      <c r="EW34" s="138">
        <f t="shared" si="44"/>
        <v>0</v>
      </c>
      <c r="EX34" s="138">
        <f t="shared" si="45"/>
        <v>0</v>
      </c>
      <c r="EY34" s="138">
        <f t="shared" si="46"/>
        <v>0</v>
      </c>
      <c r="EZ34" s="138">
        <f t="shared" si="47"/>
        <v>0</v>
      </c>
      <c r="FA34" s="138">
        <f t="shared" si="48"/>
        <v>0</v>
      </c>
      <c r="FB34" s="138">
        <f t="shared" si="49"/>
        <v>0</v>
      </c>
      <c r="FC34" s="138">
        <f t="shared" si="50"/>
        <v>0</v>
      </c>
      <c r="FD34" s="138">
        <f t="shared" si="51"/>
        <v>0</v>
      </c>
      <c r="FE34" s="138">
        <f t="shared" si="52"/>
        <v>0</v>
      </c>
      <c r="FF34" s="138">
        <f t="shared" si="53"/>
        <v>0</v>
      </c>
      <c r="FG34" s="113">
        <f t="shared" si="54"/>
        <v>0</v>
      </c>
      <c r="FH34" s="113">
        <f t="shared" si="55"/>
        <v>3.75</v>
      </c>
      <c r="FI34" s="35"/>
      <c r="FJ34" s="151" cm="1">
        <f t="array" ref="FJ34">IF($C34="Production",
IFERROR(_xlfn.IFS(AND(DH34&gt;0,DH34+SUM(BF34:BG34)&lt;=$FM$3),DH34,AND(DH34&gt;0,DH34+SUM(BF34:BG34)&gt;$FM$3),$FM$3-SUM(BF34:BG34)),0),
IFERROR(_xlfn.IFS(AND(DH34&gt;0,DH34+BG34&lt;=$FK$3),DH34,AND(DH34&gt;0,DH34+BG34&gt;$FK$3),0),0)
)</f>
        <v>0</v>
      </c>
      <c r="FK34" s="152" cm="1">
        <f t="array" ref="FK34">IF($C34="Production",
IFERROR(_xlfn.IFS(AND(DI34&gt;0,DI34+SUM(BG34:BH34)&lt;=$FM$3),DI34,AND(DI34&gt;0,DI34+SUM(BG34:BH34)&gt;$FM$3),$FM$3-SUM(BG34:BH34)),0),
IFERROR(_xlfn.IFS(AND(DI34&gt;0,DI34+BH34&lt;=$FK$3),DI34,AND(DI34&gt;0,DI34+BH34&gt;$FK$3),0),0)
)</f>
        <v>3</v>
      </c>
      <c r="FL34" s="152" cm="1">
        <f t="array" ref="FL34">IF($C34="Production",
IFERROR(_xlfn.IFS(AND(DJ34&gt;0,DJ34+SUM(BH34:BI34)&lt;=$FM$3),DJ34,AND(DJ34&gt;0,DJ34+SUM(BH34:BI34)&gt;$FM$3),$FM$3-SUM(BH34:BI34)),0),
IFERROR(_xlfn.IFS(AND(DJ34&gt;0,DJ34+BI34&lt;=$FK$3),DJ34,AND(DJ34&gt;0,DJ34+BI34&gt;$FK$3),0),0)
)</f>
        <v>0</v>
      </c>
      <c r="FM34" s="152" cm="1">
        <f t="array" ref="FM34">IF($C34="Production",
IFERROR(_xlfn.IFS(AND(DK34&gt;0,DK34+SUM(BI34:BJ34)&lt;=$FM$3),DK34,AND(DK34&gt;0,DK34+SUM(BI34:BJ34)&gt;$FM$3),$FM$3-SUM(BI34:BJ34)),0),
IFERROR(_xlfn.IFS(AND(DK34&gt;0,DK34+BJ34&lt;=$FK$3),DK34,AND(DK34&gt;0,DK34+BJ34&gt;$FK$3),0),0)
)</f>
        <v>0</v>
      </c>
      <c r="FN34" s="152" cm="1">
        <f t="array" ref="FN34">IF($C34="Production",
IFERROR(_xlfn.IFS(AND(DL34&gt;0,DL34+SUM(BJ34:BK34)&lt;=$FM$3),DL34,AND(DL34&gt;0,DL34+SUM(BJ34:BK34)&gt;$FM$3),$FM$3-SUM(BJ34:BK34)),0),
IFERROR(_xlfn.IFS(AND(DL34&gt;0,DL34+BK34&lt;=$FK$3),DL34,AND(DL34&gt;0,DL34+BK34&gt;$FK$3),0),0)
)</f>
        <v>0</v>
      </c>
      <c r="FO34" s="152" cm="1">
        <f t="array" ref="FO34">IF($C34="Production",
IFERROR(_xlfn.IFS(AND(DM34&gt;0,DM34+SUM(BK34:BL34)&lt;=$FM$3),DM34,AND(DM34&gt;0,DM34+SUM(BK34:BL34)&gt;$FM$3),$FM$3-SUM(BK34:BL34)),0),
IFERROR(_xlfn.IFS(AND(DM34&gt;0,DM34+BL34&lt;=$FK$3),DM34,AND(DM34&gt;0,DM34+BL34&gt;$FK$3),0),0)
)</f>
        <v>0.75</v>
      </c>
      <c r="FP34" s="152" cm="1">
        <f t="array" ref="FP34">IF($C34="Production",
IFERROR(_xlfn.IFS(AND(DN34&gt;0,DN34+SUM(BL34:BM34)&lt;=$FM$3),DN34,AND(DN34&gt;0,DN34+SUM(BL34:BM34)&gt;$FM$3),$FM$3-SUM(BL34:BM34)),0),
IFERROR(_xlfn.IFS(AND(DN34&gt;0,DN34+BM34&lt;=$FK$3),DN34,AND(DN34&gt;0,DN34+BM34&gt;$FK$3),0),0)
)</f>
        <v>0</v>
      </c>
      <c r="FQ34" s="152" cm="1">
        <f t="array" ref="FQ34">IF($C34="Production",
IFERROR(_xlfn.IFS(AND(DO34&gt;0,DO34+SUM(BM34:BN34)&lt;=$FM$3),DO34,AND(DO34&gt;0,DO34+SUM(BM34:BN34)&gt;$FM$3),$FM$3-SUM(BM34:BN34)),0),
IFERROR(_xlfn.IFS(AND(DO34&gt;0,DO34+BN34&lt;=$FK$3),DO34,AND(DO34&gt;0,DO34+BN34&gt;$FK$3),0),0)
)</f>
        <v>0</v>
      </c>
      <c r="FR34" s="152" cm="1">
        <f t="array" ref="FR34">IF($C34="Production",
IFERROR(_xlfn.IFS(AND(DP34&gt;0,DP34+SUM(BN34:BO34)&lt;=$FM$3),DP34,AND(DP34&gt;0,DP34+SUM(BN34:BO34)&gt;$FM$3),$FM$3-SUM(BN34:BO34)),0),
IFERROR(_xlfn.IFS(AND(DP34&gt;0,DP34+BO34&lt;=$FK$3),DP34,AND(DP34&gt;0,DP34+BO34&gt;$FK$3),0),0)
)</f>
        <v>0</v>
      </c>
      <c r="FS34" s="152" cm="1">
        <f t="array" ref="FS34">IF($C34="Production",
IFERROR(_xlfn.IFS(AND(DQ34&gt;0,DQ34+SUM(BO34:BP34)&lt;=$FM$3),DQ34,AND(DQ34&gt;0,DQ34+SUM(BO34:BP34)&gt;$FM$3),$FM$3-SUM(BO34:BP34)),0),
IFERROR(_xlfn.IFS(AND(DQ34&gt;0,DQ34+BP34&lt;=$FK$3),DQ34,AND(DQ34&gt;0,DQ34+BP34&gt;$FK$3),0),0)
)</f>
        <v>0</v>
      </c>
      <c r="FT34" s="152" cm="1">
        <f t="array" ref="FT34">IF($C34="Production",
IFERROR(_xlfn.IFS(AND(DR34&gt;0,DR34+SUM(BP34:BQ34)&lt;=$FM$3),DR34,AND(DR34&gt;0,DR34+SUM(BP34:BQ34)&gt;$FM$3),$FM$3-SUM(BP34:BQ34)),0),
IFERROR(_xlfn.IFS(AND(DR34&gt;0,DR34+BQ34&lt;=$FK$3),DR34,AND(DR34&gt;0,DR34+BQ34&gt;$FK$3),0),0)
)</f>
        <v>0</v>
      </c>
      <c r="FU34" s="152" cm="1">
        <f t="array" ref="FU34">IF($C34="Production",
IFERROR(_xlfn.IFS(AND(DS34&gt;0,DS34+SUM(BQ34:BR34)&lt;=$FM$3),DS34,AND(DS34&gt;0,DS34+SUM(BQ34:BR34)&gt;$FM$3),$FM$3-SUM(BQ34:BR34)),0),
IFERROR(_xlfn.IFS(AND(DS34&gt;0,DS34+BR34&lt;=$FK$3),DS34,AND(DS34&gt;0,DS34+BR34&gt;$FK$3),0),0)
)</f>
        <v>0</v>
      </c>
      <c r="FV34" s="152" cm="1">
        <f t="array" ref="FV34">IF($C34="Production",
IFERROR(_xlfn.IFS(AND(DT34&gt;0,DT34+SUM(BR34:BS34)&lt;=$FM$3),DT34,AND(DT34&gt;0,DT34+SUM(BR34:BS34)&gt;$FM$3),$FM$3-SUM(BR34:BS34)),0),
IFERROR(_xlfn.IFS(AND(DT34&gt;0,DT34+BS34&lt;=$FK$3),DT34,AND(DT34&gt;0,DT34+BS34&gt;$FK$3),0),0)
)</f>
        <v>0</v>
      </c>
      <c r="FW34" s="152" cm="1">
        <f t="array" ref="FW34">IF($C34="Production",
IFERROR(_xlfn.IFS(AND(DU34&gt;0,DU34+SUM(BS34:BT34)&lt;=$FM$3),DU34,AND(DU34&gt;0,DU34+SUM(BS34:BT34)&gt;$FM$3),$FM$3-SUM(BS34:BT34)),0),
IFERROR(_xlfn.IFS(AND(DU34&gt;0,DU34+BT34&lt;=$FK$3),DU34,AND(DU34&gt;0,DU34+BT34&gt;$FK$3),0),0)
)</f>
        <v>0</v>
      </c>
      <c r="FX34" s="152" cm="1">
        <f t="array" ref="FX34">IF($C34="Production",
IFERROR(_xlfn.IFS(AND(DV34&gt;0,DV34+SUM(BT34:BU34)&lt;=$FM$3),DV34,AND(DV34&gt;0,DV34+SUM(BT34:BU34)&gt;$FM$3),$FM$3-SUM(BT34:BU34)),0),
IFERROR(_xlfn.IFS(AND(DV34&gt;0,DV34+BU34&lt;=$FK$3),DV34,AND(DV34&gt;0,DV34+BU34&gt;$FK$3),0),0)
)</f>
        <v>0</v>
      </c>
      <c r="FY34" s="152" cm="1">
        <f t="array" ref="FY34">IF($C34="Production",
IFERROR(_xlfn.IFS(AND(DW34&gt;0,DW34+SUM(BU34:BV34)&lt;=$FM$3),DW34,AND(DW34&gt;0,DW34+SUM(BU34:BV34)&gt;$FM$3),$FM$3-SUM(BU34:BV34)),0),
IFERROR(_xlfn.IFS(AND(DW34&gt;0,DW34+BV34&lt;=$FK$3),DW34,AND(DW34&gt;0,DW34+BV34&gt;$FK$3),0),0)
)</f>
        <v>0</v>
      </c>
      <c r="FZ34" s="152" cm="1">
        <f t="array" ref="FZ34">IF($C34="Production",
IFERROR(_xlfn.IFS(AND(DX34&gt;0,DX34+SUM(BV34:BW34)&lt;=$FM$3),DX34,AND(DX34&gt;0,DX34+SUM(BV34:BW34)&gt;$FM$3),$FM$3-SUM(BV34:BW34)),0),
IFERROR(_xlfn.IFS(AND(DX34&gt;0,DX34+BW34&lt;=$FK$3),DX34,AND(DX34&gt;0,DX34+BW34&gt;$FK$3),0),0)
)</f>
        <v>0</v>
      </c>
      <c r="GA34" s="152" cm="1">
        <f t="array" ref="GA34">IF($C34="Production",
IFERROR(_xlfn.IFS(AND(DY34&gt;0,DY34+SUM(BW34:BX34)&lt;=$FM$3),DY34,AND(DY34&gt;0,DY34+SUM(BW34:BX34)&gt;$FM$3),$FM$3-SUM(BW34:BX34)),0),
IFERROR(_xlfn.IFS(AND(DY34&gt;0,DY34+BX34&lt;=$FK$3),DY34,AND(DY34&gt;0,DY34+BX34&gt;$FK$3),0),0)
)</f>
        <v>0</v>
      </c>
      <c r="GB34" s="152" cm="1">
        <f t="array" ref="GB34">IF($C34="Production",
IFERROR(_xlfn.IFS(AND(DZ34&gt;0,DZ34+SUM(BX34:BY34)&lt;=$FM$3),DZ34,AND(DZ34&gt;0,DZ34+SUM(BX34:BY34)&gt;$FM$3),$FM$3-SUM(BX34:BY34)),0),
IFERROR(_xlfn.IFS(AND(DZ34&gt;0,DZ34+BY34&lt;=$FK$3),DZ34,AND(DZ34&gt;0,DZ34+BY34&gt;$FK$3),0),0)
)</f>
        <v>0</v>
      </c>
      <c r="GC34" s="152" cm="1">
        <f t="array" ref="GC34">IF($C34="Production",
IFERROR(_xlfn.IFS(AND(EA34&gt;0,EA34+SUM(BY34:BZ34)&lt;=$FM$3),EA34,AND(EA34&gt;0,EA34+SUM(BY34:BZ34)&gt;$FM$3),$FM$3-SUM(BY34:BZ34)),0),
IFERROR(_xlfn.IFS(AND(EA34&gt;0,EA34+BZ34&lt;=$FK$3),EA34,AND(EA34&gt;0,EA34+BZ34&gt;$FK$3),0),0)
)</f>
        <v>0</v>
      </c>
      <c r="GD34" s="152" cm="1">
        <f t="array" ref="GD34">IF($C34="Production",
IFERROR(_xlfn.IFS(AND(EB34&gt;0,EB34+SUM(BZ34:CA34)&lt;=$FM$3),EB34,AND(EB34&gt;0,EB34+SUM(BZ34:CA34)&gt;$FM$3),$FM$3-SUM(BZ34:CA34)),0),
IFERROR(_xlfn.IFS(AND(EB34&gt;0,EB34+CA34&lt;=$FK$3),EB34,AND(EB34&gt;0,EB34+CA34&gt;$FK$3),0),0)
)</f>
        <v>0</v>
      </c>
      <c r="GE34" s="152" cm="1">
        <f t="array" ref="GE34">IF($C34="Production",
IFERROR(_xlfn.IFS(AND(EC34&gt;0,EC34+SUM(CA34:CB34)&lt;=$FM$3),EC34,AND(EC34&gt;0,EC34+SUM(CA34:CB34)&gt;$FM$3),$FM$3-SUM(CA34:CB34)),0),
IFERROR(_xlfn.IFS(AND(EC34&gt;0,EC34+CB34&lt;=$FK$3),EC34,AND(EC34&gt;0,EC34+CB34&gt;$FK$3),0),0)
)</f>
        <v>0</v>
      </c>
      <c r="GF34" s="152" cm="1">
        <f t="array" ref="GF34">IF($C34="Production",
IFERROR(_xlfn.IFS(AND(ED34&gt;0,ED34+SUM(CB34:CC34)&lt;=$FM$3),ED34,AND(ED34&gt;0,ED34+SUM(CB34:CC34)&gt;$FM$3),$FM$3-SUM(CB34:CC34)),0),
IFERROR(_xlfn.IFS(AND(ED34&gt;0,ED34+CC34&lt;=$FK$3),ED34,AND(ED34&gt;0,ED34+CC34&gt;$FK$3),0),0)
)</f>
        <v>0</v>
      </c>
      <c r="GG34" s="152" cm="1">
        <f t="array" ref="GG34">IF($C34="Production",
IFERROR(_xlfn.IFS(AND(EE34&gt;0,EE34+SUM(CC34:CD34)&lt;=$FM$3),EE34,AND(EE34&gt;0,EE34+SUM(CC34:CD34)&gt;$FM$3),$FM$3-SUM(CC34:CD34)),0),
IFERROR(_xlfn.IFS(AND(EE34&gt;0,EE34+CD34&lt;=$FK$3),EE34,AND(EE34&gt;0,EE34+CD34&gt;$FK$3),0),0)
)</f>
        <v>0</v>
      </c>
      <c r="GH34" s="152" cm="1">
        <f t="array" ref="GH34">IF($C34="Production",
IFERROR(_xlfn.IFS(AND(EF34&gt;0,EF34+SUM(CD34:CE34)&lt;=$FM$3),EF34,AND(EF34&gt;0,EF34+SUM(CD34:CE34)&gt;$FM$3),$FM$3-SUM(CD34:CE34)),0),
IFERROR(_xlfn.IFS(AND(EF34&gt;0,EF34+CE34&lt;=$FK$3),EF34,AND(EF34&gt;0,EF34+CE34&gt;$FK$3),0),0)
)</f>
        <v>0</v>
      </c>
      <c r="GI34" s="152" cm="1">
        <f t="array" ref="GI34">IF($C34="Production",
IFERROR(_xlfn.IFS(AND(EG34&gt;0,EG34+SUM(CE34:CF34)&lt;=$FM$3),EG34,AND(EG34&gt;0,EG34+SUM(CE34:CF34)&gt;$FM$3),$FM$3-SUM(CE34:CF34)),0),
IFERROR(_xlfn.IFS(AND(EG34&gt;0,EG34+CF34&lt;=$FK$3),EG34,AND(EG34&gt;0,EG34+CF34&gt;$FK$3),0),0)
)</f>
        <v>0</v>
      </c>
      <c r="GJ34" s="152" cm="1">
        <f t="array" ref="GJ34">IF($C34="Production",
IFERROR(_xlfn.IFS(AND(EH34&gt;0,EH34+SUM(CF34:CG34)&lt;=$FM$3),EH34,AND(EH34&gt;0,EH34+SUM(CF34:CG34)&gt;$FM$3),$FM$3-SUM(CF34:CG34)),0),
IFERROR(_xlfn.IFS(AND(EH34&gt;0,EH34+CG34&lt;=$FK$3),EH34,AND(EH34&gt;0,EH34+CG34&gt;$FK$3),0),0)
)</f>
        <v>0</v>
      </c>
      <c r="GK34" s="152" cm="1">
        <f t="array" ref="GK34">IF($C34="Production",
IFERROR(_xlfn.IFS(AND(EI34&gt;0,EI34+SUM(CG34:CH34)&lt;=$FM$3),EI34,AND(EI34&gt;0,EI34+SUM(CG34:CH34)&gt;$FM$3),$FM$3-SUM(CG34:CH34)),0),
IFERROR(_xlfn.IFS(AND(EI34&gt;0,EI34+CH34&lt;=$FK$3),EI34,AND(EI34&gt;0,EI34+CH34&gt;$FK$3),0),0)
)</f>
        <v>0</v>
      </c>
      <c r="GL34" s="152" cm="1">
        <f t="array" ref="GL34">IF($C34="Production",
IFERROR(_xlfn.IFS(AND(EJ34&gt;0,EJ34+SUM(CH34:CI34)&lt;=$FM$3),EJ34,AND(EJ34&gt;0,EJ34+SUM(CH34:CI34)&gt;$FM$3),$FM$3-SUM(CH34:CI34)),0),
IFERROR(_xlfn.IFS(AND(EJ34&gt;0,EJ34+CI34&lt;=$FK$3),EJ34,AND(EJ34&gt;0,EJ34+CI34&gt;$FK$3),0),0)
)</f>
        <v>0</v>
      </c>
      <c r="GM34" s="152" cm="1">
        <f t="array" ref="GM34">IF($C34="Production",
IFERROR(_xlfn.IFS(AND(EK34&gt;0,EK34+SUM(CI34:CJ34)&lt;=$FM$3),EK34,AND(EK34&gt;0,EK34+SUM(CI34:CJ34)&gt;$FM$3),$FM$3-SUM(CI34:CJ34)),0),
IFERROR(_xlfn.IFS(AND(EK34&gt;0,EK34+CJ34&lt;=$FK$3),EK34,AND(EK34&gt;0,EK34+CJ34&gt;$FK$3),0),0)
)</f>
        <v>0</v>
      </c>
      <c r="GN34" s="152" cm="1">
        <f t="array" ref="GN34">IF($C34="Production",
IFERROR(_xlfn.IFS(AND(EL34&gt;0,EL34+SUM(CJ34:CK34)&lt;=$FM$3),EL34,AND(EL34&gt;0,EL34+SUM(CJ34:CK34)&gt;$FM$3),$FM$3-SUM(CJ34:CK34)),0),
IFERROR(_xlfn.IFS(AND(EL34&gt;0,EL34+CK34&lt;=$FK$3),EL34,AND(EL34&gt;0,EL34+CK34&gt;$FK$3),0),0)
)</f>
        <v>0</v>
      </c>
      <c r="GO34" s="152" cm="1">
        <f t="array" ref="GO34">IF($C34="Production",
IFERROR(_xlfn.IFS(AND(EM34&gt;0,EM34+SUM(CK34:CL34)&lt;=$FM$3),EM34,AND(EM34&gt;0,EM34+SUM(CK34:CL34)&gt;$FM$3),$FM$3-SUM(CK34:CL34)),0),
IFERROR(_xlfn.IFS(AND(EM34&gt;0,EM34+CL34&lt;=$FK$3),EM34,AND(EM34&gt;0,EM34+CL34&gt;$FK$3),0),0)
)</f>
        <v>0</v>
      </c>
      <c r="GP34" s="152" cm="1">
        <f t="array" ref="GP34">IF($C34="Production",
IFERROR(_xlfn.IFS(AND(EN34&gt;0,EN34+SUM(CL34:CM34)&lt;=$FM$3),EN34,AND(EN34&gt;0,EN34+SUM(CL34:CM34)&gt;$FM$3),$FM$3-SUM(CL34:CM34)),0),
IFERROR(_xlfn.IFS(AND(EN34&gt;0,EN34+CM34&lt;=$FK$3),EN34,AND(EN34&gt;0,EN34+CM34&gt;$FK$3),0),0)
)</f>
        <v>0</v>
      </c>
      <c r="GQ34" s="152" cm="1">
        <f t="array" ref="GQ34">IF($C34="Production",
IFERROR(_xlfn.IFS(AND(EO34&gt;0,EO34+SUM(CM34:CN34)&lt;=$FM$3),EO34,AND(EO34&gt;0,EO34+SUM(CM34:CN34)&gt;$FM$3),$FM$3-SUM(CM34:CN34)),0),
IFERROR(_xlfn.IFS(AND(EO34&gt;0,EO34+CN34&lt;=$FK$3),EO34,AND(EO34&gt;0,EO34+CN34&gt;$FK$3),0),0)
)</f>
        <v>0</v>
      </c>
      <c r="GR34" s="152" cm="1">
        <f t="array" ref="GR34">IF($C34="Production",
IFERROR(_xlfn.IFS(AND(EP34&gt;0,EP34+SUM(CN34:CO34)&lt;=$FM$3),EP34,AND(EP34&gt;0,EP34+SUM(CN34:CO34)&gt;$FM$3),$FM$3-SUM(CN34:CO34)),0),
IFERROR(_xlfn.IFS(AND(EP34&gt;0,EP34+CO34&lt;=$FK$3),EP34,AND(EP34&gt;0,EP34+CO34&gt;$FK$3),0),0)
)</f>
        <v>0</v>
      </c>
      <c r="GS34" s="152" cm="1">
        <f t="array" ref="GS34">IF($C34="Production",
IFERROR(_xlfn.IFS(AND(EQ34&gt;0,EQ34+SUM(CO34:CP34)&lt;=$FM$3),EQ34,AND(EQ34&gt;0,EQ34+SUM(CO34:CP34)&gt;$FM$3),$FM$3-SUM(CO34:CP34)),0),
IFERROR(_xlfn.IFS(AND(EQ34&gt;0,EQ34+CP34&lt;=$FK$3),EQ34,AND(EQ34&gt;0,EQ34+CP34&gt;$FK$3),0),0)
)</f>
        <v>0</v>
      </c>
      <c r="GT34" s="152" cm="1">
        <f t="array" ref="GT34">IF($C34="Production",
IFERROR(_xlfn.IFS(AND(ER34&gt;0,ER34+SUM(CP34:CQ34)&lt;=$FM$3),ER34,AND(ER34&gt;0,ER34+SUM(CP34:CQ34)&gt;$FM$3),$FM$3-SUM(CP34:CQ34)),0),
IFERROR(_xlfn.IFS(AND(ER34&gt;0,ER34+CQ34&lt;=$FK$3),ER34,AND(ER34&gt;0,ER34+CQ34&gt;$FK$3),0),0)
)</f>
        <v>0</v>
      </c>
      <c r="GU34" s="152" cm="1">
        <f t="array" ref="GU34">IF($C34="Production",
IFERROR(_xlfn.IFS(AND(ES34&gt;0,ES34+SUM(CQ34:CR34)&lt;=$FM$3),ES34,AND(ES34&gt;0,ES34+SUM(CQ34:CR34)&gt;$FM$3),$FM$3-SUM(CQ34:CR34)),0),
IFERROR(_xlfn.IFS(AND(ES34&gt;0,ES34+CR34&lt;=$FK$3),ES34,AND(ES34&gt;0,ES34+CR34&gt;$FK$3),0),0)
)</f>
        <v>0</v>
      </c>
      <c r="GV34" s="152" cm="1">
        <f t="array" ref="GV34">IF($C34="Production",
IFERROR(_xlfn.IFS(AND(ET34&gt;0,ET34+SUM(CR34:CS34)&lt;=$FM$3),ET34,AND(ET34&gt;0,ET34+SUM(CR34:CS34)&gt;$FM$3),$FM$3-SUM(CR34:CS34)),0),
IFERROR(_xlfn.IFS(AND(ET34&gt;0,ET34+CS34&lt;=$FK$3),ET34,AND(ET34&gt;0,ET34+CS34&gt;$FK$3),0),0)
)</f>
        <v>0</v>
      </c>
      <c r="GW34" s="152" cm="1">
        <f t="array" ref="GW34">IF($C34="Production",
IFERROR(_xlfn.IFS(AND(EU34&gt;0,EU34+SUM(CS34:CT34)&lt;=$FM$3),EU34,AND(EU34&gt;0,EU34+SUM(CS34:CT34)&gt;$FM$3),$FM$3-SUM(CS34:CT34)),0),
IFERROR(_xlfn.IFS(AND(EU34&gt;0,EU34+CT34&lt;=$FK$3),EU34,AND(EU34&gt;0,EU34+CT34&gt;$FK$3),0),0)
)</f>
        <v>0</v>
      </c>
      <c r="GX34" s="152" cm="1">
        <f t="array" ref="GX34">IF($C34="Production",
IFERROR(_xlfn.IFS(AND(EV34&gt;0,EV34+SUM(CT34:CU34)&lt;=$FM$3),EV34,AND(EV34&gt;0,EV34+SUM(CT34:CU34)&gt;$FM$3),$FM$3-SUM(CT34:CU34)),0),
IFERROR(_xlfn.IFS(AND(EV34&gt;0,EV34+CU34&lt;=$FK$3),EV34,AND(EV34&gt;0,EV34+CU34&gt;$FK$3),0),0)
)</f>
        <v>0</v>
      </c>
      <c r="GY34" s="152" cm="1">
        <f t="array" ref="GY34">IF($C34="Production",
IFERROR(_xlfn.IFS(AND(EW34&gt;0,EW34+SUM(CU34:CV34)&lt;=$FM$3),EW34,AND(EW34&gt;0,EW34+SUM(CU34:CV34)&gt;$FM$3),$FM$3-SUM(CU34:CV34)),0),
IFERROR(_xlfn.IFS(AND(EW34&gt;0,EW34+CV34&lt;=$FK$3),EW34,AND(EW34&gt;0,EW34+CV34&gt;$FK$3),0),0)
)</f>
        <v>0</v>
      </c>
      <c r="GZ34" s="152" cm="1">
        <f t="array" ref="GZ34">IF($C34="Production",
IFERROR(_xlfn.IFS(AND(EX34&gt;0,EX34+SUM(CV34:CW34)&lt;=$FM$3),EX34,AND(EX34&gt;0,EX34+SUM(CV34:CW34)&gt;$FM$3),$FM$3-SUM(CV34:CW34)),0),
IFERROR(_xlfn.IFS(AND(EX34&gt;0,EX34+CW34&lt;=$FK$3),EX34,AND(EX34&gt;0,EX34+CW34&gt;$FK$3),0),0)
)</f>
        <v>0</v>
      </c>
      <c r="HA34" s="152" cm="1">
        <f t="array" ref="HA34">IF($C34="Production",
IFERROR(_xlfn.IFS(AND(EY34&gt;0,EY34+SUM(CW34:CX34)&lt;=$FM$3),EY34,AND(EY34&gt;0,EY34+SUM(CW34:CX34)&gt;$FM$3),$FM$3-SUM(CW34:CX34)),0),
IFERROR(_xlfn.IFS(AND(EY34&gt;0,EY34+CX34&lt;=$FK$3),EY34,AND(EY34&gt;0,EY34+CX34&gt;$FK$3),0),0)
)</f>
        <v>0</v>
      </c>
      <c r="HB34" s="152" cm="1">
        <f t="array" ref="HB34">IF($C34="Production",
IFERROR(_xlfn.IFS(AND(EZ34&gt;0,EZ34+SUM(CX34:CY34)&lt;=$FM$3),EZ34,AND(EZ34&gt;0,EZ34+SUM(CX34:CY34)&gt;$FM$3),$FM$3-SUM(CX34:CY34)),0),
IFERROR(_xlfn.IFS(AND(EZ34&gt;0,EZ34+CY34&lt;=$FK$3),EZ34,AND(EZ34&gt;0,EZ34+CY34&gt;$FK$3),0),0)
)</f>
        <v>0</v>
      </c>
      <c r="HC34" s="152" cm="1">
        <f t="array" ref="HC34">IF($C34="Production",
IFERROR(_xlfn.IFS(AND(FA34&gt;0,FA34+SUM(CY34:CZ34)&lt;=$FM$3),FA34,AND(FA34&gt;0,FA34+SUM(CY34:CZ34)&gt;$FM$3),$FM$3-SUM(CY34:CZ34)),0),
IFERROR(_xlfn.IFS(AND(FA34&gt;0,FA34+CZ34&lt;=$FK$3),FA34,AND(FA34&gt;0,FA34+CZ34&gt;$FK$3),0),0)
)</f>
        <v>0</v>
      </c>
      <c r="HD34" s="152" cm="1">
        <f t="array" ref="HD34">IF($C34="Production",
IFERROR(_xlfn.IFS(AND(FB34&gt;0,FB34+SUM(CZ34:DA34)&lt;=$FM$3),FB34,AND(FB34&gt;0,FB34+SUM(CZ34:DA34)&gt;$FM$3),$FM$3-SUM(CZ34:DA34)),0),
IFERROR(_xlfn.IFS(AND(FB34&gt;0,FB34+DA34&lt;=$FK$3),FB34,AND(FB34&gt;0,FB34+DA34&gt;$FK$3),0),0)
)</f>
        <v>0</v>
      </c>
      <c r="HE34" s="152" cm="1">
        <f t="array" ref="HE34">IF($C34="Production",
IFERROR(_xlfn.IFS(AND(FC34&gt;0,FC34+SUM(DA34:DB34)&lt;=$FM$3),FC34,AND(FC34&gt;0,FC34+SUM(DA34:DB34)&gt;$FM$3),$FM$3-SUM(DA34:DB34)),0),
IFERROR(_xlfn.IFS(AND(FC34&gt;0,FC34+DB34&lt;=$FK$3),FC34,AND(FC34&gt;0,FC34+DB34&gt;$FK$3),0),0)
)</f>
        <v>0</v>
      </c>
      <c r="HF34" s="152" cm="1">
        <f t="array" ref="HF34">IF($C34="Production",
IFERROR(_xlfn.IFS(AND(FD34&gt;0,FD34+SUM(DB34:DC34)&lt;=$FM$3),FD34,AND(FD34&gt;0,FD34+SUM(DB34:DC34)&gt;$FM$3),$FM$3-SUM(DB34:DC34)),0),
IFERROR(_xlfn.IFS(AND(FD34&gt;0,FD34+DC34&lt;=$FK$3),FD34,AND(FD34&gt;0,FD34+DC34&gt;$FK$3),0),0)
)</f>
        <v>0</v>
      </c>
      <c r="HG34" s="152" cm="1">
        <f t="array" ref="HG34">IF($C34="Production",
IFERROR(_xlfn.IFS(AND(FE34&gt;0,FE34+SUM(DC34:DD34)&lt;=$FM$3),FE34,AND(FE34&gt;0,FE34+SUM(DC34:DD34)&gt;$FM$3),$FM$3-SUM(DC34:DD34)),0),
IFERROR(_xlfn.IFS(AND(FE34&gt;0,FE34+DD34&lt;=$FK$3),FE34,AND(FE34&gt;0,FE34+DD34&gt;$FK$3),0),0)
)</f>
        <v>0</v>
      </c>
      <c r="HH34" s="152" cm="1">
        <f t="array" ref="HH34">IF($C34="Production",
IFERROR(_xlfn.IFS(AND(FF34&gt;0,FF34+SUM(DD34:DE34)&lt;=$FM$3),FF34,AND(FF34&gt;0,FF34+SUM(DD34:DE34)&gt;$FM$3),$FM$3-SUM(DD34:DE34)),0),
IFERROR(_xlfn.IFS(AND(FF34&gt;0,FF34+DE34&lt;=$FK$3),FF34,AND(FF34&gt;0,FF34+DE34&gt;$FK$3),0),0)
)</f>
        <v>0</v>
      </c>
      <c r="HI34" s="156" cm="1">
        <f t="array" ref="HI34">IF($C34="Production",
IFERROR(_xlfn.IFS(AND(FG34&gt;0,FG34+SUM(DE34:DF34)&lt;=$FM$3),FG34,AND(FG34&gt;0,FG34+SUM(DE34:DF34)&gt;$FM$3),$FM$3-SUM(DE34:DF34)),0),
IFERROR(_xlfn.IFS(AND(FG34&gt;0,FG34+DF34&lt;=$FK$3),FG34,AND(FG34&gt;0,FG34+DF34&gt;$FK$3),0),0)
)</f>
        <v>0</v>
      </c>
      <c r="HJ34" s="113">
        <f t="shared" si="110"/>
        <v>3.75</v>
      </c>
      <c r="HK34" s="80"/>
      <c r="HL34" s="112">
        <f t="shared" si="56"/>
        <v>0</v>
      </c>
      <c r="HM34" s="138">
        <f t="shared" si="57"/>
        <v>0</v>
      </c>
      <c r="HN34" s="138">
        <f t="shared" si="58"/>
        <v>0</v>
      </c>
      <c r="HO34" s="138">
        <f t="shared" si="59"/>
        <v>0</v>
      </c>
      <c r="HP34" s="138">
        <f t="shared" si="60"/>
        <v>0</v>
      </c>
      <c r="HQ34" s="138">
        <f t="shared" si="61"/>
        <v>0</v>
      </c>
      <c r="HR34" s="138">
        <f t="shared" si="62"/>
        <v>0</v>
      </c>
      <c r="HS34" s="138">
        <f t="shared" si="63"/>
        <v>0</v>
      </c>
      <c r="HT34" s="138">
        <f t="shared" si="64"/>
        <v>0</v>
      </c>
      <c r="HU34" s="138">
        <f t="shared" si="65"/>
        <v>0</v>
      </c>
      <c r="HV34" s="138">
        <f t="shared" si="66"/>
        <v>0</v>
      </c>
      <c r="HW34" s="138">
        <f t="shared" si="67"/>
        <v>0</v>
      </c>
      <c r="HX34" s="138">
        <f t="shared" si="68"/>
        <v>0</v>
      </c>
      <c r="HY34" s="138">
        <f t="shared" si="69"/>
        <v>0</v>
      </c>
      <c r="HZ34" s="138">
        <f t="shared" si="70"/>
        <v>0</v>
      </c>
      <c r="IA34" s="138">
        <f t="shared" si="71"/>
        <v>0</v>
      </c>
      <c r="IB34" s="138">
        <f t="shared" si="72"/>
        <v>0</v>
      </c>
      <c r="IC34" s="138">
        <f t="shared" si="73"/>
        <v>0</v>
      </c>
      <c r="ID34" s="138">
        <f t="shared" si="74"/>
        <v>0</v>
      </c>
      <c r="IE34" s="138">
        <f t="shared" si="75"/>
        <v>0</v>
      </c>
      <c r="IF34" s="138">
        <f t="shared" si="76"/>
        <v>0</v>
      </c>
      <c r="IG34" s="138">
        <f t="shared" si="77"/>
        <v>0</v>
      </c>
      <c r="IH34" s="138">
        <f t="shared" si="78"/>
        <v>0</v>
      </c>
      <c r="II34" s="138">
        <f t="shared" si="79"/>
        <v>0</v>
      </c>
      <c r="IJ34" s="138">
        <f t="shared" si="80"/>
        <v>0</v>
      </c>
      <c r="IK34" s="138">
        <f t="shared" si="81"/>
        <v>0</v>
      </c>
      <c r="IL34" s="138">
        <f t="shared" si="82"/>
        <v>0</v>
      </c>
      <c r="IM34" s="138">
        <f t="shared" si="83"/>
        <v>0</v>
      </c>
      <c r="IN34" s="138">
        <f t="shared" si="84"/>
        <v>0</v>
      </c>
      <c r="IO34" s="138">
        <f t="shared" si="85"/>
        <v>0</v>
      </c>
      <c r="IP34" s="138">
        <f t="shared" si="86"/>
        <v>0</v>
      </c>
      <c r="IQ34" s="138">
        <f t="shared" si="87"/>
        <v>0</v>
      </c>
      <c r="IR34" s="138">
        <f t="shared" si="88"/>
        <v>0</v>
      </c>
      <c r="IS34" s="138">
        <f t="shared" si="89"/>
        <v>0</v>
      </c>
      <c r="IT34" s="138">
        <f t="shared" si="90"/>
        <v>0</v>
      </c>
      <c r="IU34" s="138">
        <f t="shared" si="91"/>
        <v>0</v>
      </c>
      <c r="IV34" s="138">
        <f t="shared" si="92"/>
        <v>0</v>
      </c>
      <c r="IW34" s="138">
        <f t="shared" si="93"/>
        <v>0</v>
      </c>
      <c r="IX34" s="138">
        <f t="shared" si="94"/>
        <v>0</v>
      </c>
      <c r="IY34" s="138">
        <f t="shared" si="95"/>
        <v>0</v>
      </c>
      <c r="IZ34" s="138">
        <f t="shared" si="96"/>
        <v>0</v>
      </c>
      <c r="JA34" s="138">
        <f t="shared" si="97"/>
        <v>0</v>
      </c>
      <c r="JB34" s="138">
        <f t="shared" si="98"/>
        <v>0</v>
      </c>
      <c r="JC34" s="138">
        <f t="shared" si="99"/>
        <v>0</v>
      </c>
      <c r="JD34" s="138">
        <f t="shared" si="100"/>
        <v>0</v>
      </c>
      <c r="JE34" s="138">
        <f t="shared" si="101"/>
        <v>0</v>
      </c>
      <c r="JF34" s="138">
        <f t="shared" si="102"/>
        <v>0</v>
      </c>
      <c r="JG34" s="138">
        <f t="shared" si="103"/>
        <v>0</v>
      </c>
      <c r="JH34" s="138">
        <f t="shared" si="104"/>
        <v>0</v>
      </c>
      <c r="JI34" s="138">
        <f t="shared" si="105"/>
        <v>0</v>
      </c>
      <c r="JJ34" s="138">
        <f t="shared" si="106"/>
        <v>0</v>
      </c>
      <c r="JK34" s="138">
        <f t="shared" si="107"/>
        <v>0</v>
      </c>
      <c r="JL34" s="118">
        <f t="shared" si="111"/>
        <v>0</v>
      </c>
      <c r="JO34" s="90">
        <f t="shared" si="112"/>
        <v>3.75</v>
      </c>
      <c r="JP34" s="79">
        <f t="shared" si="108"/>
        <v>0</v>
      </c>
      <c r="JQ34" s="91">
        <f t="shared" si="2"/>
        <v>4.6875</v>
      </c>
      <c r="JS34" s="123">
        <f t="shared" si="109"/>
        <v>0</v>
      </c>
      <c r="JU34" s="123">
        <f t="shared" si="113"/>
        <v>4.6875</v>
      </c>
    </row>
    <row r="35" spans="2:281" x14ac:dyDescent="0.15">
      <c r="B35" s="82" t="str">
        <f>'MODU 2025'!B38</f>
        <v>RECCHIA Laetitia</v>
      </c>
      <c r="C35" s="82" t="str">
        <f>'MODU 2025'!C38</f>
        <v>Production CE</v>
      </c>
      <c r="D35" s="82">
        <f>'MODU 2025'!D38</f>
        <v>39</v>
      </c>
      <c r="E35" s="82"/>
      <c r="F35" s="133">
        <f>'MODU 2025'!G38</f>
        <v>39</v>
      </c>
      <c r="G35" s="140">
        <f>'MODU 2025'!H38</f>
        <v>39</v>
      </c>
      <c r="H35" s="140">
        <f>'MODU 2025'!I38</f>
        <v>39</v>
      </c>
      <c r="I35" s="140">
        <f>'MODU 2025'!J38</f>
        <v>39</v>
      </c>
      <c r="J35" s="140">
        <f>'MODU 2025'!K38</f>
        <v>39</v>
      </c>
      <c r="K35" s="140">
        <f>'MODU 2025'!L38</f>
        <v>39</v>
      </c>
      <c r="L35" s="140">
        <f>'MODU 2025'!M38</f>
        <v>39</v>
      </c>
      <c r="M35" s="140">
        <f>'MODU 2025'!N38</f>
        <v>39</v>
      </c>
      <c r="N35" s="140">
        <f>'MODU 2025'!O38</f>
        <v>39</v>
      </c>
      <c r="O35" s="140">
        <f>'MODU 2025'!P38</f>
        <v>39</v>
      </c>
      <c r="P35" s="140">
        <f>'MODU 2025'!Q38</f>
        <v>39</v>
      </c>
      <c r="Q35" s="140">
        <f>'MODU 2025'!R38</f>
        <v>39</v>
      </c>
      <c r="R35" s="140">
        <f>'MODU 2025'!S38</f>
        <v>39</v>
      </c>
      <c r="S35" s="140">
        <f>'MODU 2025'!T38</f>
        <v>39</v>
      </c>
      <c r="T35" s="140">
        <f>'MODU 2025'!U38</f>
        <v>39</v>
      </c>
      <c r="U35" s="140">
        <f>'MODU 2025'!V38</f>
        <v>39</v>
      </c>
      <c r="V35" s="140">
        <f>'MODU 2025'!W38</f>
        <v>39</v>
      </c>
      <c r="W35" s="140">
        <f>'MODU 2025'!X38</f>
        <v>39</v>
      </c>
      <c r="X35" s="140">
        <f>'MODU 2025'!Y38</f>
        <v>39</v>
      </c>
      <c r="Y35" s="140">
        <f>'MODU 2025'!Z38</f>
        <v>39</v>
      </c>
      <c r="Z35" s="140">
        <f>'MODU 2025'!AA38</f>
        <v>39</v>
      </c>
      <c r="AA35" s="140">
        <f>'MODU 2025'!AB38</f>
        <v>39</v>
      </c>
      <c r="AB35" s="140">
        <f>'MODU 2025'!AC38</f>
        <v>39</v>
      </c>
      <c r="AC35" s="140">
        <f>'MODU 2025'!AD38</f>
        <v>39</v>
      </c>
      <c r="AD35" s="140">
        <f>'MODU 2025'!AE38</f>
        <v>39</v>
      </c>
      <c r="AE35" s="140">
        <f>'MODU 2025'!AF38</f>
        <v>39</v>
      </c>
      <c r="AF35" s="140">
        <f>'MODU 2025'!AG38</f>
        <v>39</v>
      </c>
      <c r="AG35" s="140">
        <f>'MODU 2025'!AH38</f>
        <v>39</v>
      </c>
      <c r="AH35" s="140">
        <f>'MODU 2025'!AI38</f>
        <v>39</v>
      </c>
      <c r="AI35" s="140">
        <f>'MODU 2025'!AJ38</f>
        <v>39</v>
      </c>
      <c r="AJ35" s="140">
        <f>'MODU 2025'!AK38</f>
        <v>39</v>
      </c>
      <c r="AK35" s="140">
        <f>'MODU 2025'!AL38</f>
        <v>39</v>
      </c>
      <c r="AL35" s="140">
        <f>'MODU 2025'!AM38</f>
        <v>39</v>
      </c>
      <c r="AM35" s="140">
        <f>'MODU 2025'!AN38</f>
        <v>39</v>
      </c>
      <c r="AN35" s="140">
        <f>'MODU 2025'!AO38</f>
        <v>39</v>
      </c>
      <c r="AO35" s="140">
        <f>'MODU 2025'!AP38</f>
        <v>39</v>
      </c>
      <c r="AP35" s="140">
        <f>'MODU 2025'!AQ38</f>
        <v>39</v>
      </c>
      <c r="AQ35" s="140">
        <f>'MODU 2025'!AR38</f>
        <v>39</v>
      </c>
      <c r="AR35" s="140">
        <f>'MODU 2025'!AS38</f>
        <v>39</v>
      </c>
      <c r="AS35" s="140">
        <f>'MODU 2025'!AT38</f>
        <v>39</v>
      </c>
      <c r="AT35" s="140">
        <f>'MODU 2025'!AU38</f>
        <v>39</v>
      </c>
      <c r="AU35" s="140">
        <f>'MODU 2025'!AV38</f>
        <v>39</v>
      </c>
      <c r="AV35" s="140">
        <f>'MODU 2025'!AW38</f>
        <v>39</v>
      </c>
      <c r="AW35" s="140">
        <f>'MODU 2025'!AX38</f>
        <v>39</v>
      </c>
      <c r="AX35" s="140">
        <f>'MODU 2025'!AY38</f>
        <v>39</v>
      </c>
      <c r="AY35" s="140">
        <f>'MODU 2025'!AZ38</f>
        <v>39</v>
      </c>
      <c r="AZ35" s="140">
        <f>'MODU 2025'!BA38</f>
        <v>39</v>
      </c>
      <c r="BA35" s="140">
        <f>'MODU 2025'!BB38</f>
        <v>39</v>
      </c>
      <c r="BB35" s="140">
        <f>'MODU 2025'!BC38</f>
        <v>39</v>
      </c>
      <c r="BC35" s="140">
        <f>'MODU 2025'!BD38</f>
        <v>39</v>
      </c>
      <c r="BD35" s="140">
        <f>'MODU 2025'!BE38</f>
        <v>39</v>
      </c>
      <c r="BE35" s="134">
        <f>'MODU 2025'!BF38</f>
        <v>39</v>
      </c>
      <c r="BF35" s="82"/>
      <c r="BG35" s="107">
        <v>39</v>
      </c>
      <c r="BH35" s="145">
        <v>39</v>
      </c>
      <c r="BI35" s="145">
        <v>39</v>
      </c>
      <c r="BJ35" s="145">
        <v>39</v>
      </c>
      <c r="BK35" s="145">
        <v>39</v>
      </c>
      <c r="BL35" s="145">
        <v>39</v>
      </c>
      <c r="BM35" s="145">
        <v>39</v>
      </c>
      <c r="BN35" s="145">
        <v>39</v>
      </c>
      <c r="BO35" s="145">
        <v>39</v>
      </c>
      <c r="BP35" s="145">
        <v>39</v>
      </c>
      <c r="BQ35" s="145">
        <v>39</v>
      </c>
      <c r="BR35" s="145">
        <v>39</v>
      </c>
      <c r="BS35" s="145">
        <v>39</v>
      </c>
      <c r="BT35" s="145">
        <v>39</v>
      </c>
      <c r="BU35" s="145">
        <v>39</v>
      </c>
      <c r="BV35" s="145">
        <v>39</v>
      </c>
      <c r="BW35" s="145">
        <v>39</v>
      </c>
      <c r="BX35" s="145">
        <v>39</v>
      </c>
      <c r="BY35" s="145">
        <v>39</v>
      </c>
      <c r="BZ35" s="145">
        <v>39</v>
      </c>
      <c r="CA35" s="145">
        <v>39</v>
      </c>
      <c r="CB35" s="145">
        <v>39</v>
      </c>
      <c r="CC35" s="145">
        <v>39</v>
      </c>
      <c r="CD35" s="145">
        <v>39</v>
      </c>
      <c r="CE35" s="145">
        <v>39</v>
      </c>
      <c r="CF35" s="145">
        <v>39</v>
      </c>
      <c r="CG35" s="145">
        <v>39</v>
      </c>
      <c r="CH35" s="145">
        <v>39</v>
      </c>
      <c r="CI35" s="145">
        <v>39</v>
      </c>
      <c r="CJ35" s="145">
        <v>39</v>
      </c>
      <c r="CK35" s="145">
        <v>39</v>
      </c>
      <c r="CL35" s="145">
        <v>39</v>
      </c>
      <c r="CM35" s="145">
        <v>39</v>
      </c>
      <c r="CN35" s="145">
        <v>39</v>
      </c>
      <c r="CO35" s="145">
        <v>39</v>
      </c>
      <c r="CP35" s="145">
        <v>39</v>
      </c>
      <c r="CQ35" s="145">
        <v>39</v>
      </c>
      <c r="CR35" s="145">
        <v>39</v>
      </c>
      <c r="CS35" s="145">
        <v>39</v>
      </c>
      <c r="CT35" s="145">
        <v>39</v>
      </c>
      <c r="CU35" s="145">
        <v>39</v>
      </c>
      <c r="CV35" s="145">
        <v>39</v>
      </c>
      <c r="CW35" s="145">
        <v>39</v>
      </c>
      <c r="CX35" s="145">
        <v>39</v>
      </c>
      <c r="CY35" s="145">
        <v>39</v>
      </c>
      <c r="CZ35" s="145">
        <v>39</v>
      </c>
      <c r="DA35" s="145">
        <v>39</v>
      </c>
      <c r="DB35" s="145">
        <v>39</v>
      </c>
      <c r="DC35" s="145">
        <v>39</v>
      </c>
      <c r="DD35" s="145">
        <v>39</v>
      </c>
      <c r="DE35" s="145">
        <v>39</v>
      </c>
      <c r="DF35" s="108">
        <v>39</v>
      </c>
      <c r="DG35" s="84"/>
      <c r="DH35" s="112">
        <f t="shared" si="3"/>
        <v>0</v>
      </c>
      <c r="DI35" s="138">
        <f t="shared" si="4"/>
        <v>0</v>
      </c>
      <c r="DJ35" s="138">
        <f t="shared" si="5"/>
        <v>0</v>
      </c>
      <c r="DK35" s="138">
        <f t="shared" si="6"/>
        <v>0</v>
      </c>
      <c r="DL35" s="138">
        <f t="shared" si="7"/>
        <v>0</v>
      </c>
      <c r="DM35" s="138">
        <f t="shared" si="8"/>
        <v>0</v>
      </c>
      <c r="DN35" s="138">
        <f t="shared" si="9"/>
        <v>0</v>
      </c>
      <c r="DO35" s="138">
        <f t="shared" si="10"/>
        <v>0</v>
      </c>
      <c r="DP35" s="138">
        <f t="shared" si="11"/>
        <v>0</v>
      </c>
      <c r="DQ35" s="138">
        <f t="shared" si="12"/>
        <v>0</v>
      </c>
      <c r="DR35" s="138">
        <f t="shared" si="13"/>
        <v>0</v>
      </c>
      <c r="DS35" s="138">
        <f t="shared" si="14"/>
        <v>0</v>
      </c>
      <c r="DT35" s="138">
        <f t="shared" si="15"/>
        <v>0</v>
      </c>
      <c r="DU35" s="138">
        <f t="shared" si="16"/>
        <v>0</v>
      </c>
      <c r="DV35" s="138">
        <f t="shared" si="17"/>
        <v>0</v>
      </c>
      <c r="DW35" s="138">
        <f t="shared" si="18"/>
        <v>0</v>
      </c>
      <c r="DX35" s="138">
        <f t="shared" si="19"/>
        <v>0</v>
      </c>
      <c r="DY35" s="138">
        <f t="shared" si="20"/>
        <v>0</v>
      </c>
      <c r="DZ35" s="138">
        <f t="shared" si="21"/>
        <v>0</v>
      </c>
      <c r="EA35" s="138">
        <f t="shared" si="22"/>
        <v>0</v>
      </c>
      <c r="EB35" s="138">
        <f t="shared" si="23"/>
        <v>0</v>
      </c>
      <c r="EC35" s="138">
        <f t="shared" si="24"/>
        <v>0</v>
      </c>
      <c r="ED35" s="138">
        <f t="shared" si="25"/>
        <v>0</v>
      </c>
      <c r="EE35" s="138">
        <f t="shared" si="26"/>
        <v>0</v>
      </c>
      <c r="EF35" s="138">
        <f t="shared" si="27"/>
        <v>0</v>
      </c>
      <c r="EG35" s="138">
        <f t="shared" si="28"/>
        <v>0</v>
      </c>
      <c r="EH35" s="138">
        <f t="shared" si="29"/>
        <v>0</v>
      </c>
      <c r="EI35" s="138">
        <f t="shared" si="30"/>
        <v>0</v>
      </c>
      <c r="EJ35" s="138">
        <f t="shared" si="31"/>
        <v>0</v>
      </c>
      <c r="EK35" s="138">
        <f t="shared" si="32"/>
        <v>0</v>
      </c>
      <c r="EL35" s="138">
        <f t="shared" si="33"/>
        <v>0</v>
      </c>
      <c r="EM35" s="138">
        <f t="shared" si="34"/>
        <v>0</v>
      </c>
      <c r="EN35" s="138">
        <f t="shared" si="35"/>
        <v>0</v>
      </c>
      <c r="EO35" s="138">
        <f t="shared" si="36"/>
        <v>0</v>
      </c>
      <c r="EP35" s="138">
        <f t="shared" si="37"/>
        <v>0</v>
      </c>
      <c r="EQ35" s="138">
        <f t="shared" si="38"/>
        <v>0</v>
      </c>
      <c r="ER35" s="138">
        <f t="shared" si="39"/>
        <v>0</v>
      </c>
      <c r="ES35" s="138">
        <f t="shared" si="40"/>
        <v>0</v>
      </c>
      <c r="ET35" s="138">
        <f t="shared" si="41"/>
        <v>0</v>
      </c>
      <c r="EU35" s="138">
        <f t="shared" si="42"/>
        <v>0</v>
      </c>
      <c r="EV35" s="138">
        <f t="shared" si="43"/>
        <v>0</v>
      </c>
      <c r="EW35" s="138">
        <f t="shared" si="44"/>
        <v>0</v>
      </c>
      <c r="EX35" s="138">
        <f t="shared" si="45"/>
        <v>0</v>
      </c>
      <c r="EY35" s="138">
        <f t="shared" si="46"/>
        <v>0</v>
      </c>
      <c r="EZ35" s="138">
        <f t="shared" si="47"/>
        <v>0</v>
      </c>
      <c r="FA35" s="138">
        <f t="shared" si="48"/>
        <v>0</v>
      </c>
      <c r="FB35" s="138">
        <f t="shared" si="49"/>
        <v>0</v>
      </c>
      <c r="FC35" s="138">
        <f t="shared" si="50"/>
        <v>0</v>
      </c>
      <c r="FD35" s="138">
        <f t="shared" si="51"/>
        <v>0</v>
      </c>
      <c r="FE35" s="138">
        <f t="shared" si="52"/>
        <v>0</v>
      </c>
      <c r="FF35" s="138">
        <f t="shared" si="53"/>
        <v>0</v>
      </c>
      <c r="FG35" s="113">
        <f t="shared" si="54"/>
        <v>0</v>
      </c>
      <c r="FH35" s="113">
        <f t="shared" si="55"/>
        <v>0</v>
      </c>
      <c r="FI35" s="35"/>
      <c r="FJ35" s="151" cm="1">
        <f t="array" ref="FJ35">IF($C35="Production",
IFERROR(_xlfn.IFS(AND(DH35&gt;0,DH35+SUM(BF35:BG35)&lt;=$FM$3),DH35,AND(DH35&gt;0,DH35+SUM(BF35:BG35)&gt;$FM$3),$FM$3-SUM(BF35:BG35)),0),
IFERROR(_xlfn.IFS(AND(DH35&gt;0,DH35+BG35&lt;=$FK$3),DH35,AND(DH35&gt;0,DH35+BG35&gt;$FK$3),0),0)
)</f>
        <v>0</v>
      </c>
      <c r="FK35" s="152" cm="1">
        <f t="array" ref="FK35">IF($C35="Production",
IFERROR(_xlfn.IFS(AND(DI35&gt;0,DI35+SUM(BG35:BH35)&lt;=$FM$3),DI35,AND(DI35&gt;0,DI35+SUM(BG35:BH35)&gt;$FM$3),$FM$3-SUM(BG35:BH35)),0),
IFERROR(_xlfn.IFS(AND(DI35&gt;0,DI35+BH35&lt;=$FK$3),DI35,AND(DI35&gt;0,DI35+BH35&gt;$FK$3),0),0)
)</f>
        <v>0</v>
      </c>
      <c r="FL35" s="152" cm="1">
        <f t="array" ref="FL35">IF($C35="Production",
IFERROR(_xlfn.IFS(AND(DJ35&gt;0,DJ35+SUM(BH35:BI35)&lt;=$FM$3),DJ35,AND(DJ35&gt;0,DJ35+SUM(BH35:BI35)&gt;$FM$3),$FM$3-SUM(BH35:BI35)),0),
IFERROR(_xlfn.IFS(AND(DJ35&gt;0,DJ35+BI35&lt;=$FK$3),DJ35,AND(DJ35&gt;0,DJ35+BI35&gt;$FK$3),0),0)
)</f>
        <v>0</v>
      </c>
      <c r="FM35" s="152" cm="1">
        <f t="array" ref="FM35">IF($C35="Production",
IFERROR(_xlfn.IFS(AND(DK35&gt;0,DK35+SUM(BI35:BJ35)&lt;=$FM$3),DK35,AND(DK35&gt;0,DK35+SUM(BI35:BJ35)&gt;$FM$3),$FM$3-SUM(BI35:BJ35)),0),
IFERROR(_xlfn.IFS(AND(DK35&gt;0,DK35+BJ35&lt;=$FK$3),DK35,AND(DK35&gt;0,DK35+BJ35&gt;$FK$3),0),0)
)</f>
        <v>0</v>
      </c>
      <c r="FN35" s="152" cm="1">
        <f t="array" ref="FN35">IF($C35="Production",
IFERROR(_xlfn.IFS(AND(DL35&gt;0,DL35+SUM(BJ35:BK35)&lt;=$FM$3),DL35,AND(DL35&gt;0,DL35+SUM(BJ35:BK35)&gt;$FM$3),$FM$3-SUM(BJ35:BK35)),0),
IFERROR(_xlfn.IFS(AND(DL35&gt;0,DL35+BK35&lt;=$FK$3),DL35,AND(DL35&gt;0,DL35+BK35&gt;$FK$3),0),0)
)</f>
        <v>0</v>
      </c>
      <c r="FO35" s="152" cm="1">
        <f t="array" ref="FO35">IF($C35="Production",
IFERROR(_xlfn.IFS(AND(DM35&gt;0,DM35+SUM(BK35:BL35)&lt;=$FM$3),DM35,AND(DM35&gt;0,DM35+SUM(BK35:BL35)&gt;$FM$3),$FM$3-SUM(BK35:BL35)),0),
IFERROR(_xlfn.IFS(AND(DM35&gt;0,DM35+BL35&lt;=$FK$3),DM35,AND(DM35&gt;0,DM35+BL35&gt;$FK$3),0),0)
)</f>
        <v>0</v>
      </c>
      <c r="FP35" s="152" cm="1">
        <f t="array" ref="FP35">IF($C35="Production",
IFERROR(_xlfn.IFS(AND(DN35&gt;0,DN35+SUM(BL35:BM35)&lt;=$FM$3),DN35,AND(DN35&gt;0,DN35+SUM(BL35:BM35)&gt;$FM$3),$FM$3-SUM(BL35:BM35)),0),
IFERROR(_xlfn.IFS(AND(DN35&gt;0,DN35+BM35&lt;=$FK$3),DN35,AND(DN35&gt;0,DN35+BM35&gt;$FK$3),0),0)
)</f>
        <v>0</v>
      </c>
      <c r="FQ35" s="152" cm="1">
        <f t="array" ref="FQ35">IF($C35="Production",
IFERROR(_xlfn.IFS(AND(DO35&gt;0,DO35+SUM(BM35:BN35)&lt;=$FM$3),DO35,AND(DO35&gt;0,DO35+SUM(BM35:BN35)&gt;$FM$3),$FM$3-SUM(BM35:BN35)),0),
IFERROR(_xlfn.IFS(AND(DO35&gt;0,DO35+BN35&lt;=$FK$3),DO35,AND(DO35&gt;0,DO35+BN35&gt;$FK$3),0),0)
)</f>
        <v>0</v>
      </c>
      <c r="FR35" s="152" cm="1">
        <f t="array" ref="FR35">IF($C35="Production",
IFERROR(_xlfn.IFS(AND(DP35&gt;0,DP35+SUM(BN35:BO35)&lt;=$FM$3),DP35,AND(DP35&gt;0,DP35+SUM(BN35:BO35)&gt;$FM$3),$FM$3-SUM(BN35:BO35)),0),
IFERROR(_xlfn.IFS(AND(DP35&gt;0,DP35+BO35&lt;=$FK$3),DP35,AND(DP35&gt;0,DP35+BO35&gt;$FK$3),0),0)
)</f>
        <v>0</v>
      </c>
      <c r="FS35" s="152" cm="1">
        <f t="array" ref="FS35">IF($C35="Production",
IFERROR(_xlfn.IFS(AND(DQ35&gt;0,DQ35+SUM(BO35:BP35)&lt;=$FM$3),DQ35,AND(DQ35&gt;0,DQ35+SUM(BO35:BP35)&gt;$FM$3),$FM$3-SUM(BO35:BP35)),0),
IFERROR(_xlfn.IFS(AND(DQ35&gt;0,DQ35+BP35&lt;=$FK$3),DQ35,AND(DQ35&gt;0,DQ35+BP35&gt;$FK$3),0),0)
)</f>
        <v>0</v>
      </c>
      <c r="FT35" s="152" cm="1">
        <f t="array" ref="FT35">IF($C35="Production",
IFERROR(_xlfn.IFS(AND(DR35&gt;0,DR35+SUM(BP35:BQ35)&lt;=$FM$3),DR35,AND(DR35&gt;0,DR35+SUM(BP35:BQ35)&gt;$FM$3),$FM$3-SUM(BP35:BQ35)),0),
IFERROR(_xlfn.IFS(AND(DR35&gt;0,DR35+BQ35&lt;=$FK$3),DR35,AND(DR35&gt;0,DR35+BQ35&gt;$FK$3),0),0)
)</f>
        <v>0</v>
      </c>
      <c r="FU35" s="152" cm="1">
        <f t="array" ref="FU35">IF($C35="Production",
IFERROR(_xlfn.IFS(AND(DS35&gt;0,DS35+SUM(BQ35:BR35)&lt;=$FM$3),DS35,AND(DS35&gt;0,DS35+SUM(BQ35:BR35)&gt;$FM$3),$FM$3-SUM(BQ35:BR35)),0),
IFERROR(_xlfn.IFS(AND(DS35&gt;0,DS35+BR35&lt;=$FK$3),DS35,AND(DS35&gt;0,DS35+BR35&gt;$FK$3),0),0)
)</f>
        <v>0</v>
      </c>
      <c r="FV35" s="152" cm="1">
        <f t="array" ref="FV35">IF($C35="Production",
IFERROR(_xlfn.IFS(AND(DT35&gt;0,DT35+SUM(BR35:BS35)&lt;=$FM$3),DT35,AND(DT35&gt;0,DT35+SUM(BR35:BS35)&gt;$FM$3),$FM$3-SUM(BR35:BS35)),0),
IFERROR(_xlfn.IFS(AND(DT35&gt;0,DT35+BS35&lt;=$FK$3),DT35,AND(DT35&gt;0,DT35+BS35&gt;$FK$3),0),0)
)</f>
        <v>0</v>
      </c>
      <c r="FW35" s="152" cm="1">
        <f t="array" ref="FW35">IF($C35="Production",
IFERROR(_xlfn.IFS(AND(DU35&gt;0,DU35+SUM(BS35:BT35)&lt;=$FM$3),DU35,AND(DU35&gt;0,DU35+SUM(BS35:BT35)&gt;$FM$3),$FM$3-SUM(BS35:BT35)),0),
IFERROR(_xlfn.IFS(AND(DU35&gt;0,DU35+BT35&lt;=$FK$3),DU35,AND(DU35&gt;0,DU35+BT35&gt;$FK$3),0),0)
)</f>
        <v>0</v>
      </c>
      <c r="FX35" s="152" cm="1">
        <f t="array" ref="FX35">IF($C35="Production",
IFERROR(_xlfn.IFS(AND(DV35&gt;0,DV35+SUM(BT35:BU35)&lt;=$FM$3),DV35,AND(DV35&gt;0,DV35+SUM(BT35:BU35)&gt;$FM$3),$FM$3-SUM(BT35:BU35)),0),
IFERROR(_xlfn.IFS(AND(DV35&gt;0,DV35+BU35&lt;=$FK$3),DV35,AND(DV35&gt;0,DV35+BU35&gt;$FK$3),0),0)
)</f>
        <v>0</v>
      </c>
      <c r="FY35" s="152" cm="1">
        <f t="array" ref="FY35">IF($C35="Production",
IFERROR(_xlfn.IFS(AND(DW35&gt;0,DW35+SUM(BU35:BV35)&lt;=$FM$3),DW35,AND(DW35&gt;0,DW35+SUM(BU35:BV35)&gt;$FM$3),$FM$3-SUM(BU35:BV35)),0),
IFERROR(_xlfn.IFS(AND(DW35&gt;0,DW35+BV35&lt;=$FK$3),DW35,AND(DW35&gt;0,DW35+BV35&gt;$FK$3),0),0)
)</f>
        <v>0</v>
      </c>
      <c r="FZ35" s="152" cm="1">
        <f t="array" ref="FZ35">IF($C35="Production",
IFERROR(_xlfn.IFS(AND(DX35&gt;0,DX35+SUM(BV35:BW35)&lt;=$FM$3),DX35,AND(DX35&gt;0,DX35+SUM(BV35:BW35)&gt;$FM$3),$FM$3-SUM(BV35:BW35)),0),
IFERROR(_xlfn.IFS(AND(DX35&gt;0,DX35+BW35&lt;=$FK$3),DX35,AND(DX35&gt;0,DX35+BW35&gt;$FK$3),0),0)
)</f>
        <v>0</v>
      </c>
      <c r="GA35" s="152" cm="1">
        <f t="array" ref="GA35">IF($C35="Production",
IFERROR(_xlfn.IFS(AND(DY35&gt;0,DY35+SUM(BW35:BX35)&lt;=$FM$3),DY35,AND(DY35&gt;0,DY35+SUM(BW35:BX35)&gt;$FM$3),$FM$3-SUM(BW35:BX35)),0),
IFERROR(_xlfn.IFS(AND(DY35&gt;0,DY35+BX35&lt;=$FK$3),DY35,AND(DY35&gt;0,DY35+BX35&gt;$FK$3),0),0)
)</f>
        <v>0</v>
      </c>
      <c r="GB35" s="152" cm="1">
        <f t="array" ref="GB35">IF($C35="Production",
IFERROR(_xlfn.IFS(AND(DZ35&gt;0,DZ35+SUM(BX35:BY35)&lt;=$FM$3),DZ35,AND(DZ35&gt;0,DZ35+SUM(BX35:BY35)&gt;$FM$3),$FM$3-SUM(BX35:BY35)),0),
IFERROR(_xlfn.IFS(AND(DZ35&gt;0,DZ35+BY35&lt;=$FK$3),DZ35,AND(DZ35&gt;0,DZ35+BY35&gt;$FK$3),0),0)
)</f>
        <v>0</v>
      </c>
      <c r="GC35" s="152" cm="1">
        <f t="array" ref="GC35">IF($C35="Production",
IFERROR(_xlfn.IFS(AND(EA35&gt;0,EA35+SUM(BY35:BZ35)&lt;=$FM$3),EA35,AND(EA35&gt;0,EA35+SUM(BY35:BZ35)&gt;$FM$3),$FM$3-SUM(BY35:BZ35)),0),
IFERROR(_xlfn.IFS(AND(EA35&gt;0,EA35+BZ35&lt;=$FK$3),EA35,AND(EA35&gt;0,EA35+BZ35&gt;$FK$3),0),0)
)</f>
        <v>0</v>
      </c>
      <c r="GD35" s="152" cm="1">
        <f t="array" ref="GD35">IF($C35="Production",
IFERROR(_xlfn.IFS(AND(EB35&gt;0,EB35+SUM(BZ35:CA35)&lt;=$FM$3),EB35,AND(EB35&gt;0,EB35+SUM(BZ35:CA35)&gt;$FM$3),$FM$3-SUM(BZ35:CA35)),0),
IFERROR(_xlfn.IFS(AND(EB35&gt;0,EB35+CA35&lt;=$FK$3),EB35,AND(EB35&gt;0,EB35+CA35&gt;$FK$3),0),0)
)</f>
        <v>0</v>
      </c>
      <c r="GE35" s="152" cm="1">
        <f t="array" ref="GE35">IF($C35="Production",
IFERROR(_xlfn.IFS(AND(EC35&gt;0,EC35+SUM(CA35:CB35)&lt;=$FM$3),EC35,AND(EC35&gt;0,EC35+SUM(CA35:CB35)&gt;$FM$3),$FM$3-SUM(CA35:CB35)),0),
IFERROR(_xlfn.IFS(AND(EC35&gt;0,EC35+CB35&lt;=$FK$3),EC35,AND(EC35&gt;0,EC35+CB35&gt;$FK$3),0),0)
)</f>
        <v>0</v>
      </c>
      <c r="GF35" s="152" cm="1">
        <f t="array" ref="GF35">IF($C35="Production",
IFERROR(_xlfn.IFS(AND(ED35&gt;0,ED35+SUM(CB35:CC35)&lt;=$FM$3),ED35,AND(ED35&gt;0,ED35+SUM(CB35:CC35)&gt;$FM$3),$FM$3-SUM(CB35:CC35)),0),
IFERROR(_xlfn.IFS(AND(ED35&gt;0,ED35+CC35&lt;=$FK$3),ED35,AND(ED35&gt;0,ED35+CC35&gt;$FK$3),0),0)
)</f>
        <v>0</v>
      </c>
      <c r="GG35" s="152" cm="1">
        <f t="array" ref="GG35">IF($C35="Production",
IFERROR(_xlfn.IFS(AND(EE35&gt;0,EE35+SUM(CC35:CD35)&lt;=$FM$3),EE35,AND(EE35&gt;0,EE35+SUM(CC35:CD35)&gt;$FM$3),$FM$3-SUM(CC35:CD35)),0),
IFERROR(_xlfn.IFS(AND(EE35&gt;0,EE35+CD35&lt;=$FK$3),EE35,AND(EE35&gt;0,EE35+CD35&gt;$FK$3),0),0)
)</f>
        <v>0</v>
      </c>
      <c r="GH35" s="152" cm="1">
        <f t="array" ref="GH35">IF($C35="Production",
IFERROR(_xlfn.IFS(AND(EF35&gt;0,EF35+SUM(CD35:CE35)&lt;=$FM$3),EF35,AND(EF35&gt;0,EF35+SUM(CD35:CE35)&gt;$FM$3),$FM$3-SUM(CD35:CE35)),0),
IFERROR(_xlfn.IFS(AND(EF35&gt;0,EF35+CE35&lt;=$FK$3),EF35,AND(EF35&gt;0,EF35+CE35&gt;$FK$3),0),0)
)</f>
        <v>0</v>
      </c>
      <c r="GI35" s="152" cm="1">
        <f t="array" ref="GI35">IF($C35="Production",
IFERROR(_xlfn.IFS(AND(EG35&gt;0,EG35+SUM(CE35:CF35)&lt;=$FM$3),EG35,AND(EG35&gt;0,EG35+SUM(CE35:CF35)&gt;$FM$3),$FM$3-SUM(CE35:CF35)),0),
IFERROR(_xlfn.IFS(AND(EG35&gt;0,EG35+CF35&lt;=$FK$3),EG35,AND(EG35&gt;0,EG35+CF35&gt;$FK$3),0),0)
)</f>
        <v>0</v>
      </c>
      <c r="GJ35" s="152" cm="1">
        <f t="array" ref="GJ35">IF($C35="Production",
IFERROR(_xlfn.IFS(AND(EH35&gt;0,EH35+SUM(CF35:CG35)&lt;=$FM$3),EH35,AND(EH35&gt;0,EH35+SUM(CF35:CG35)&gt;$FM$3),$FM$3-SUM(CF35:CG35)),0),
IFERROR(_xlfn.IFS(AND(EH35&gt;0,EH35+CG35&lt;=$FK$3),EH35,AND(EH35&gt;0,EH35+CG35&gt;$FK$3),0),0)
)</f>
        <v>0</v>
      </c>
      <c r="GK35" s="152" cm="1">
        <f t="array" ref="GK35">IF($C35="Production",
IFERROR(_xlfn.IFS(AND(EI35&gt;0,EI35+SUM(CG35:CH35)&lt;=$FM$3),EI35,AND(EI35&gt;0,EI35+SUM(CG35:CH35)&gt;$FM$3),$FM$3-SUM(CG35:CH35)),0),
IFERROR(_xlfn.IFS(AND(EI35&gt;0,EI35+CH35&lt;=$FK$3),EI35,AND(EI35&gt;0,EI35+CH35&gt;$FK$3),0),0)
)</f>
        <v>0</v>
      </c>
      <c r="GL35" s="152" cm="1">
        <f t="array" ref="GL35">IF($C35="Production",
IFERROR(_xlfn.IFS(AND(EJ35&gt;0,EJ35+SUM(CH35:CI35)&lt;=$FM$3),EJ35,AND(EJ35&gt;0,EJ35+SUM(CH35:CI35)&gt;$FM$3),$FM$3-SUM(CH35:CI35)),0),
IFERROR(_xlfn.IFS(AND(EJ35&gt;0,EJ35+CI35&lt;=$FK$3),EJ35,AND(EJ35&gt;0,EJ35+CI35&gt;$FK$3),0),0)
)</f>
        <v>0</v>
      </c>
      <c r="GM35" s="152" cm="1">
        <f t="array" ref="GM35">IF($C35="Production",
IFERROR(_xlfn.IFS(AND(EK35&gt;0,EK35+SUM(CI35:CJ35)&lt;=$FM$3),EK35,AND(EK35&gt;0,EK35+SUM(CI35:CJ35)&gt;$FM$3),$FM$3-SUM(CI35:CJ35)),0),
IFERROR(_xlfn.IFS(AND(EK35&gt;0,EK35+CJ35&lt;=$FK$3),EK35,AND(EK35&gt;0,EK35+CJ35&gt;$FK$3),0),0)
)</f>
        <v>0</v>
      </c>
      <c r="GN35" s="152" cm="1">
        <f t="array" ref="GN35">IF($C35="Production",
IFERROR(_xlfn.IFS(AND(EL35&gt;0,EL35+SUM(CJ35:CK35)&lt;=$FM$3),EL35,AND(EL35&gt;0,EL35+SUM(CJ35:CK35)&gt;$FM$3),$FM$3-SUM(CJ35:CK35)),0),
IFERROR(_xlfn.IFS(AND(EL35&gt;0,EL35+CK35&lt;=$FK$3),EL35,AND(EL35&gt;0,EL35+CK35&gt;$FK$3),0),0)
)</f>
        <v>0</v>
      </c>
      <c r="GO35" s="152" cm="1">
        <f t="array" ref="GO35">IF($C35="Production",
IFERROR(_xlfn.IFS(AND(EM35&gt;0,EM35+SUM(CK35:CL35)&lt;=$FM$3),EM35,AND(EM35&gt;0,EM35+SUM(CK35:CL35)&gt;$FM$3),$FM$3-SUM(CK35:CL35)),0),
IFERROR(_xlfn.IFS(AND(EM35&gt;0,EM35+CL35&lt;=$FK$3),EM35,AND(EM35&gt;0,EM35+CL35&gt;$FK$3),0),0)
)</f>
        <v>0</v>
      </c>
      <c r="GP35" s="152" cm="1">
        <f t="array" ref="GP35">IF($C35="Production",
IFERROR(_xlfn.IFS(AND(EN35&gt;0,EN35+SUM(CL35:CM35)&lt;=$FM$3),EN35,AND(EN35&gt;0,EN35+SUM(CL35:CM35)&gt;$FM$3),$FM$3-SUM(CL35:CM35)),0),
IFERROR(_xlfn.IFS(AND(EN35&gt;0,EN35+CM35&lt;=$FK$3),EN35,AND(EN35&gt;0,EN35+CM35&gt;$FK$3),0),0)
)</f>
        <v>0</v>
      </c>
      <c r="GQ35" s="152" cm="1">
        <f t="array" ref="GQ35">IF($C35="Production",
IFERROR(_xlfn.IFS(AND(EO35&gt;0,EO35+SUM(CM35:CN35)&lt;=$FM$3),EO35,AND(EO35&gt;0,EO35+SUM(CM35:CN35)&gt;$FM$3),$FM$3-SUM(CM35:CN35)),0),
IFERROR(_xlfn.IFS(AND(EO35&gt;0,EO35+CN35&lt;=$FK$3),EO35,AND(EO35&gt;0,EO35+CN35&gt;$FK$3),0),0)
)</f>
        <v>0</v>
      </c>
      <c r="GR35" s="152" cm="1">
        <f t="array" ref="GR35">IF($C35="Production",
IFERROR(_xlfn.IFS(AND(EP35&gt;0,EP35+SUM(CN35:CO35)&lt;=$FM$3),EP35,AND(EP35&gt;0,EP35+SUM(CN35:CO35)&gt;$FM$3),$FM$3-SUM(CN35:CO35)),0),
IFERROR(_xlfn.IFS(AND(EP35&gt;0,EP35+CO35&lt;=$FK$3),EP35,AND(EP35&gt;0,EP35+CO35&gt;$FK$3),0),0)
)</f>
        <v>0</v>
      </c>
      <c r="GS35" s="152" cm="1">
        <f t="array" ref="GS35">IF($C35="Production",
IFERROR(_xlfn.IFS(AND(EQ35&gt;0,EQ35+SUM(CO35:CP35)&lt;=$FM$3),EQ35,AND(EQ35&gt;0,EQ35+SUM(CO35:CP35)&gt;$FM$3),$FM$3-SUM(CO35:CP35)),0),
IFERROR(_xlfn.IFS(AND(EQ35&gt;0,EQ35+CP35&lt;=$FK$3),EQ35,AND(EQ35&gt;0,EQ35+CP35&gt;$FK$3),0),0)
)</f>
        <v>0</v>
      </c>
      <c r="GT35" s="152" cm="1">
        <f t="array" ref="GT35">IF($C35="Production",
IFERROR(_xlfn.IFS(AND(ER35&gt;0,ER35+SUM(CP35:CQ35)&lt;=$FM$3),ER35,AND(ER35&gt;0,ER35+SUM(CP35:CQ35)&gt;$FM$3),$FM$3-SUM(CP35:CQ35)),0),
IFERROR(_xlfn.IFS(AND(ER35&gt;0,ER35+CQ35&lt;=$FK$3),ER35,AND(ER35&gt;0,ER35+CQ35&gt;$FK$3),0),0)
)</f>
        <v>0</v>
      </c>
      <c r="GU35" s="152" cm="1">
        <f t="array" ref="GU35">IF($C35="Production",
IFERROR(_xlfn.IFS(AND(ES35&gt;0,ES35+SUM(CQ35:CR35)&lt;=$FM$3),ES35,AND(ES35&gt;0,ES35+SUM(CQ35:CR35)&gt;$FM$3),$FM$3-SUM(CQ35:CR35)),0),
IFERROR(_xlfn.IFS(AND(ES35&gt;0,ES35+CR35&lt;=$FK$3),ES35,AND(ES35&gt;0,ES35+CR35&gt;$FK$3),0),0)
)</f>
        <v>0</v>
      </c>
      <c r="GV35" s="152" cm="1">
        <f t="array" ref="GV35">IF($C35="Production",
IFERROR(_xlfn.IFS(AND(ET35&gt;0,ET35+SUM(CR35:CS35)&lt;=$FM$3),ET35,AND(ET35&gt;0,ET35+SUM(CR35:CS35)&gt;$FM$3),$FM$3-SUM(CR35:CS35)),0),
IFERROR(_xlfn.IFS(AND(ET35&gt;0,ET35+CS35&lt;=$FK$3),ET35,AND(ET35&gt;0,ET35+CS35&gt;$FK$3),0),0)
)</f>
        <v>0</v>
      </c>
      <c r="GW35" s="152" cm="1">
        <f t="array" ref="GW35">IF($C35="Production",
IFERROR(_xlfn.IFS(AND(EU35&gt;0,EU35+SUM(CS35:CT35)&lt;=$FM$3),EU35,AND(EU35&gt;0,EU35+SUM(CS35:CT35)&gt;$FM$3),$FM$3-SUM(CS35:CT35)),0),
IFERROR(_xlfn.IFS(AND(EU35&gt;0,EU35+CT35&lt;=$FK$3),EU35,AND(EU35&gt;0,EU35+CT35&gt;$FK$3),0),0)
)</f>
        <v>0</v>
      </c>
      <c r="GX35" s="152" cm="1">
        <f t="array" ref="GX35">IF($C35="Production",
IFERROR(_xlfn.IFS(AND(EV35&gt;0,EV35+SUM(CT35:CU35)&lt;=$FM$3),EV35,AND(EV35&gt;0,EV35+SUM(CT35:CU35)&gt;$FM$3),$FM$3-SUM(CT35:CU35)),0),
IFERROR(_xlfn.IFS(AND(EV35&gt;0,EV35+CU35&lt;=$FK$3),EV35,AND(EV35&gt;0,EV35+CU35&gt;$FK$3),0),0)
)</f>
        <v>0</v>
      </c>
      <c r="GY35" s="152" cm="1">
        <f t="array" ref="GY35">IF($C35="Production",
IFERROR(_xlfn.IFS(AND(EW35&gt;0,EW35+SUM(CU35:CV35)&lt;=$FM$3),EW35,AND(EW35&gt;0,EW35+SUM(CU35:CV35)&gt;$FM$3),$FM$3-SUM(CU35:CV35)),0),
IFERROR(_xlfn.IFS(AND(EW35&gt;0,EW35+CV35&lt;=$FK$3),EW35,AND(EW35&gt;0,EW35+CV35&gt;$FK$3),0),0)
)</f>
        <v>0</v>
      </c>
      <c r="GZ35" s="152" cm="1">
        <f t="array" ref="GZ35">IF($C35="Production",
IFERROR(_xlfn.IFS(AND(EX35&gt;0,EX35+SUM(CV35:CW35)&lt;=$FM$3),EX35,AND(EX35&gt;0,EX35+SUM(CV35:CW35)&gt;$FM$3),$FM$3-SUM(CV35:CW35)),0),
IFERROR(_xlfn.IFS(AND(EX35&gt;0,EX35+CW35&lt;=$FK$3),EX35,AND(EX35&gt;0,EX35+CW35&gt;$FK$3),0),0)
)</f>
        <v>0</v>
      </c>
      <c r="HA35" s="152" cm="1">
        <f t="array" ref="HA35">IF($C35="Production",
IFERROR(_xlfn.IFS(AND(EY35&gt;0,EY35+SUM(CW35:CX35)&lt;=$FM$3),EY35,AND(EY35&gt;0,EY35+SUM(CW35:CX35)&gt;$FM$3),$FM$3-SUM(CW35:CX35)),0),
IFERROR(_xlfn.IFS(AND(EY35&gt;0,EY35+CX35&lt;=$FK$3),EY35,AND(EY35&gt;0,EY35+CX35&gt;$FK$3),0),0)
)</f>
        <v>0</v>
      </c>
      <c r="HB35" s="152" cm="1">
        <f t="array" ref="HB35">IF($C35="Production",
IFERROR(_xlfn.IFS(AND(EZ35&gt;0,EZ35+SUM(CX35:CY35)&lt;=$FM$3),EZ35,AND(EZ35&gt;0,EZ35+SUM(CX35:CY35)&gt;$FM$3),$FM$3-SUM(CX35:CY35)),0),
IFERROR(_xlfn.IFS(AND(EZ35&gt;0,EZ35+CY35&lt;=$FK$3),EZ35,AND(EZ35&gt;0,EZ35+CY35&gt;$FK$3),0),0)
)</f>
        <v>0</v>
      </c>
      <c r="HC35" s="152" cm="1">
        <f t="array" ref="HC35">IF($C35="Production",
IFERROR(_xlfn.IFS(AND(FA35&gt;0,FA35+SUM(CY35:CZ35)&lt;=$FM$3),FA35,AND(FA35&gt;0,FA35+SUM(CY35:CZ35)&gt;$FM$3),$FM$3-SUM(CY35:CZ35)),0),
IFERROR(_xlfn.IFS(AND(FA35&gt;0,FA35+CZ35&lt;=$FK$3),FA35,AND(FA35&gt;0,FA35+CZ35&gt;$FK$3),0),0)
)</f>
        <v>0</v>
      </c>
      <c r="HD35" s="152" cm="1">
        <f t="array" ref="HD35">IF($C35="Production",
IFERROR(_xlfn.IFS(AND(FB35&gt;0,FB35+SUM(CZ35:DA35)&lt;=$FM$3),FB35,AND(FB35&gt;0,FB35+SUM(CZ35:DA35)&gt;$FM$3),$FM$3-SUM(CZ35:DA35)),0),
IFERROR(_xlfn.IFS(AND(FB35&gt;0,FB35+DA35&lt;=$FK$3),FB35,AND(FB35&gt;0,FB35+DA35&gt;$FK$3),0),0)
)</f>
        <v>0</v>
      </c>
      <c r="HE35" s="152" cm="1">
        <f t="array" ref="HE35">IF($C35="Production",
IFERROR(_xlfn.IFS(AND(FC35&gt;0,FC35+SUM(DA35:DB35)&lt;=$FM$3),FC35,AND(FC35&gt;0,FC35+SUM(DA35:DB35)&gt;$FM$3),$FM$3-SUM(DA35:DB35)),0),
IFERROR(_xlfn.IFS(AND(FC35&gt;0,FC35+DB35&lt;=$FK$3),FC35,AND(FC35&gt;0,FC35+DB35&gt;$FK$3),0),0)
)</f>
        <v>0</v>
      </c>
      <c r="HF35" s="152" cm="1">
        <f t="array" ref="HF35">IF($C35="Production",
IFERROR(_xlfn.IFS(AND(FD35&gt;0,FD35+SUM(DB35:DC35)&lt;=$FM$3),FD35,AND(FD35&gt;0,FD35+SUM(DB35:DC35)&gt;$FM$3),$FM$3-SUM(DB35:DC35)),0),
IFERROR(_xlfn.IFS(AND(FD35&gt;0,FD35+DC35&lt;=$FK$3),FD35,AND(FD35&gt;0,FD35+DC35&gt;$FK$3),0),0)
)</f>
        <v>0</v>
      </c>
      <c r="HG35" s="152" cm="1">
        <f t="array" ref="HG35">IF($C35="Production",
IFERROR(_xlfn.IFS(AND(FE35&gt;0,FE35+SUM(DC35:DD35)&lt;=$FM$3),FE35,AND(FE35&gt;0,FE35+SUM(DC35:DD35)&gt;$FM$3),$FM$3-SUM(DC35:DD35)),0),
IFERROR(_xlfn.IFS(AND(FE35&gt;0,FE35+DD35&lt;=$FK$3),FE35,AND(FE35&gt;0,FE35+DD35&gt;$FK$3),0),0)
)</f>
        <v>0</v>
      </c>
      <c r="HH35" s="152" cm="1">
        <f t="array" ref="HH35">IF($C35="Production",
IFERROR(_xlfn.IFS(AND(FF35&gt;0,FF35+SUM(DD35:DE35)&lt;=$FM$3),FF35,AND(FF35&gt;0,FF35+SUM(DD35:DE35)&gt;$FM$3),$FM$3-SUM(DD35:DE35)),0),
IFERROR(_xlfn.IFS(AND(FF35&gt;0,FF35+DE35&lt;=$FK$3),FF35,AND(FF35&gt;0,FF35+DE35&gt;$FK$3),0),0)
)</f>
        <v>0</v>
      </c>
      <c r="HI35" s="156" cm="1">
        <f t="array" ref="HI35">IF($C35="Production",
IFERROR(_xlfn.IFS(AND(FG35&gt;0,FG35+SUM(DE35:DF35)&lt;=$FM$3),FG35,AND(FG35&gt;0,FG35+SUM(DE35:DF35)&gt;$FM$3),$FM$3-SUM(DE35:DF35)),0),
IFERROR(_xlfn.IFS(AND(FG35&gt;0,FG35+DF35&lt;=$FK$3),FG35,AND(FG35&gt;0,FG35+DF35&gt;$FK$3),0),0)
)</f>
        <v>0</v>
      </c>
      <c r="HJ35" s="113">
        <f t="shared" si="110"/>
        <v>0</v>
      </c>
      <c r="HK35" s="80"/>
      <c r="HL35" s="112">
        <f t="shared" si="56"/>
        <v>0</v>
      </c>
      <c r="HM35" s="138">
        <f t="shared" si="57"/>
        <v>0</v>
      </c>
      <c r="HN35" s="138">
        <f t="shared" si="58"/>
        <v>0</v>
      </c>
      <c r="HO35" s="138">
        <f t="shared" si="59"/>
        <v>0</v>
      </c>
      <c r="HP35" s="138">
        <f t="shared" si="60"/>
        <v>0</v>
      </c>
      <c r="HQ35" s="138">
        <f t="shared" si="61"/>
        <v>0</v>
      </c>
      <c r="HR35" s="138">
        <f t="shared" si="62"/>
        <v>0</v>
      </c>
      <c r="HS35" s="138">
        <f t="shared" si="63"/>
        <v>0</v>
      </c>
      <c r="HT35" s="138">
        <f t="shared" si="64"/>
        <v>0</v>
      </c>
      <c r="HU35" s="138">
        <f t="shared" si="65"/>
        <v>0</v>
      </c>
      <c r="HV35" s="138">
        <f t="shared" si="66"/>
        <v>0</v>
      </c>
      <c r="HW35" s="138">
        <f t="shared" si="67"/>
        <v>0</v>
      </c>
      <c r="HX35" s="138">
        <f t="shared" si="68"/>
        <v>0</v>
      </c>
      <c r="HY35" s="138">
        <f t="shared" si="69"/>
        <v>0</v>
      </c>
      <c r="HZ35" s="138">
        <f t="shared" si="70"/>
        <v>0</v>
      </c>
      <c r="IA35" s="138">
        <f t="shared" si="71"/>
        <v>0</v>
      </c>
      <c r="IB35" s="138">
        <f t="shared" si="72"/>
        <v>0</v>
      </c>
      <c r="IC35" s="138">
        <f t="shared" si="73"/>
        <v>0</v>
      </c>
      <c r="ID35" s="138">
        <f t="shared" si="74"/>
        <v>0</v>
      </c>
      <c r="IE35" s="138">
        <f t="shared" si="75"/>
        <v>0</v>
      </c>
      <c r="IF35" s="138">
        <f t="shared" si="76"/>
        <v>0</v>
      </c>
      <c r="IG35" s="138">
        <f t="shared" si="77"/>
        <v>0</v>
      </c>
      <c r="IH35" s="138">
        <f t="shared" si="78"/>
        <v>0</v>
      </c>
      <c r="II35" s="138">
        <f t="shared" si="79"/>
        <v>0</v>
      </c>
      <c r="IJ35" s="138">
        <f t="shared" si="80"/>
        <v>0</v>
      </c>
      <c r="IK35" s="138">
        <f t="shared" si="81"/>
        <v>0</v>
      </c>
      <c r="IL35" s="138">
        <f t="shared" si="82"/>
        <v>0</v>
      </c>
      <c r="IM35" s="138">
        <f t="shared" si="83"/>
        <v>0</v>
      </c>
      <c r="IN35" s="138">
        <f t="shared" si="84"/>
        <v>0</v>
      </c>
      <c r="IO35" s="138">
        <f t="shared" si="85"/>
        <v>0</v>
      </c>
      <c r="IP35" s="138">
        <f t="shared" si="86"/>
        <v>0</v>
      </c>
      <c r="IQ35" s="138">
        <f t="shared" si="87"/>
        <v>0</v>
      </c>
      <c r="IR35" s="138">
        <f t="shared" si="88"/>
        <v>0</v>
      </c>
      <c r="IS35" s="138">
        <f t="shared" si="89"/>
        <v>0</v>
      </c>
      <c r="IT35" s="138">
        <f t="shared" si="90"/>
        <v>0</v>
      </c>
      <c r="IU35" s="138">
        <f t="shared" si="91"/>
        <v>0</v>
      </c>
      <c r="IV35" s="138">
        <f t="shared" si="92"/>
        <v>0</v>
      </c>
      <c r="IW35" s="138">
        <f t="shared" si="93"/>
        <v>0</v>
      </c>
      <c r="IX35" s="138">
        <f t="shared" si="94"/>
        <v>0</v>
      </c>
      <c r="IY35" s="138">
        <f t="shared" si="95"/>
        <v>0</v>
      </c>
      <c r="IZ35" s="138">
        <f t="shared" si="96"/>
        <v>0</v>
      </c>
      <c r="JA35" s="138">
        <f t="shared" si="97"/>
        <v>0</v>
      </c>
      <c r="JB35" s="138">
        <f t="shared" si="98"/>
        <v>0</v>
      </c>
      <c r="JC35" s="138">
        <f t="shared" si="99"/>
        <v>0</v>
      </c>
      <c r="JD35" s="138">
        <f t="shared" si="100"/>
        <v>0</v>
      </c>
      <c r="JE35" s="138">
        <f t="shared" si="101"/>
        <v>0</v>
      </c>
      <c r="JF35" s="138">
        <f t="shared" si="102"/>
        <v>0</v>
      </c>
      <c r="JG35" s="138">
        <f t="shared" si="103"/>
        <v>0</v>
      </c>
      <c r="JH35" s="138">
        <f t="shared" si="104"/>
        <v>0</v>
      </c>
      <c r="JI35" s="138">
        <f t="shared" si="105"/>
        <v>0</v>
      </c>
      <c r="JJ35" s="138">
        <f t="shared" si="106"/>
        <v>0</v>
      </c>
      <c r="JK35" s="138">
        <f t="shared" si="107"/>
        <v>0</v>
      </c>
      <c r="JL35" s="118">
        <f t="shared" si="111"/>
        <v>0</v>
      </c>
      <c r="JO35" s="90">
        <f t="shared" si="112"/>
        <v>0</v>
      </c>
      <c r="JP35" s="79">
        <f t="shared" si="108"/>
        <v>0</v>
      </c>
      <c r="JQ35" s="91">
        <f t="shared" si="2"/>
        <v>0</v>
      </c>
      <c r="JS35" s="123">
        <f t="shared" si="109"/>
        <v>0</v>
      </c>
      <c r="JU35" s="123">
        <f t="shared" si="113"/>
        <v>0</v>
      </c>
    </row>
    <row r="36" spans="2:281" x14ac:dyDescent="0.15">
      <c r="B36" s="82" t="str">
        <f>'MODU 2025'!B39</f>
        <v>REMY Ancélia</v>
      </c>
      <c r="C36" s="82" t="str">
        <f>'MODU 2025'!C39</f>
        <v>Production</v>
      </c>
      <c r="D36" s="82">
        <f>'MODU 2025'!D39</f>
        <v>37</v>
      </c>
      <c r="E36" s="82"/>
      <c r="F36" s="133">
        <f>'MODU 2025'!G39</f>
        <v>33</v>
      </c>
      <c r="G36" s="140">
        <f>'MODU 2025'!H39</f>
        <v>41</v>
      </c>
      <c r="H36" s="140">
        <f>'MODU 2025'!I39</f>
        <v>33</v>
      </c>
      <c r="I36" s="140">
        <f>'MODU 2025'!J39</f>
        <v>37.25</v>
      </c>
      <c r="J36" s="140">
        <f>'MODU 2025'!K39</f>
        <v>33</v>
      </c>
      <c r="K36" s="140">
        <f>'MODU 2025'!L39</f>
        <v>41</v>
      </c>
      <c r="L36" s="140">
        <f>'MODU 2025'!M39</f>
        <v>33</v>
      </c>
      <c r="M36" s="140">
        <f>'MODU 2025'!N39</f>
        <v>40.75</v>
      </c>
      <c r="N36" s="140">
        <f>'MODU 2025'!O39</f>
        <v>33</v>
      </c>
      <c r="O36" s="140">
        <f>'MODU 2025'!P39</f>
        <v>41</v>
      </c>
      <c r="P36" s="140">
        <f>'MODU 2025'!Q39</f>
        <v>33</v>
      </c>
      <c r="Q36" s="140">
        <f>'MODU 2025'!R39</f>
        <v>41</v>
      </c>
      <c r="R36" s="140">
        <f>'MODU 2025'!S39</f>
        <v>33</v>
      </c>
      <c r="S36" s="140">
        <f>'MODU 2025'!T39</f>
        <v>41</v>
      </c>
      <c r="T36" s="140">
        <f>'MODU 2025'!U39</f>
        <v>33</v>
      </c>
      <c r="U36" s="140">
        <f>'MODU 2025'!V39</f>
        <v>41</v>
      </c>
      <c r="V36" s="140">
        <f>'MODU 2025'!W39</f>
        <v>33</v>
      </c>
      <c r="W36" s="140">
        <f>'MODU 2025'!X39</f>
        <v>41</v>
      </c>
      <c r="X36" s="140">
        <f>'MODU 2025'!Y39</f>
        <v>33</v>
      </c>
      <c r="Y36" s="140">
        <f>'MODU 2025'!Z39</f>
        <v>41</v>
      </c>
      <c r="Z36" s="140">
        <f>'MODU 2025'!AA39</f>
        <v>33</v>
      </c>
      <c r="AA36" s="140">
        <f>'MODU 2025'!AB39</f>
        <v>41</v>
      </c>
      <c r="AB36" s="140">
        <f>'MODU 2025'!AC39</f>
        <v>33</v>
      </c>
      <c r="AC36" s="140">
        <f>'MODU 2025'!AD39</f>
        <v>41</v>
      </c>
      <c r="AD36" s="140">
        <f>'MODU 2025'!AE39</f>
        <v>33</v>
      </c>
      <c r="AE36" s="140">
        <f>'MODU 2025'!AF39</f>
        <v>41</v>
      </c>
      <c r="AF36" s="140">
        <f>'MODU 2025'!AG39</f>
        <v>33</v>
      </c>
      <c r="AG36" s="140">
        <f>'MODU 2025'!AH39</f>
        <v>41</v>
      </c>
      <c r="AH36" s="140">
        <f>'MODU 2025'!AI39</f>
        <v>33</v>
      </c>
      <c r="AI36" s="140">
        <f>'MODU 2025'!AJ39</f>
        <v>41</v>
      </c>
      <c r="AJ36" s="140">
        <f>'MODU 2025'!AK39</f>
        <v>33</v>
      </c>
      <c r="AK36" s="140">
        <f>'MODU 2025'!AL39</f>
        <v>41</v>
      </c>
      <c r="AL36" s="140">
        <f>'MODU 2025'!AM39</f>
        <v>33</v>
      </c>
      <c r="AM36" s="140">
        <f>'MODU 2025'!AN39</f>
        <v>41</v>
      </c>
      <c r="AN36" s="140">
        <f>'MODU 2025'!AO39</f>
        <v>33</v>
      </c>
      <c r="AO36" s="140">
        <f>'MODU 2025'!AP39</f>
        <v>41</v>
      </c>
      <c r="AP36" s="140">
        <f>'MODU 2025'!AQ39</f>
        <v>33</v>
      </c>
      <c r="AQ36" s="140">
        <f>'MODU 2025'!AR39</f>
        <v>41</v>
      </c>
      <c r="AR36" s="140">
        <f>'MODU 2025'!AS39</f>
        <v>33</v>
      </c>
      <c r="AS36" s="140">
        <f>'MODU 2025'!AT39</f>
        <v>41</v>
      </c>
      <c r="AT36" s="140">
        <f>'MODU 2025'!AU39</f>
        <v>33</v>
      </c>
      <c r="AU36" s="140">
        <f>'MODU 2025'!AV39</f>
        <v>41</v>
      </c>
      <c r="AV36" s="140">
        <f>'MODU 2025'!AW39</f>
        <v>33</v>
      </c>
      <c r="AW36" s="140">
        <f>'MODU 2025'!AX39</f>
        <v>41</v>
      </c>
      <c r="AX36" s="140">
        <f>'MODU 2025'!AY39</f>
        <v>33</v>
      </c>
      <c r="AY36" s="140">
        <f>'MODU 2025'!AZ39</f>
        <v>41</v>
      </c>
      <c r="AZ36" s="140">
        <f>'MODU 2025'!BA39</f>
        <v>33</v>
      </c>
      <c r="BA36" s="140">
        <f>'MODU 2025'!BB39</f>
        <v>41</v>
      </c>
      <c r="BB36" s="140">
        <f>'MODU 2025'!BC39</f>
        <v>33</v>
      </c>
      <c r="BC36" s="140">
        <f>'MODU 2025'!BD39</f>
        <v>41</v>
      </c>
      <c r="BD36" s="140">
        <f>'MODU 2025'!BE39</f>
        <v>33</v>
      </c>
      <c r="BE36" s="134">
        <f>'MODU 2025'!BF39</f>
        <v>41</v>
      </c>
      <c r="BF36" s="82"/>
      <c r="BG36" s="107">
        <v>33</v>
      </c>
      <c r="BH36" s="145">
        <v>41</v>
      </c>
      <c r="BI36" s="145">
        <v>33</v>
      </c>
      <c r="BJ36" s="145">
        <v>41</v>
      </c>
      <c r="BK36" s="145">
        <v>33</v>
      </c>
      <c r="BL36" s="145">
        <v>41</v>
      </c>
      <c r="BM36" s="145">
        <v>33</v>
      </c>
      <c r="BN36" s="145">
        <v>41</v>
      </c>
      <c r="BO36" s="145">
        <v>33</v>
      </c>
      <c r="BP36" s="145">
        <v>41</v>
      </c>
      <c r="BQ36" s="145">
        <v>33</v>
      </c>
      <c r="BR36" s="145">
        <v>41</v>
      </c>
      <c r="BS36" s="145">
        <v>33</v>
      </c>
      <c r="BT36" s="145">
        <v>41</v>
      </c>
      <c r="BU36" s="145">
        <v>33</v>
      </c>
      <c r="BV36" s="145">
        <v>41</v>
      </c>
      <c r="BW36" s="145">
        <v>33</v>
      </c>
      <c r="BX36" s="145">
        <v>41</v>
      </c>
      <c r="BY36" s="145">
        <v>33</v>
      </c>
      <c r="BZ36" s="145">
        <v>41</v>
      </c>
      <c r="CA36" s="145">
        <v>33</v>
      </c>
      <c r="CB36" s="145">
        <v>41</v>
      </c>
      <c r="CC36" s="145">
        <v>33</v>
      </c>
      <c r="CD36" s="145">
        <v>41</v>
      </c>
      <c r="CE36" s="145">
        <v>33</v>
      </c>
      <c r="CF36" s="145">
        <v>41</v>
      </c>
      <c r="CG36" s="145">
        <v>33</v>
      </c>
      <c r="CH36" s="145">
        <v>41</v>
      </c>
      <c r="CI36" s="145">
        <v>33</v>
      </c>
      <c r="CJ36" s="145">
        <v>41</v>
      </c>
      <c r="CK36" s="145">
        <v>33</v>
      </c>
      <c r="CL36" s="145">
        <v>41</v>
      </c>
      <c r="CM36" s="145">
        <v>33</v>
      </c>
      <c r="CN36" s="145">
        <v>41</v>
      </c>
      <c r="CO36" s="145">
        <v>33</v>
      </c>
      <c r="CP36" s="145">
        <v>41</v>
      </c>
      <c r="CQ36" s="145">
        <v>33</v>
      </c>
      <c r="CR36" s="145">
        <v>41</v>
      </c>
      <c r="CS36" s="145">
        <v>33</v>
      </c>
      <c r="CT36" s="145">
        <v>41</v>
      </c>
      <c r="CU36" s="145">
        <v>33</v>
      </c>
      <c r="CV36" s="145">
        <v>41</v>
      </c>
      <c r="CW36" s="145">
        <v>33</v>
      </c>
      <c r="CX36" s="145">
        <v>41</v>
      </c>
      <c r="CY36" s="145">
        <v>33</v>
      </c>
      <c r="CZ36" s="145">
        <v>41</v>
      </c>
      <c r="DA36" s="145">
        <v>33</v>
      </c>
      <c r="DB36" s="145">
        <v>41</v>
      </c>
      <c r="DC36" s="145">
        <v>33</v>
      </c>
      <c r="DD36" s="145">
        <v>41</v>
      </c>
      <c r="DE36" s="145">
        <v>33</v>
      </c>
      <c r="DF36" s="108">
        <v>41</v>
      </c>
      <c r="DG36" s="84"/>
      <c r="DH36" s="112">
        <f t="shared" si="3"/>
        <v>0</v>
      </c>
      <c r="DI36" s="138">
        <f t="shared" si="4"/>
        <v>0</v>
      </c>
      <c r="DJ36" s="138">
        <f t="shared" si="5"/>
        <v>0</v>
      </c>
      <c r="DK36" s="138">
        <f t="shared" si="6"/>
        <v>-3.75</v>
      </c>
      <c r="DL36" s="138">
        <f t="shared" si="7"/>
        <v>0</v>
      </c>
      <c r="DM36" s="138">
        <f t="shared" si="8"/>
        <v>0</v>
      </c>
      <c r="DN36" s="138">
        <f t="shared" si="9"/>
        <v>0</v>
      </c>
      <c r="DO36" s="138">
        <f t="shared" si="10"/>
        <v>-0.25</v>
      </c>
      <c r="DP36" s="138">
        <f t="shared" si="11"/>
        <v>0</v>
      </c>
      <c r="DQ36" s="138">
        <f t="shared" si="12"/>
        <v>0</v>
      </c>
      <c r="DR36" s="138">
        <f t="shared" si="13"/>
        <v>0</v>
      </c>
      <c r="DS36" s="138">
        <f t="shared" si="14"/>
        <v>0</v>
      </c>
      <c r="DT36" s="138">
        <f t="shared" si="15"/>
        <v>0</v>
      </c>
      <c r="DU36" s="138">
        <f t="shared" si="16"/>
        <v>0</v>
      </c>
      <c r="DV36" s="138">
        <f t="shared" si="17"/>
        <v>0</v>
      </c>
      <c r="DW36" s="138">
        <f t="shared" si="18"/>
        <v>0</v>
      </c>
      <c r="DX36" s="138">
        <f t="shared" si="19"/>
        <v>0</v>
      </c>
      <c r="DY36" s="138">
        <f t="shared" si="20"/>
        <v>0</v>
      </c>
      <c r="DZ36" s="138">
        <f t="shared" si="21"/>
        <v>0</v>
      </c>
      <c r="EA36" s="138">
        <f t="shared" si="22"/>
        <v>0</v>
      </c>
      <c r="EB36" s="138">
        <f t="shared" si="23"/>
        <v>0</v>
      </c>
      <c r="EC36" s="138">
        <f t="shared" si="24"/>
        <v>0</v>
      </c>
      <c r="ED36" s="138">
        <f t="shared" si="25"/>
        <v>0</v>
      </c>
      <c r="EE36" s="138">
        <f t="shared" si="26"/>
        <v>0</v>
      </c>
      <c r="EF36" s="138">
        <f t="shared" si="27"/>
        <v>0</v>
      </c>
      <c r="EG36" s="138">
        <f t="shared" si="28"/>
        <v>0</v>
      </c>
      <c r="EH36" s="138">
        <f t="shared" si="29"/>
        <v>0</v>
      </c>
      <c r="EI36" s="138">
        <f t="shared" si="30"/>
        <v>0</v>
      </c>
      <c r="EJ36" s="138">
        <f t="shared" si="31"/>
        <v>0</v>
      </c>
      <c r="EK36" s="138">
        <f t="shared" si="32"/>
        <v>0</v>
      </c>
      <c r="EL36" s="138">
        <f t="shared" si="33"/>
        <v>0</v>
      </c>
      <c r="EM36" s="138">
        <f t="shared" si="34"/>
        <v>0</v>
      </c>
      <c r="EN36" s="138">
        <f t="shared" si="35"/>
        <v>0</v>
      </c>
      <c r="EO36" s="138">
        <f t="shared" si="36"/>
        <v>0</v>
      </c>
      <c r="EP36" s="138">
        <f t="shared" si="37"/>
        <v>0</v>
      </c>
      <c r="EQ36" s="138">
        <f t="shared" si="38"/>
        <v>0</v>
      </c>
      <c r="ER36" s="138">
        <f t="shared" si="39"/>
        <v>0</v>
      </c>
      <c r="ES36" s="138">
        <f t="shared" si="40"/>
        <v>0</v>
      </c>
      <c r="ET36" s="138">
        <f t="shared" si="41"/>
        <v>0</v>
      </c>
      <c r="EU36" s="138">
        <f t="shared" si="42"/>
        <v>0</v>
      </c>
      <c r="EV36" s="138">
        <f t="shared" si="43"/>
        <v>0</v>
      </c>
      <c r="EW36" s="138">
        <f t="shared" si="44"/>
        <v>0</v>
      </c>
      <c r="EX36" s="138">
        <f t="shared" si="45"/>
        <v>0</v>
      </c>
      <c r="EY36" s="138">
        <f t="shared" si="46"/>
        <v>0</v>
      </c>
      <c r="EZ36" s="138">
        <f t="shared" si="47"/>
        <v>0</v>
      </c>
      <c r="FA36" s="138">
        <f t="shared" si="48"/>
        <v>0</v>
      </c>
      <c r="FB36" s="138">
        <f t="shared" si="49"/>
        <v>0</v>
      </c>
      <c r="FC36" s="138">
        <f t="shared" si="50"/>
        <v>0</v>
      </c>
      <c r="FD36" s="138">
        <f t="shared" si="51"/>
        <v>0</v>
      </c>
      <c r="FE36" s="138">
        <f t="shared" si="52"/>
        <v>0</v>
      </c>
      <c r="FF36" s="138">
        <f t="shared" si="53"/>
        <v>0</v>
      </c>
      <c r="FG36" s="113">
        <f t="shared" si="54"/>
        <v>0</v>
      </c>
      <c r="FH36" s="113">
        <f t="shared" si="55"/>
        <v>-4</v>
      </c>
      <c r="FI36" s="35"/>
      <c r="FJ36" s="151" cm="1">
        <f t="array" ref="FJ36">IF($C36="Production",
IFERROR(_xlfn.IFS(AND(DH36&gt;0,DH36+SUM(BF36:BG36)&lt;=$FM$3),DH36,AND(DH36&gt;0,DH36+SUM(BF36:BG36)&gt;$FM$3),$FM$3-SUM(BF36:BG36)),0),
IFERROR(_xlfn.IFS(AND(DH36&gt;0,DH36+BG36&lt;=$FK$3),DH36,AND(DH36&gt;0,DH36+BG36&gt;$FK$3),0),0)
)</f>
        <v>0</v>
      </c>
      <c r="FK36" s="152" cm="1">
        <f t="array" ref="FK36">IF($C36="Production",
IFERROR(_xlfn.IFS(AND(DI36&gt;0,DI36+SUM(BG36:BH36)&lt;=$FM$3),DI36,AND(DI36&gt;0,DI36+SUM(BG36:BH36)&gt;$FM$3),$FM$3-SUM(BG36:BH36)),0),
IFERROR(_xlfn.IFS(AND(DI36&gt;0,DI36+BH36&lt;=$FK$3),DI36,AND(DI36&gt;0,DI36+BH36&gt;$FK$3),0),0)
)</f>
        <v>0</v>
      </c>
      <c r="FL36" s="152" cm="1">
        <f t="array" ref="FL36">IF($C36="Production",
IFERROR(_xlfn.IFS(AND(DJ36&gt;0,DJ36+SUM(BH36:BI36)&lt;=$FM$3),DJ36,AND(DJ36&gt;0,DJ36+SUM(BH36:BI36)&gt;$FM$3),$FM$3-SUM(BH36:BI36)),0),
IFERROR(_xlfn.IFS(AND(DJ36&gt;0,DJ36+BI36&lt;=$FK$3),DJ36,AND(DJ36&gt;0,DJ36+BI36&gt;$FK$3),0),0)
)</f>
        <v>0</v>
      </c>
      <c r="FM36" s="152" cm="1">
        <f t="array" ref="FM36">IF($C36="Production",
IFERROR(_xlfn.IFS(AND(DK36&gt;0,DK36+SUM(BI36:BJ36)&lt;=$FM$3),DK36,AND(DK36&gt;0,DK36+SUM(BI36:BJ36)&gt;$FM$3),$FM$3-SUM(BI36:BJ36)),0),
IFERROR(_xlfn.IFS(AND(DK36&gt;0,DK36+BJ36&lt;=$FK$3),DK36,AND(DK36&gt;0,DK36+BJ36&gt;$FK$3),0),0)
)</f>
        <v>0</v>
      </c>
      <c r="FN36" s="152" cm="1">
        <f t="array" ref="FN36">IF($C36="Production",
IFERROR(_xlfn.IFS(AND(DL36&gt;0,DL36+SUM(BJ36:BK36)&lt;=$FM$3),DL36,AND(DL36&gt;0,DL36+SUM(BJ36:BK36)&gt;$FM$3),$FM$3-SUM(BJ36:BK36)),0),
IFERROR(_xlfn.IFS(AND(DL36&gt;0,DL36+BK36&lt;=$FK$3),DL36,AND(DL36&gt;0,DL36+BK36&gt;$FK$3),0),0)
)</f>
        <v>0</v>
      </c>
      <c r="FO36" s="152" cm="1">
        <f t="array" ref="FO36">IF($C36="Production",
IFERROR(_xlfn.IFS(AND(DM36&gt;0,DM36+SUM(BK36:BL36)&lt;=$FM$3),DM36,AND(DM36&gt;0,DM36+SUM(BK36:BL36)&gt;$FM$3),$FM$3-SUM(BK36:BL36)),0),
IFERROR(_xlfn.IFS(AND(DM36&gt;0,DM36+BL36&lt;=$FK$3),DM36,AND(DM36&gt;0,DM36+BL36&gt;$FK$3),0),0)
)</f>
        <v>0</v>
      </c>
      <c r="FP36" s="152" cm="1">
        <f t="array" ref="FP36">IF($C36="Production",
IFERROR(_xlfn.IFS(AND(DN36&gt;0,DN36+SUM(BL36:BM36)&lt;=$FM$3),DN36,AND(DN36&gt;0,DN36+SUM(BL36:BM36)&gt;$FM$3),$FM$3-SUM(BL36:BM36)),0),
IFERROR(_xlfn.IFS(AND(DN36&gt;0,DN36+BM36&lt;=$FK$3),DN36,AND(DN36&gt;0,DN36+BM36&gt;$FK$3),0),0)
)</f>
        <v>0</v>
      </c>
      <c r="FQ36" s="152" cm="1">
        <f t="array" ref="FQ36">IF($C36="Production",
IFERROR(_xlfn.IFS(AND(DO36&gt;0,DO36+SUM(BM36:BN36)&lt;=$FM$3),DO36,AND(DO36&gt;0,DO36+SUM(BM36:BN36)&gt;$FM$3),$FM$3-SUM(BM36:BN36)),0),
IFERROR(_xlfn.IFS(AND(DO36&gt;0,DO36+BN36&lt;=$FK$3),DO36,AND(DO36&gt;0,DO36+BN36&gt;$FK$3),0),0)
)</f>
        <v>0</v>
      </c>
      <c r="FR36" s="152" cm="1">
        <f t="array" ref="FR36">IF($C36="Production",
IFERROR(_xlfn.IFS(AND(DP36&gt;0,DP36+SUM(BN36:BO36)&lt;=$FM$3),DP36,AND(DP36&gt;0,DP36+SUM(BN36:BO36)&gt;$FM$3),$FM$3-SUM(BN36:BO36)),0),
IFERROR(_xlfn.IFS(AND(DP36&gt;0,DP36+BO36&lt;=$FK$3),DP36,AND(DP36&gt;0,DP36+BO36&gt;$FK$3),0),0)
)</f>
        <v>0</v>
      </c>
      <c r="FS36" s="152" cm="1">
        <f t="array" ref="FS36">IF($C36="Production",
IFERROR(_xlfn.IFS(AND(DQ36&gt;0,DQ36+SUM(BO36:BP36)&lt;=$FM$3),DQ36,AND(DQ36&gt;0,DQ36+SUM(BO36:BP36)&gt;$FM$3),$FM$3-SUM(BO36:BP36)),0),
IFERROR(_xlfn.IFS(AND(DQ36&gt;0,DQ36+BP36&lt;=$FK$3),DQ36,AND(DQ36&gt;0,DQ36+BP36&gt;$FK$3),0),0)
)</f>
        <v>0</v>
      </c>
      <c r="FT36" s="152" cm="1">
        <f t="array" ref="FT36">IF($C36="Production",
IFERROR(_xlfn.IFS(AND(DR36&gt;0,DR36+SUM(BP36:BQ36)&lt;=$FM$3),DR36,AND(DR36&gt;0,DR36+SUM(BP36:BQ36)&gt;$FM$3),$FM$3-SUM(BP36:BQ36)),0),
IFERROR(_xlfn.IFS(AND(DR36&gt;0,DR36+BQ36&lt;=$FK$3),DR36,AND(DR36&gt;0,DR36+BQ36&gt;$FK$3),0),0)
)</f>
        <v>0</v>
      </c>
      <c r="FU36" s="152" cm="1">
        <f t="array" ref="FU36">IF($C36="Production",
IFERROR(_xlfn.IFS(AND(DS36&gt;0,DS36+SUM(BQ36:BR36)&lt;=$FM$3),DS36,AND(DS36&gt;0,DS36+SUM(BQ36:BR36)&gt;$FM$3),$FM$3-SUM(BQ36:BR36)),0),
IFERROR(_xlfn.IFS(AND(DS36&gt;0,DS36+BR36&lt;=$FK$3),DS36,AND(DS36&gt;0,DS36+BR36&gt;$FK$3),0),0)
)</f>
        <v>0</v>
      </c>
      <c r="FV36" s="152" cm="1">
        <f t="array" ref="FV36">IF($C36="Production",
IFERROR(_xlfn.IFS(AND(DT36&gt;0,DT36+SUM(BR36:BS36)&lt;=$FM$3),DT36,AND(DT36&gt;0,DT36+SUM(BR36:BS36)&gt;$FM$3),$FM$3-SUM(BR36:BS36)),0),
IFERROR(_xlfn.IFS(AND(DT36&gt;0,DT36+BS36&lt;=$FK$3),DT36,AND(DT36&gt;0,DT36+BS36&gt;$FK$3),0),0)
)</f>
        <v>0</v>
      </c>
      <c r="FW36" s="152" cm="1">
        <f t="array" ref="FW36">IF($C36="Production",
IFERROR(_xlfn.IFS(AND(DU36&gt;0,DU36+SUM(BS36:BT36)&lt;=$FM$3),DU36,AND(DU36&gt;0,DU36+SUM(BS36:BT36)&gt;$FM$3),$FM$3-SUM(BS36:BT36)),0),
IFERROR(_xlfn.IFS(AND(DU36&gt;0,DU36+BT36&lt;=$FK$3),DU36,AND(DU36&gt;0,DU36+BT36&gt;$FK$3),0),0)
)</f>
        <v>0</v>
      </c>
      <c r="FX36" s="152" cm="1">
        <f t="array" ref="FX36">IF($C36="Production",
IFERROR(_xlfn.IFS(AND(DV36&gt;0,DV36+SUM(BT36:BU36)&lt;=$FM$3),DV36,AND(DV36&gt;0,DV36+SUM(BT36:BU36)&gt;$FM$3),$FM$3-SUM(BT36:BU36)),0),
IFERROR(_xlfn.IFS(AND(DV36&gt;0,DV36+BU36&lt;=$FK$3),DV36,AND(DV36&gt;0,DV36+BU36&gt;$FK$3),0),0)
)</f>
        <v>0</v>
      </c>
      <c r="FY36" s="152" cm="1">
        <f t="array" ref="FY36">IF($C36="Production",
IFERROR(_xlfn.IFS(AND(DW36&gt;0,DW36+SUM(BU36:BV36)&lt;=$FM$3),DW36,AND(DW36&gt;0,DW36+SUM(BU36:BV36)&gt;$FM$3),$FM$3-SUM(BU36:BV36)),0),
IFERROR(_xlfn.IFS(AND(DW36&gt;0,DW36+BV36&lt;=$FK$3),DW36,AND(DW36&gt;0,DW36+BV36&gt;$FK$3),0),0)
)</f>
        <v>0</v>
      </c>
      <c r="FZ36" s="152" cm="1">
        <f t="array" ref="FZ36">IF($C36="Production",
IFERROR(_xlfn.IFS(AND(DX36&gt;0,DX36+SUM(BV36:BW36)&lt;=$FM$3),DX36,AND(DX36&gt;0,DX36+SUM(BV36:BW36)&gt;$FM$3),$FM$3-SUM(BV36:BW36)),0),
IFERROR(_xlfn.IFS(AND(DX36&gt;0,DX36+BW36&lt;=$FK$3),DX36,AND(DX36&gt;0,DX36+BW36&gt;$FK$3),0),0)
)</f>
        <v>0</v>
      </c>
      <c r="GA36" s="152" cm="1">
        <f t="array" ref="GA36">IF($C36="Production",
IFERROR(_xlfn.IFS(AND(DY36&gt;0,DY36+SUM(BW36:BX36)&lt;=$FM$3),DY36,AND(DY36&gt;0,DY36+SUM(BW36:BX36)&gt;$FM$3),$FM$3-SUM(BW36:BX36)),0),
IFERROR(_xlfn.IFS(AND(DY36&gt;0,DY36+BX36&lt;=$FK$3),DY36,AND(DY36&gt;0,DY36+BX36&gt;$FK$3),0),0)
)</f>
        <v>0</v>
      </c>
      <c r="GB36" s="152" cm="1">
        <f t="array" ref="GB36">IF($C36="Production",
IFERROR(_xlfn.IFS(AND(DZ36&gt;0,DZ36+SUM(BX36:BY36)&lt;=$FM$3),DZ36,AND(DZ36&gt;0,DZ36+SUM(BX36:BY36)&gt;$FM$3),$FM$3-SUM(BX36:BY36)),0),
IFERROR(_xlfn.IFS(AND(DZ36&gt;0,DZ36+BY36&lt;=$FK$3),DZ36,AND(DZ36&gt;0,DZ36+BY36&gt;$FK$3),0),0)
)</f>
        <v>0</v>
      </c>
      <c r="GC36" s="152" cm="1">
        <f t="array" ref="GC36">IF($C36="Production",
IFERROR(_xlfn.IFS(AND(EA36&gt;0,EA36+SUM(BY36:BZ36)&lt;=$FM$3),EA36,AND(EA36&gt;0,EA36+SUM(BY36:BZ36)&gt;$FM$3),$FM$3-SUM(BY36:BZ36)),0),
IFERROR(_xlfn.IFS(AND(EA36&gt;0,EA36+BZ36&lt;=$FK$3),EA36,AND(EA36&gt;0,EA36+BZ36&gt;$FK$3),0),0)
)</f>
        <v>0</v>
      </c>
      <c r="GD36" s="152" cm="1">
        <f t="array" ref="GD36">IF($C36="Production",
IFERROR(_xlfn.IFS(AND(EB36&gt;0,EB36+SUM(BZ36:CA36)&lt;=$FM$3),EB36,AND(EB36&gt;0,EB36+SUM(BZ36:CA36)&gt;$FM$3),$FM$3-SUM(BZ36:CA36)),0),
IFERROR(_xlfn.IFS(AND(EB36&gt;0,EB36+CA36&lt;=$FK$3),EB36,AND(EB36&gt;0,EB36+CA36&gt;$FK$3),0),0)
)</f>
        <v>0</v>
      </c>
      <c r="GE36" s="152" cm="1">
        <f t="array" ref="GE36">IF($C36="Production",
IFERROR(_xlfn.IFS(AND(EC36&gt;0,EC36+SUM(CA36:CB36)&lt;=$FM$3),EC36,AND(EC36&gt;0,EC36+SUM(CA36:CB36)&gt;$FM$3),$FM$3-SUM(CA36:CB36)),0),
IFERROR(_xlfn.IFS(AND(EC36&gt;0,EC36+CB36&lt;=$FK$3),EC36,AND(EC36&gt;0,EC36+CB36&gt;$FK$3),0),0)
)</f>
        <v>0</v>
      </c>
      <c r="GF36" s="152" cm="1">
        <f t="array" ref="GF36">IF($C36="Production",
IFERROR(_xlfn.IFS(AND(ED36&gt;0,ED36+SUM(CB36:CC36)&lt;=$FM$3),ED36,AND(ED36&gt;0,ED36+SUM(CB36:CC36)&gt;$FM$3),$FM$3-SUM(CB36:CC36)),0),
IFERROR(_xlfn.IFS(AND(ED36&gt;0,ED36+CC36&lt;=$FK$3),ED36,AND(ED36&gt;0,ED36+CC36&gt;$FK$3),0),0)
)</f>
        <v>0</v>
      </c>
      <c r="GG36" s="152" cm="1">
        <f t="array" ref="GG36">IF($C36="Production",
IFERROR(_xlfn.IFS(AND(EE36&gt;0,EE36+SUM(CC36:CD36)&lt;=$FM$3),EE36,AND(EE36&gt;0,EE36+SUM(CC36:CD36)&gt;$FM$3),$FM$3-SUM(CC36:CD36)),0),
IFERROR(_xlfn.IFS(AND(EE36&gt;0,EE36+CD36&lt;=$FK$3),EE36,AND(EE36&gt;0,EE36+CD36&gt;$FK$3),0),0)
)</f>
        <v>0</v>
      </c>
      <c r="GH36" s="152" cm="1">
        <f t="array" ref="GH36">IF($C36="Production",
IFERROR(_xlfn.IFS(AND(EF36&gt;0,EF36+SUM(CD36:CE36)&lt;=$FM$3),EF36,AND(EF36&gt;0,EF36+SUM(CD36:CE36)&gt;$FM$3),$FM$3-SUM(CD36:CE36)),0),
IFERROR(_xlfn.IFS(AND(EF36&gt;0,EF36+CE36&lt;=$FK$3),EF36,AND(EF36&gt;0,EF36+CE36&gt;$FK$3),0),0)
)</f>
        <v>0</v>
      </c>
      <c r="GI36" s="152" cm="1">
        <f t="array" ref="GI36">IF($C36="Production",
IFERROR(_xlfn.IFS(AND(EG36&gt;0,EG36+SUM(CE36:CF36)&lt;=$FM$3),EG36,AND(EG36&gt;0,EG36+SUM(CE36:CF36)&gt;$FM$3),$FM$3-SUM(CE36:CF36)),0),
IFERROR(_xlfn.IFS(AND(EG36&gt;0,EG36+CF36&lt;=$FK$3),EG36,AND(EG36&gt;0,EG36+CF36&gt;$FK$3),0),0)
)</f>
        <v>0</v>
      </c>
      <c r="GJ36" s="152" cm="1">
        <f t="array" ref="GJ36">IF($C36="Production",
IFERROR(_xlfn.IFS(AND(EH36&gt;0,EH36+SUM(CF36:CG36)&lt;=$FM$3),EH36,AND(EH36&gt;0,EH36+SUM(CF36:CG36)&gt;$FM$3),$FM$3-SUM(CF36:CG36)),0),
IFERROR(_xlfn.IFS(AND(EH36&gt;0,EH36+CG36&lt;=$FK$3),EH36,AND(EH36&gt;0,EH36+CG36&gt;$FK$3),0),0)
)</f>
        <v>0</v>
      </c>
      <c r="GK36" s="152" cm="1">
        <f t="array" ref="GK36">IF($C36="Production",
IFERROR(_xlfn.IFS(AND(EI36&gt;0,EI36+SUM(CG36:CH36)&lt;=$FM$3),EI36,AND(EI36&gt;0,EI36+SUM(CG36:CH36)&gt;$FM$3),$FM$3-SUM(CG36:CH36)),0),
IFERROR(_xlfn.IFS(AND(EI36&gt;0,EI36+CH36&lt;=$FK$3),EI36,AND(EI36&gt;0,EI36+CH36&gt;$FK$3),0),0)
)</f>
        <v>0</v>
      </c>
      <c r="GL36" s="152" cm="1">
        <f t="array" ref="GL36">IF($C36="Production",
IFERROR(_xlfn.IFS(AND(EJ36&gt;0,EJ36+SUM(CH36:CI36)&lt;=$FM$3),EJ36,AND(EJ36&gt;0,EJ36+SUM(CH36:CI36)&gt;$FM$3),$FM$3-SUM(CH36:CI36)),0),
IFERROR(_xlfn.IFS(AND(EJ36&gt;0,EJ36+CI36&lt;=$FK$3),EJ36,AND(EJ36&gt;0,EJ36+CI36&gt;$FK$3),0),0)
)</f>
        <v>0</v>
      </c>
      <c r="GM36" s="152" cm="1">
        <f t="array" ref="GM36">IF($C36="Production",
IFERROR(_xlfn.IFS(AND(EK36&gt;0,EK36+SUM(CI36:CJ36)&lt;=$FM$3),EK36,AND(EK36&gt;0,EK36+SUM(CI36:CJ36)&gt;$FM$3),$FM$3-SUM(CI36:CJ36)),0),
IFERROR(_xlfn.IFS(AND(EK36&gt;0,EK36+CJ36&lt;=$FK$3),EK36,AND(EK36&gt;0,EK36+CJ36&gt;$FK$3),0),0)
)</f>
        <v>0</v>
      </c>
      <c r="GN36" s="152" cm="1">
        <f t="array" ref="GN36">IF($C36="Production",
IFERROR(_xlfn.IFS(AND(EL36&gt;0,EL36+SUM(CJ36:CK36)&lt;=$FM$3),EL36,AND(EL36&gt;0,EL36+SUM(CJ36:CK36)&gt;$FM$3),$FM$3-SUM(CJ36:CK36)),0),
IFERROR(_xlfn.IFS(AND(EL36&gt;0,EL36+CK36&lt;=$FK$3),EL36,AND(EL36&gt;0,EL36+CK36&gt;$FK$3),0),0)
)</f>
        <v>0</v>
      </c>
      <c r="GO36" s="152" cm="1">
        <f t="array" ref="GO36">IF($C36="Production",
IFERROR(_xlfn.IFS(AND(EM36&gt;0,EM36+SUM(CK36:CL36)&lt;=$FM$3),EM36,AND(EM36&gt;0,EM36+SUM(CK36:CL36)&gt;$FM$3),$FM$3-SUM(CK36:CL36)),0),
IFERROR(_xlfn.IFS(AND(EM36&gt;0,EM36+CL36&lt;=$FK$3),EM36,AND(EM36&gt;0,EM36+CL36&gt;$FK$3),0),0)
)</f>
        <v>0</v>
      </c>
      <c r="GP36" s="152" cm="1">
        <f t="array" ref="GP36">IF($C36="Production",
IFERROR(_xlfn.IFS(AND(EN36&gt;0,EN36+SUM(CL36:CM36)&lt;=$FM$3),EN36,AND(EN36&gt;0,EN36+SUM(CL36:CM36)&gt;$FM$3),$FM$3-SUM(CL36:CM36)),0),
IFERROR(_xlfn.IFS(AND(EN36&gt;0,EN36+CM36&lt;=$FK$3),EN36,AND(EN36&gt;0,EN36+CM36&gt;$FK$3),0),0)
)</f>
        <v>0</v>
      </c>
      <c r="GQ36" s="152" cm="1">
        <f t="array" ref="GQ36">IF($C36="Production",
IFERROR(_xlfn.IFS(AND(EO36&gt;0,EO36+SUM(CM36:CN36)&lt;=$FM$3),EO36,AND(EO36&gt;0,EO36+SUM(CM36:CN36)&gt;$FM$3),$FM$3-SUM(CM36:CN36)),0),
IFERROR(_xlfn.IFS(AND(EO36&gt;0,EO36+CN36&lt;=$FK$3),EO36,AND(EO36&gt;0,EO36+CN36&gt;$FK$3),0),0)
)</f>
        <v>0</v>
      </c>
      <c r="GR36" s="152" cm="1">
        <f t="array" ref="GR36">IF($C36="Production",
IFERROR(_xlfn.IFS(AND(EP36&gt;0,EP36+SUM(CN36:CO36)&lt;=$FM$3),EP36,AND(EP36&gt;0,EP36+SUM(CN36:CO36)&gt;$FM$3),$FM$3-SUM(CN36:CO36)),0),
IFERROR(_xlfn.IFS(AND(EP36&gt;0,EP36+CO36&lt;=$FK$3),EP36,AND(EP36&gt;0,EP36+CO36&gt;$FK$3),0),0)
)</f>
        <v>0</v>
      </c>
      <c r="GS36" s="152" cm="1">
        <f t="array" ref="GS36">IF($C36="Production",
IFERROR(_xlfn.IFS(AND(EQ36&gt;0,EQ36+SUM(CO36:CP36)&lt;=$FM$3),EQ36,AND(EQ36&gt;0,EQ36+SUM(CO36:CP36)&gt;$FM$3),$FM$3-SUM(CO36:CP36)),0),
IFERROR(_xlfn.IFS(AND(EQ36&gt;0,EQ36+CP36&lt;=$FK$3),EQ36,AND(EQ36&gt;0,EQ36+CP36&gt;$FK$3),0),0)
)</f>
        <v>0</v>
      </c>
      <c r="GT36" s="152" cm="1">
        <f t="array" ref="GT36">IF($C36="Production",
IFERROR(_xlfn.IFS(AND(ER36&gt;0,ER36+SUM(CP36:CQ36)&lt;=$FM$3),ER36,AND(ER36&gt;0,ER36+SUM(CP36:CQ36)&gt;$FM$3),$FM$3-SUM(CP36:CQ36)),0),
IFERROR(_xlfn.IFS(AND(ER36&gt;0,ER36+CQ36&lt;=$FK$3),ER36,AND(ER36&gt;0,ER36+CQ36&gt;$FK$3),0),0)
)</f>
        <v>0</v>
      </c>
      <c r="GU36" s="152" cm="1">
        <f t="array" ref="GU36">IF($C36="Production",
IFERROR(_xlfn.IFS(AND(ES36&gt;0,ES36+SUM(CQ36:CR36)&lt;=$FM$3),ES36,AND(ES36&gt;0,ES36+SUM(CQ36:CR36)&gt;$FM$3),$FM$3-SUM(CQ36:CR36)),0),
IFERROR(_xlfn.IFS(AND(ES36&gt;0,ES36+CR36&lt;=$FK$3),ES36,AND(ES36&gt;0,ES36+CR36&gt;$FK$3),0),0)
)</f>
        <v>0</v>
      </c>
      <c r="GV36" s="152" cm="1">
        <f t="array" ref="GV36">IF($C36="Production",
IFERROR(_xlfn.IFS(AND(ET36&gt;0,ET36+SUM(CR36:CS36)&lt;=$FM$3),ET36,AND(ET36&gt;0,ET36+SUM(CR36:CS36)&gt;$FM$3),$FM$3-SUM(CR36:CS36)),0),
IFERROR(_xlfn.IFS(AND(ET36&gt;0,ET36+CS36&lt;=$FK$3),ET36,AND(ET36&gt;0,ET36+CS36&gt;$FK$3),0),0)
)</f>
        <v>0</v>
      </c>
      <c r="GW36" s="152" cm="1">
        <f t="array" ref="GW36">IF($C36="Production",
IFERROR(_xlfn.IFS(AND(EU36&gt;0,EU36+SUM(CS36:CT36)&lt;=$FM$3),EU36,AND(EU36&gt;0,EU36+SUM(CS36:CT36)&gt;$FM$3),$FM$3-SUM(CS36:CT36)),0),
IFERROR(_xlfn.IFS(AND(EU36&gt;0,EU36+CT36&lt;=$FK$3),EU36,AND(EU36&gt;0,EU36+CT36&gt;$FK$3),0),0)
)</f>
        <v>0</v>
      </c>
      <c r="GX36" s="152" cm="1">
        <f t="array" ref="GX36">IF($C36="Production",
IFERROR(_xlfn.IFS(AND(EV36&gt;0,EV36+SUM(CT36:CU36)&lt;=$FM$3),EV36,AND(EV36&gt;0,EV36+SUM(CT36:CU36)&gt;$FM$3),$FM$3-SUM(CT36:CU36)),0),
IFERROR(_xlfn.IFS(AND(EV36&gt;0,EV36+CU36&lt;=$FK$3),EV36,AND(EV36&gt;0,EV36+CU36&gt;$FK$3),0),0)
)</f>
        <v>0</v>
      </c>
      <c r="GY36" s="152" cm="1">
        <f t="array" ref="GY36">IF($C36="Production",
IFERROR(_xlfn.IFS(AND(EW36&gt;0,EW36+SUM(CU36:CV36)&lt;=$FM$3),EW36,AND(EW36&gt;0,EW36+SUM(CU36:CV36)&gt;$FM$3),$FM$3-SUM(CU36:CV36)),0),
IFERROR(_xlfn.IFS(AND(EW36&gt;0,EW36+CV36&lt;=$FK$3),EW36,AND(EW36&gt;0,EW36+CV36&gt;$FK$3),0),0)
)</f>
        <v>0</v>
      </c>
      <c r="GZ36" s="152" cm="1">
        <f t="array" ref="GZ36">IF($C36="Production",
IFERROR(_xlfn.IFS(AND(EX36&gt;0,EX36+SUM(CV36:CW36)&lt;=$FM$3),EX36,AND(EX36&gt;0,EX36+SUM(CV36:CW36)&gt;$FM$3),$FM$3-SUM(CV36:CW36)),0),
IFERROR(_xlfn.IFS(AND(EX36&gt;0,EX36+CW36&lt;=$FK$3),EX36,AND(EX36&gt;0,EX36+CW36&gt;$FK$3),0),0)
)</f>
        <v>0</v>
      </c>
      <c r="HA36" s="152" cm="1">
        <f t="array" ref="HA36">IF($C36="Production",
IFERROR(_xlfn.IFS(AND(EY36&gt;0,EY36+SUM(CW36:CX36)&lt;=$FM$3),EY36,AND(EY36&gt;0,EY36+SUM(CW36:CX36)&gt;$FM$3),$FM$3-SUM(CW36:CX36)),0),
IFERROR(_xlfn.IFS(AND(EY36&gt;0,EY36+CX36&lt;=$FK$3),EY36,AND(EY36&gt;0,EY36+CX36&gt;$FK$3),0),0)
)</f>
        <v>0</v>
      </c>
      <c r="HB36" s="152" cm="1">
        <f t="array" ref="HB36">IF($C36="Production",
IFERROR(_xlfn.IFS(AND(EZ36&gt;0,EZ36+SUM(CX36:CY36)&lt;=$FM$3),EZ36,AND(EZ36&gt;0,EZ36+SUM(CX36:CY36)&gt;$FM$3),$FM$3-SUM(CX36:CY36)),0),
IFERROR(_xlfn.IFS(AND(EZ36&gt;0,EZ36+CY36&lt;=$FK$3),EZ36,AND(EZ36&gt;0,EZ36+CY36&gt;$FK$3),0),0)
)</f>
        <v>0</v>
      </c>
      <c r="HC36" s="152" cm="1">
        <f t="array" ref="HC36">IF($C36="Production",
IFERROR(_xlfn.IFS(AND(FA36&gt;0,FA36+SUM(CY36:CZ36)&lt;=$FM$3),FA36,AND(FA36&gt;0,FA36+SUM(CY36:CZ36)&gt;$FM$3),$FM$3-SUM(CY36:CZ36)),0),
IFERROR(_xlfn.IFS(AND(FA36&gt;0,FA36+CZ36&lt;=$FK$3),FA36,AND(FA36&gt;0,FA36+CZ36&gt;$FK$3),0),0)
)</f>
        <v>0</v>
      </c>
      <c r="HD36" s="152" cm="1">
        <f t="array" ref="HD36">IF($C36="Production",
IFERROR(_xlfn.IFS(AND(FB36&gt;0,FB36+SUM(CZ36:DA36)&lt;=$FM$3),FB36,AND(FB36&gt;0,FB36+SUM(CZ36:DA36)&gt;$FM$3),$FM$3-SUM(CZ36:DA36)),0),
IFERROR(_xlfn.IFS(AND(FB36&gt;0,FB36+DA36&lt;=$FK$3),FB36,AND(FB36&gt;0,FB36+DA36&gt;$FK$3),0),0)
)</f>
        <v>0</v>
      </c>
      <c r="HE36" s="152" cm="1">
        <f t="array" ref="HE36">IF($C36="Production",
IFERROR(_xlfn.IFS(AND(FC36&gt;0,FC36+SUM(DA36:DB36)&lt;=$FM$3),FC36,AND(FC36&gt;0,FC36+SUM(DA36:DB36)&gt;$FM$3),$FM$3-SUM(DA36:DB36)),0),
IFERROR(_xlfn.IFS(AND(FC36&gt;0,FC36+DB36&lt;=$FK$3),FC36,AND(FC36&gt;0,FC36+DB36&gt;$FK$3),0),0)
)</f>
        <v>0</v>
      </c>
      <c r="HF36" s="152" cm="1">
        <f t="array" ref="HF36">IF($C36="Production",
IFERROR(_xlfn.IFS(AND(FD36&gt;0,FD36+SUM(DB36:DC36)&lt;=$FM$3),FD36,AND(FD36&gt;0,FD36+SUM(DB36:DC36)&gt;$FM$3),$FM$3-SUM(DB36:DC36)),0),
IFERROR(_xlfn.IFS(AND(FD36&gt;0,FD36+DC36&lt;=$FK$3),FD36,AND(FD36&gt;0,FD36+DC36&gt;$FK$3),0),0)
)</f>
        <v>0</v>
      </c>
      <c r="HG36" s="152" cm="1">
        <f t="array" ref="HG36">IF($C36="Production",
IFERROR(_xlfn.IFS(AND(FE36&gt;0,FE36+SUM(DC36:DD36)&lt;=$FM$3),FE36,AND(FE36&gt;0,FE36+SUM(DC36:DD36)&gt;$FM$3),$FM$3-SUM(DC36:DD36)),0),
IFERROR(_xlfn.IFS(AND(FE36&gt;0,FE36+DD36&lt;=$FK$3),FE36,AND(FE36&gt;0,FE36+DD36&gt;$FK$3),0),0)
)</f>
        <v>0</v>
      </c>
      <c r="HH36" s="152" cm="1">
        <f t="array" ref="HH36">IF($C36="Production",
IFERROR(_xlfn.IFS(AND(FF36&gt;0,FF36+SUM(DD36:DE36)&lt;=$FM$3),FF36,AND(FF36&gt;0,FF36+SUM(DD36:DE36)&gt;$FM$3),$FM$3-SUM(DD36:DE36)),0),
IFERROR(_xlfn.IFS(AND(FF36&gt;0,FF36+DE36&lt;=$FK$3),FF36,AND(FF36&gt;0,FF36+DE36&gt;$FK$3),0),0)
)</f>
        <v>0</v>
      </c>
      <c r="HI36" s="156" cm="1">
        <f t="array" ref="HI36">IF($C36="Production",
IFERROR(_xlfn.IFS(AND(FG36&gt;0,FG36+SUM(DE36:DF36)&lt;=$FM$3),FG36,AND(FG36&gt;0,FG36+SUM(DE36:DF36)&gt;$FM$3),$FM$3-SUM(DE36:DF36)),0),
IFERROR(_xlfn.IFS(AND(FG36&gt;0,FG36+DF36&lt;=$FK$3),FG36,AND(FG36&gt;0,FG36+DF36&gt;$FK$3),0),0)
)</f>
        <v>0</v>
      </c>
      <c r="HJ36" s="113">
        <f t="shared" si="110"/>
        <v>0</v>
      </c>
      <c r="HK36" s="80"/>
      <c r="HL36" s="112">
        <f t="shared" si="56"/>
        <v>0</v>
      </c>
      <c r="HM36" s="138">
        <f t="shared" si="57"/>
        <v>0</v>
      </c>
      <c r="HN36" s="138">
        <f t="shared" si="58"/>
        <v>0</v>
      </c>
      <c r="HO36" s="138">
        <f t="shared" si="59"/>
        <v>0</v>
      </c>
      <c r="HP36" s="138">
        <f t="shared" si="60"/>
        <v>0</v>
      </c>
      <c r="HQ36" s="138">
        <f t="shared" si="61"/>
        <v>0</v>
      </c>
      <c r="HR36" s="138">
        <f t="shared" si="62"/>
        <v>0</v>
      </c>
      <c r="HS36" s="138">
        <f t="shared" si="63"/>
        <v>0</v>
      </c>
      <c r="HT36" s="138">
        <f t="shared" si="64"/>
        <v>0</v>
      </c>
      <c r="HU36" s="138">
        <f t="shared" si="65"/>
        <v>0</v>
      </c>
      <c r="HV36" s="138">
        <f t="shared" si="66"/>
        <v>0</v>
      </c>
      <c r="HW36" s="138">
        <f t="shared" si="67"/>
        <v>0</v>
      </c>
      <c r="HX36" s="138">
        <f t="shared" si="68"/>
        <v>0</v>
      </c>
      <c r="HY36" s="138">
        <f t="shared" si="69"/>
        <v>0</v>
      </c>
      <c r="HZ36" s="138">
        <f t="shared" si="70"/>
        <v>0</v>
      </c>
      <c r="IA36" s="138">
        <f t="shared" si="71"/>
        <v>0</v>
      </c>
      <c r="IB36" s="138">
        <f t="shared" si="72"/>
        <v>0</v>
      </c>
      <c r="IC36" s="138">
        <f t="shared" si="73"/>
        <v>0</v>
      </c>
      <c r="ID36" s="138">
        <f t="shared" si="74"/>
        <v>0</v>
      </c>
      <c r="IE36" s="138">
        <f t="shared" si="75"/>
        <v>0</v>
      </c>
      <c r="IF36" s="138">
        <f t="shared" si="76"/>
        <v>0</v>
      </c>
      <c r="IG36" s="138">
        <f t="shared" si="77"/>
        <v>0</v>
      </c>
      <c r="IH36" s="138">
        <f t="shared" si="78"/>
        <v>0</v>
      </c>
      <c r="II36" s="138">
        <f t="shared" si="79"/>
        <v>0</v>
      </c>
      <c r="IJ36" s="138">
        <f t="shared" si="80"/>
        <v>0</v>
      </c>
      <c r="IK36" s="138">
        <f t="shared" si="81"/>
        <v>0</v>
      </c>
      <c r="IL36" s="138">
        <f t="shared" si="82"/>
        <v>0</v>
      </c>
      <c r="IM36" s="138">
        <f t="shared" si="83"/>
        <v>0</v>
      </c>
      <c r="IN36" s="138">
        <f t="shared" si="84"/>
        <v>0</v>
      </c>
      <c r="IO36" s="138">
        <f t="shared" si="85"/>
        <v>0</v>
      </c>
      <c r="IP36" s="138">
        <f t="shared" si="86"/>
        <v>0</v>
      </c>
      <c r="IQ36" s="138">
        <f t="shared" si="87"/>
        <v>0</v>
      </c>
      <c r="IR36" s="138">
        <f t="shared" si="88"/>
        <v>0</v>
      </c>
      <c r="IS36" s="138">
        <f t="shared" si="89"/>
        <v>0</v>
      </c>
      <c r="IT36" s="138">
        <f t="shared" si="90"/>
        <v>0</v>
      </c>
      <c r="IU36" s="138">
        <f t="shared" si="91"/>
        <v>0</v>
      </c>
      <c r="IV36" s="138">
        <f t="shared" si="92"/>
        <v>0</v>
      </c>
      <c r="IW36" s="138">
        <f t="shared" si="93"/>
        <v>0</v>
      </c>
      <c r="IX36" s="138">
        <f t="shared" si="94"/>
        <v>0</v>
      </c>
      <c r="IY36" s="138">
        <f t="shared" si="95"/>
        <v>0</v>
      </c>
      <c r="IZ36" s="138">
        <f t="shared" si="96"/>
        <v>0</v>
      </c>
      <c r="JA36" s="138">
        <f t="shared" si="97"/>
        <v>0</v>
      </c>
      <c r="JB36" s="138">
        <f t="shared" si="98"/>
        <v>0</v>
      </c>
      <c r="JC36" s="138">
        <f t="shared" si="99"/>
        <v>0</v>
      </c>
      <c r="JD36" s="138">
        <f t="shared" si="100"/>
        <v>0</v>
      </c>
      <c r="JE36" s="138">
        <f t="shared" si="101"/>
        <v>0</v>
      </c>
      <c r="JF36" s="138">
        <f t="shared" si="102"/>
        <v>0</v>
      </c>
      <c r="JG36" s="138">
        <f t="shared" si="103"/>
        <v>0</v>
      </c>
      <c r="JH36" s="138">
        <f t="shared" si="104"/>
        <v>0</v>
      </c>
      <c r="JI36" s="138">
        <f t="shared" si="105"/>
        <v>0</v>
      </c>
      <c r="JJ36" s="138">
        <f t="shared" si="106"/>
        <v>0</v>
      </c>
      <c r="JK36" s="138">
        <f t="shared" si="107"/>
        <v>0</v>
      </c>
      <c r="JL36" s="118">
        <f t="shared" si="111"/>
        <v>0</v>
      </c>
      <c r="JO36" s="90">
        <f t="shared" si="112"/>
        <v>0</v>
      </c>
      <c r="JP36" s="79">
        <f t="shared" si="108"/>
        <v>0</v>
      </c>
      <c r="JQ36" s="91">
        <f t="shared" si="2"/>
        <v>0</v>
      </c>
      <c r="JS36" s="123">
        <f t="shared" si="109"/>
        <v>-4</v>
      </c>
      <c r="JU36" s="123">
        <f t="shared" si="113"/>
        <v>-4</v>
      </c>
    </row>
    <row r="37" spans="2:281" x14ac:dyDescent="0.15">
      <c r="B37" s="82" t="str">
        <f>'MODU 2025'!B40</f>
        <v>REVERCHON Margarida</v>
      </c>
      <c r="C37" s="82" t="str">
        <f>'MODU 2025'!C40</f>
        <v>Logistique</v>
      </c>
      <c r="D37" s="82">
        <f>'MODU 2025'!D40</f>
        <v>39</v>
      </c>
      <c r="E37" s="82"/>
      <c r="F37" s="133">
        <f>'MODU 2025'!G40</f>
        <v>39.75</v>
      </c>
      <c r="G37" s="140">
        <f>'MODU 2025'!H40</f>
        <v>39.25</v>
      </c>
      <c r="H37" s="140">
        <f>'MODU 2025'!I40</f>
        <v>39.75</v>
      </c>
      <c r="I37" s="140">
        <f>'MODU 2025'!J40</f>
        <v>39</v>
      </c>
      <c r="J37" s="140">
        <f>'MODU 2025'!K40</f>
        <v>39.25</v>
      </c>
      <c r="K37" s="140">
        <f>'MODU 2025'!L40</f>
        <v>39</v>
      </c>
      <c r="L37" s="140">
        <f>'MODU 2025'!M40</f>
        <v>39.5</v>
      </c>
      <c r="M37" s="140">
        <f>'MODU 2025'!N40</f>
        <v>39.25</v>
      </c>
      <c r="N37" s="140">
        <f>'MODU 2025'!O40</f>
        <v>39</v>
      </c>
      <c r="O37" s="140">
        <f>'MODU 2025'!P40</f>
        <v>41.25</v>
      </c>
      <c r="P37" s="140">
        <f>'MODU 2025'!Q40</f>
        <v>39</v>
      </c>
      <c r="Q37" s="140">
        <f>'MODU 2025'!R40</f>
        <v>39</v>
      </c>
      <c r="R37" s="140">
        <f>'MODU 2025'!S40</f>
        <v>39</v>
      </c>
      <c r="S37" s="140">
        <f>'MODU 2025'!T40</f>
        <v>39</v>
      </c>
      <c r="T37" s="140">
        <f>'MODU 2025'!U40</f>
        <v>39</v>
      </c>
      <c r="U37" s="140">
        <f>'MODU 2025'!V40</f>
        <v>39</v>
      </c>
      <c r="V37" s="140">
        <f>'MODU 2025'!W40</f>
        <v>39</v>
      </c>
      <c r="W37" s="140">
        <f>'MODU 2025'!X40</f>
        <v>39</v>
      </c>
      <c r="X37" s="140">
        <f>'MODU 2025'!Y40</f>
        <v>39</v>
      </c>
      <c r="Y37" s="140">
        <f>'MODU 2025'!Z40</f>
        <v>39</v>
      </c>
      <c r="Z37" s="140">
        <f>'MODU 2025'!AA40</f>
        <v>39</v>
      </c>
      <c r="AA37" s="140">
        <f>'MODU 2025'!AB40</f>
        <v>39</v>
      </c>
      <c r="AB37" s="140">
        <f>'MODU 2025'!AC40</f>
        <v>39</v>
      </c>
      <c r="AC37" s="140">
        <f>'MODU 2025'!AD40</f>
        <v>39</v>
      </c>
      <c r="AD37" s="140">
        <f>'MODU 2025'!AE40</f>
        <v>39</v>
      </c>
      <c r="AE37" s="140">
        <f>'MODU 2025'!AF40</f>
        <v>39</v>
      </c>
      <c r="AF37" s="140">
        <f>'MODU 2025'!AG40</f>
        <v>39</v>
      </c>
      <c r="AG37" s="140">
        <f>'MODU 2025'!AH40</f>
        <v>39</v>
      </c>
      <c r="AH37" s="140">
        <f>'MODU 2025'!AI40</f>
        <v>39</v>
      </c>
      <c r="AI37" s="140">
        <f>'MODU 2025'!AJ40</f>
        <v>39</v>
      </c>
      <c r="AJ37" s="140">
        <f>'MODU 2025'!AK40</f>
        <v>39</v>
      </c>
      <c r="AK37" s="140">
        <f>'MODU 2025'!AL40</f>
        <v>39</v>
      </c>
      <c r="AL37" s="140">
        <f>'MODU 2025'!AM40</f>
        <v>39</v>
      </c>
      <c r="AM37" s="140">
        <f>'MODU 2025'!AN40</f>
        <v>39</v>
      </c>
      <c r="AN37" s="140">
        <f>'MODU 2025'!AO40</f>
        <v>39</v>
      </c>
      <c r="AO37" s="140">
        <f>'MODU 2025'!AP40</f>
        <v>39</v>
      </c>
      <c r="AP37" s="140">
        <f>'MODU 2025'!AQ40</f>
        <v>39</v>
      </c>
      <c r="AQ37" s="140">
        <f>'MODU 2025'!AR40</f>
        <v>39</v>
      </c>
      <c r="AR37" s="140">
        <f>'MODU 2025'!AS40</f>
        <v>39</v>
      </c>
      <c r="AS37" s="140">
        <f>'MODU 2025'!AT40</f>
        <v>39</v>
      </c>
      <c r="AT37" s="140">
        <f>'MODU 2025'!AU40</f>
        <v>39</v>
      </c>
      <c r="AU37" s="140">
        <f>'MODU 2025'!AV40</f>
        <v>39</v>
      </c>
      <c r="AV37" s="140">
        <f>'MODU 2025'!AW40</f>
        <v>39</v>
      </c>
      <c r="AW37" s="140">
        <f>'MODU 2025'!AX40</f>
        <v>39</v>
      </c>
      <c r="AX37" s="140">
        <f>'MODU 2025'!AY40</f>
        <v>39</v>
      </c>
      <c r="AY37" s="140">
        <f>'MODU 2025'!AZ40</f>
        <v>39</v>
      </c>
      <c r="AZ37" s="140">
        <f>'MODU 2025'!BA40</f>
        <v>39</v>
      </c>
      <c r="BA37" s="140">
        <f>'MODU 2025'!BB40</f>
        <v>39</v>
      </c>
      <c r="BB37" s="140">
        <f>'MODU 2025'!BC40</f>
        <v>39</v>
      </c>
      <c r="BC37" s="140">
        <f>'MODU 2025'!BD40</f>
        <v>39</v>
      </c>
      <c r="BD37" s="140">
        <f>'MODU 2025'!BE40</f>
        <v>39</v>
      </c>
      <c r="BE37" s="134">
        <f>'MODU 2025'!BF40</f>
        <v>39</v>
      </c>
      <c r="BF37" s="82"/>
      <c r="BG37" s="107">
        <v>39</v>
      </c>
      <c r="BH37" s="145">
        <v>39</v>
      </c>
      <c r="BI37" s="145">
        <v>39</v>
      </c>
      <c r="BJ37" s="145">
        <v>39</v>
      </c>
      <c r="BK37" s="145">
        <v>39</v>
      </c>
      <c r="BL37" s="145">
        <v>39</v>
      </c>
      <c r="BM37" s="145">
        <v>39</v>
      </c>
      <c r="BN37" s="145">
        <v>39</v>
      </c>
      <c r="BO37" s="145">
        <v>39</v>
      </c>
      <c r="BP37" s="145">
        <v>39</v>
      </c>
      <c r="BQ37" s="145">
        <v>39</v>
      </c>
      <c r="BR37" s="145">
        <v>39</v>
      </c>
      <c r="BS37" s="145">
        <v>39</v>
      </c>
      <c r="BT37" s="145">
        <v>39</v>
      </c>
      <c r="BU37" s="145">
        <v>39</v>
      </c>
      <c r="BV37" s="145">
        <v>39</v>
      </c>
      <c r="BW37" s="145">
        <v>39</v>
      </c>
      <c r="BX37" s="145">
        <v>39</v>
      </c>
      <c r="BY37" s="145">
        <v>39</v>
      </c>
      <c r="BZ37" s="145">
        <v>39</v>
      </c>
      <c r="CA37" s="145">
        <v>39</v>
      </c>
      <c r="CB37" s="145">
        <v>39</v>
      </c>
      <c r="CC37" s="145">
        <v>39</v>
      </c>
      <c r="CD37" s="145">
        <v>39</v>
      </c>
      <c r="CE37" s="145">
        <v>39</v>
      </c>
      <c r="CF37" s="145">
        <v>39</v>
      </c>
      <c r="CG37" s="145">
        <v>39</v>
      </c>
      <c r="CH37" s="145">
        <v>39</v>
      </c>
      <c r="CI37" s="145">
        <v>39</v>
      </c>
      <c r="CJ37" s="145">
        <v>39</v>
      </c>
      <c r="CK37" s="145">
        <v>39</v>
      </c>
      <c r="CL37" s="145">
        <v>39</v>
      </c>
      <c r="CM37" s="145">
        <v>39</v>
      </c>
      <c r="CN37" s="145">
        <v>39</v>
      </c>
      <c r="CO37" s="145">
        <v>39</v>
      </c>
      <c r="CP37" s="145">
        <v>39</v>
      </c>
      <c r="CQ37" s="145">
        <v>39</v>
      </c>
      <c r="CR37" s="145">
        <v>39</v>
      </c>
      <c r="CS37" s="145">
        <v>39</v>
      </c>
      <c r="CT37" s="145">
        <v>39</v>
      </c>
      <c r="CU37" s="145">
        <v>39</v>
      </c>
      <c r="CV37" s="145">
        <v>39</v>
      </c>
      <c r="CW37" s="145">
        <v>39</v>
      </c>
      <c r="CX37" s="145">
        <v>39</v>
      </c>
      <c r="CY37" s="145">
        <v>39</v>
      </c>
      <c r="CZ37" s="145">
        <v>39</v>
      </c>
      <c r="DA37" s="145">
        <v>39</v>
      </c>
      <c r="DB37" s="145">
        <v>39</v>
      </c>
      <c r="DC37" s="145">
        <v>39</v>
      </c>
      <c r="DD37" s="145">
        <v>39</v>
      </c>
      <c r="DE37" s="145">
        <v>39</v>
      </c>
      <c r="DF37" s="108">
        <v>39</v>
      </c>
      <c r="DG37" s="84"/>
      <c r="DH37" s="112">
        <f t="shared" si="3"/>
        <v>0.75</v>
      </c>
      <c r="DI37" s="138">
        <f t="shared" si="4"/>
        <v>0.25</v>
      </c>
      <c r="DJ37" s="138">
        <f t="shared" si="5"/>
        <v>0.75</v>
      </c>
      <c r="DK37" s="138">
        <f t="shared" si="6"/>
        <v>0</v>
      </c>
      <c r="DL37" s="138">
        <f t="shared" si="7"/>
        <v>0.25</v>
      </c>
      <c r="DM37" s="138">
        <f t="shared" si="8"/>
        <v>0</v>
      </c>
      <c r="DN37" s="138">
        <f t="shared" si="9"/>
        <v>0.5</v>
      </c>
      <c r="DO37" s="138">
        <f t="shared" si="10"/>
        <v>0.25</v>
      </c>
      <c r="DP37" s="138">
        <f t="shared" si="11"/>
        <v>0</v>
      </c>
      <c r="DQ37" s="138">
        <f t="shared" si="12"/>
        <v>2.25</v>
      </c>
      <c r="DR37" s="138">
        <f t="shared" si="13"/>
        <v>0</v>
      </c>
      <c r="DS37" s="138">
        <f t="shared" si="14"/>
        <v>0</v>
      </c>
      <c r="DT37" s="138">
        <f t="shared" si="15"/>
        <v>0</v>
      </c>
      <c r="DU37" s="138">
        <f t="shared" si="16"/>
        <v>0</v>
      </c>
      <c r="DV37" s="138">
        <f t="shared" si="17"/>
        <v>0</v>
      </c>
      <c r="DW37" s="138">
        <f t="shared" si="18"/>
        <v>0</v>
      </c>
      <c r="DX37" s="138">
        <f t="shared" si="19"/>
        <v>0</v>
      </c>
      <c r="DY37" s="138">
        <f t="shared" si="20"/>
        <v>0</v>
      </c>
      <c r="DZ37" s="138">
        <f t="shared" si="21"/>
        <v>0</v>
      </c>
      <c r="EA37" s="138">
        <f t="shared" si="22"/>
        <v>0</v>
      </c>
      <c r="EB37" s="138">
        <f t="shared" si="23"/>
        <v>0</v>
      </c>
      <c r="EC37" s="138">
        <f t="shared" si="24"/>
        <v>0</v>
      </c>
      <c r="ED37" s="138">
        <f t="shared" si="25"/>
        <v>0</v>
      </c>
      <c r="EE37" s="138">
        <f t="shared" si="26"/>
        <v>0</v>
      </c>
      <c r="EF37" s="138">
        <f t="shared" si="27"/>
        <v>0</v>
      </c>
      <c r="EG37" s="138">
        <f t="shared" si="28"/>
        <v>0</v>
      </c>
      <c r="EH37" s="138">
        <f t="shared" si="29"/>
        <v>0</v>
      </c>
      <c r="EI37" s="138">
        <f t="shared" si="30"/>
        <v>0</v>
      </c>
      <c r="EJ37" s="138">
        <f t="shared" si="31"/>
        <v>0</v>
      </c>
      <c r="EK37" s="138">
        <f t="shared" si="32"/>
        <v>0</v>
      </c>
      <c r="EL37" s="138">
        <f t="shared" si="33"/>
        <v>0</v>
      </c>
      <c r="EM37" s="138">
        <f t="shared" si="34"/>
        <v>0</v>
      </c>
      <c r="EN37" s="138">
        <f t="shared" si="35"/>
        <v>0</v>
      </c>
      <c r="EO37" s="138">
        <f t="shared" si="36"/>
        <v>0</v>
      </c>
      <c r="EP37" s="138">
        <f t="shared" si="37"/>
        <v>0</v>
      </c>
      <c r="EQ37" s="138">
        <f t="shared" si="38"/>
        <v>0</v>
      </c>
      <c r="ER37" s="138">
        <f t="shared" si="39"/>
        <v>0</v>
      </c>
      <c r="ES37" s="138">
        <f t="shared" si="40"/>
        <v>0</v>
      </c>
      <c r="ET37" s="138">
        <f t="shared" si="41"/>
        <v>0</v>
      </c>
      <c r="EU37" s="138">
        <f t="shared" si="42"/>
        <v>0</v>
      </c>
      <c r="EV37" s="138">
        <f t="shared" si="43"/>
        <v>0</v>
      </c>
      <c r="EW37" s="138">
        <f t="shared" si="44"/>
        <v>0</v>
      </c>
      <c r="EX37" s="138">
        <f t="shared" si="45"/>
        <v>0</v>
      </c>
      <c r="EY37" s="138">
        <f t="shared" si="46"/>
        <v>0</v>
      </c>
      <c r="EZ37" s="138">
        <f t="shared" si="47"/>
        <v>0</v>
      </c>
      <c r="FA37" s="138">
        <f t="shared" si="48"/>
        <v>0</v>
      </c>
      <c r="FB37" s="138">
        <f t="shared" si="49"/>
        <v>0</v>
      </c>
      <c r="FC37" s="138">
        <f t="shared" si="50"/>
        <v>0</v>
      </c>
      <c r="FD37" s="138">
        <f t="shared" si="51"/>
        <v>0</v>
      </c>
      <c r="FE37" s="138">
        <f t="shared" si="52"/>
        <v>0</v>
      </c>
      <c r="FF37" s="138">
        <f t="shared" si="53"/>
        <v>0</v>
      </c>
      <c r="FG37" s="113">
        <f t="shared" si="54"/>
        <v>0</v>
      </c>
      <c r="FH37" s="113">
        <f t="shared" si="55"/>
        <v>5</v>
      </c>
      <c r="FI37" s="35"/>
      <c r="FJ37" s="151" cm="1">
        <f t="array" ref="FJ37">IF($C37="Production",
IFERROR(_xlfn.IFS(AND(DH37&gt;0,DH37+SUM(BF37:BG37)&lt;=$FM$3),DH37,AND(DH37&gt;0,DH37+SUM(BF37:BG37)&gt;$FM$3),$FM$3-SUM(BF37:BG37)),0),
IFERROR(_xlfn.IFS(AND(DH37&gt;0,DH37+BG37&lt;=$FK$3),DH37,AND(DH37&gt;0,DH37+BG37&gt;$FK$3),0),0)
)</f>
        <v>0.75</v>
      </c>
      <c r="FK37" s="152" cm="1">
        <f t="array" ref="FK37">IF($C37="Production",
IFERROR(_xlfn.IFS(AND(DI37&gt;0,DI37+SUM(BG37:BH37)&lt;=$FM$3),DI37,AND(DI37&gt;0,DI37+SUM(BG37:BH37)&gt;$FM$3),$FM$3-SUM(BG37:BH37)),0),
IFERROR(_xlfn.IFS(AND(DI37&gt;0,DI37+BH37&lt;=$FK$3),DI37,AND(DI37&gt;0,DI37+BH37&gt;$FK$3),0),0)
)</f>
        <v>0.25</v>
      </c>
      <c r="FL37" s="152" cm="1">
        <f t="array" ref="FL37">IF($C37="Production",
IFERROR(_xlfn.IFS(AND(DJ37&gt;0,DJ37+SUM(BH37:BI37)&lt;=$FM$3),DJ37,AND(DJ37&gt;0,DJ37+SUM(BH37:BI37)&gt;$FM$3),$FM$3-SUM(BH37:BI37)),0),
IFERROR(_xlfn.IFS(AND(DJ37&gt;0,DJ37+BI37&lt;=$FK$3),DJ37,AND(DJ37&gt;0,DJ37+BI37&gt;$FK$3),0),0)
)</f>
        <v>0.75</v>
      </c>
      <c r="FM37" s="152" cm="1">
        <f t="array" ref="FM37">IF($C37="Production",
IFERROR(_xlfn.IFS(AND(DK37&gt;0,DK37+SUM(BI37:BJ37)&lt;=$FM$3),DK37,AND(DK37&gt;0,DK37+SUM(BI37:BJ37)&gt;$FM$3),$FM$3-SUM(BI37:BJ37)),0),
IFERROR(_xlfn.IFS(AND(DK37&gt;0,DK37+BJ37&lt;=$FK$3),DK37,AND(DK37&gt;0,DK37+BJ37&gt;$FK$3),0),0)
)</f>
        <v>0</v>
      </c>
      <c r="FN37" s="152" cm="1">
        <f t="array" ref="FN37">IF($C37="Production",
IFERROR(_xlfn.IFS(AND(DL37&gt;0,DL37+SUM(BJ37:BK37)&lt;=$FM$3),DL37,AND(DL37&gt;0,DL37+SUM(BJ37:BK37)&gt;$FM$3),$FM$3-SUM(BJ37:BK37)),0),
IFERROR(_xlfn.IFS(AND(DL37&gt;0,DL37+BK37&lt;=$FK$3),DL37,AND(DL37&gt;0,DL37+BK37&gt;$FK$3),0),0)
)</f>
        <v>0.25</v>
      </c>
      <c r="FO37" s="152" cm="1">
        <f t="array" ref="FO37">IF($C37="Production",
IFERROR(_xlfn.IFS(AND(DM37&gt;0,DM37+SUM(BK37:BL37)&lt;=$FM$3),DM37,AND(DM37&gt;0,DM37+SUM(BK37:BL37)&gt;$FM$3),$FM$3-SUM(BK37:BL37)),0),
IFERROR(_xlfn.IFS(AND(DM37&gt;0,DM37+BL37&lt;=$FK$3),DM37,AND(DM37&gt;0,DM37+BL37&gt;$FK$3),0),0)
)</f>
        <v>0</v>
      </c>
      <c r="FP37" s="152" cm="1">
        <f t="array" ref="FP37">IF($C37="Production",
IFERROR(_xlfn.IFS(AND(DN37&gt;0,DN37+SUM(BL37:BM37)&lt;=$FM$3),DN37,AND(DN37&gt;0,DN37+SUM(BL37:BM37)&gt;$FM$3),$FM$3-SUM(BL37:BM37)),0),
IFERROR(_xlfn.IFS(AND(DN37&gt;0,DN37+BM37&lt;=$FK$3),DN37,AND(DN37&gt;0,DN37+BM37&gt;$FK$3),0),0)
)</f>
        <v>0.5</v>
      </c>
      <c r="FQ37" s="152" cm="1">
        <f t="array" ref="FQ37">IF($C37="Production",
IFERROR(_xlfn.IFS(AND(DO37&gt;0,DO37+SUM(BM37:BN37)&lt;=$FM$3),DO37,AND(DO37&gt;0,DO37+SUM(BM37:BN37)&gt;$FM$3),$FM$3-SUM(BM37:BN37)),0),
IFERROR(_xlfn.IFS(AND(DO37&gt;0,DO37+BN37&lt;=$FK$3),DO37,AND(DO37&gt;0,DO37+BN37&gt;$FK$3),0),0)
)</f>
        <v>0.25</v>
      </c>
      <c r="FR37" s="152" cm="1">
        <f t="array" ref="FR37">IF($C37="Production",
IFERROR(_xlfn.IFS(AND(DP37&gt;0,DP37+SUM(BN37:BO37)&lt;=$FM$3),DP37,AND(DP37&gt;0,DP37+SUM(BN37:BO37)&gt;$FM$3),$FM$3-SUM(BN37:BO37)),0),
IFERROR(_xlfn.IFS(AND(DP37&gt;0,DP37+BO37&lt;=$FK$3),DP37,AND(DP37&gt;0,DP37+BO37&gt;$FK$3),0),0)
)</f>
        <v>0</v>
      </c>
      <c r="FS37" s="152" cm="1">
        <f t="array" ref="FS37">IF($C37="Production",
IFERROR(_xlfn.IFS(AND(DQ37&gt;0,DQ37+SUM(BO37:BP37)&lt;=$FM$3),DQ37,AND(DQ37&gt;0,DQ37+SUM(BO37:BP37)&gt;$FM$3),$FM$3-SUM(BO37:BP37)),0),
IFERROR(_xlfn.IFS(AND(DQ37&gt;0,DQ37+BP37&lt;=$FK$3),DQ37,AND(DQ37&gt;0,DQ37+BP37&gt;$FK$3),0),0)
)</f>
        <v>2.25</v>
      </c>
      <c r="FT37" s="152" cm="1">
        <f t="array" ref="FT37">IF($C37="Production",
IFERROR(_xlfn.IFS(AND(DR37&gt;0,DR37+SUM(BP37:BQ37)&lt;=$FM$3),DR37,AND(DR37&gt;0,DR37+SUM(BP37:BQ37)&gt;$FM$3),$FM$3-SUM(BP37:BQ37)),0),
IFERROR(_xlfn.IFS(AND(DR37&gt;0,DR37+BQ37&lt;=$FK$3),DR37,AND(DR37&gt;0,DR37+BQ37&gt;$FK$3),0),0)
)</f>
        <v>0</v>
      </c>
      <c r="FU37" s="152" cm="1">
        <f t="array" ref="FU37">IF($C37="Production",
IFERROR(_xlfn.IFS(AND(DS37&gt;0,DS37+SUM(BQ37:BR37)&lt;=$FM$3),DS37,AND(DS37&gt;0,DS37+SUM(BQ37:BR37)&gt;$FM$3),$FM$3-SUM(BQ37:BR37)),0),
IFERROR(_xlfn.IFS(AND(DS37&gt;0,DS37+BR37&lt;=$FK$3),DS37,AND(DS37&gt;0,DS37+BR37&gt;$FK$3),0),0)
)</f>
        <v>0</v>
      </c>
      <c r="FV37" s="152" cm="1">
        <f t="array" ref="FV37">IF($C37="Production",
IFERROR(_xlfn.IFS(AND(DT37&gt;0,DT37+SUM(BR37:BS37)&lt;=$FM$3),DT37,AND(DT37&gt;0,DT37+SUM(BR37:BS37)&gt;$FM$3),$FM$3-SUM(BR37:BS37)),0),
IFERROR(_xlfn.IFS(AND(DT37&gt;0,DT37+BS37&lt;=$FK$3),DT37,AND(DT37&gt;0,DT37+BS37&gt;$FK$3),0),0)
)</f>
        <v>0</v>
      </c>
      <c r="FW37" s="152" cm="1">
        <f t="array" ref="FW37">IF($C37="Production",
IFERROR(_xlfn.IFS(AND(DU37&gt;0,DU37+SUM(BS37:BT37)&lt;=$FM$3),DU37,AND(DU37&gt;0,DU37+SUM(BS37:BT37)&gt;$FM$3),$FM$3-SUM(BS37:BT37)),0),
IFERROR(_xlfn.IFS(AND(DU37&gt;0,DU37+BT37&lt;=$FK$3),DU37,AND(DU37&gt;0,DU37+BT37&gt;$FK$3),0),0)
)</f>
        <v>0</v>
      </c>
      <c r="FX37" s="152" cm="1">
        <f t="array" ref="FX37">IF($C37="Production",
IFERROR(_xlfn.IFS(AND(DV37&gt;0,DV37+SUM(BT37:BU37)&lt;=$FM$3),DV37,AND(DV37&gt;0,DV37+SUM(BT37:BU37)&gt;$FM$3),$FM$3-SUM(BT37:BU37)),0),
IFERROR(_xlfn.IFS(AND(DV37&gt;0,DV37+BU37&lt;=$FK$3),DV37,AND(DV37&gt;0,DV37+BU37&gt;$FK$3),0),0)
)</f>
        <v>0</v>
      </c>
      <c r="FY37" s="152" cm="1">
        <f t="array" ref="FY37">IF($C37="Production",
IFERROR(_xlfn.IFS(AND(DW37&gt;0,DW37+SUM(BU37:BV37)&lt;=$FM$3),DW37,AND(DW37&gt;0,DW37+SUM(BU37:BV37)&gt;$FM$3),$FM$3-SUM(BU37:BV37)),0),
IFERROR(_xlfn.IFS(AND(DW37&gt;0,DW37+BV37&lt;=$FK$3),DW37,AND(DW37&gt;0,DW37+BV37&gt;$FK$3),0),0)
)</f>
        <v>0</v>
      </c>
      <c r="FZ37" s="152" cm="1">
        <f t="array" ref="FZ37">IF($C37="Production",
IFERROR(_xlfn.IFS(AND(DX37&gt;0,DX37+SUM(BV37:BW37)&lt;=$FM$3),DX37,AND(DX37&gt;0,DX37+SUM(BV37:BW37)&gt;$FM$3),$FM$3-SUM(BV37:BW37)),0),
IFERROR(_xlfn.IFS(AND(DX37&gt;0,DX37+BW37&lt;=$FK$3),DX37,AND(DX37&gt;0,DX37+BW37&gt;$FK$3),0),0)
)</f>
        <v>0</v>
      </c>
      <c r="GA37" s="152" cm="1">
        <f t="array" ref="GA37">IF($C37="Production",
IFERROR(_xlfn.IFS(AND(DY37&gt;0,DY37+SUM(BW37:BX37)&lt;=$FM$3),DY37,AND(DY37&gt;0,DY37+SUM(BW37:BX37)&gt;$FM$3),$FM$3-SUM(BW37:BX37)),0),
IFERROR(_xlfn.IFS(AND(DY37&gt;0,DY37+BX37&lt;=$FK$3),DY37,AND(DY37&gt;0,DY37+BX37&gt;$FK$3),0),0)
)</f>
        <v>0</v>
      </c>
      <c r="GB37" s="152" cm="1">
        <f t="array" ref="GB37">IF($C37="Production",
IFERROR(_xlfn.IFS(AND(DZ37&gt;0,DZ37+SUM(BX37:BY37)&lt;=$FM$3),DZ37,AND(DZ37&gt;0,DZ37+SUM(BX37:BY37)&gt;$FM$3),$FM$3-SUM(BX37:BY37)),0),
IFERROR(_xlfn.IFS(AND(DZ37&gt;0,DZ37+BY37&lt;=$FK$3),DZ37,AND(DZ37&gt;0,DZ37+BY37&gt;$FK$3),0),0)
)</f>
        <v>0</v>
      </c>
      <c r="GC37" s="152" cm="1">
        <f t="array" ref="GC37">IF($C37="Production",
IFERROR(_xlfn.IFS(AND(EA37&gt;0,EA37+SUM(BY37:BZ37)&lt;=$FM$3),EA37,AND(EA37&gt;0,EA37+SUM(BY37:BZ37)&gt;$FM$3),$FM$3-SUM(BY37:BZ37)),0),
IFERROR(_xlfn.IFS(AND(EA37&gt;0,EA37+BZ37&lt;=$FK$3),EA37,AND(EA37&gt;0,EA37+BZ37&gt;$FK$3),0),0)
)</f>
        <v>0</v>
      </c>
      <c r="GD37" s="152" cm="1">
        <f t="array" ref="GD37">IF($C37="Production",
IFERROR(_xlfn.IFS(AND(EB37&gt;0,EB37+SUM(BZ37:CA37)&lt;=$FM$3),EB37,AND(EB37&gt;0,EB37+SUM(BZ37:CA37)&gt;$FM$3),$FM$3-SUM(BZ37:CA37)),0),
IFERROR(_xlfn.IFS(AND(EB37&gt;0,EB37+CA37&lt;=$FK$3),EB37,AND(EB37&gt;0,EB37+CA37&gt;$FK$3),0),0)
)</f>
        <v>0</v>
      </c>
      <c r="GE37" s="152" cm="1">
        <f t="array" ref="GE37">IF($C37="Production",
IFERROR(_xlfn.IFS(AND(EC37&gt;0,EC37+SUM(CA37:CB37)&lt;=$FM$3),EC37,AND(EC37&gt;0,EC37+SUM(CA37:CB37)&gt;$FM$3),$FM$3-SUM(CA37:CB37)),0),
IFERROR(_xlfn.IFS(AND(EC37&gt;0,EC37+CB37&lt;=$FK$3),EC37,AND(EC37&gt;0,EC37+CB37&gt;$FK$3),0),0)
)</f>
        <v>0</v>
      </c>
      <c r="GF37" s="152" cm="1">
        <f t="array" ref="GF37">IF($C37="Production",
IFERROR(_xlfn.IFS(AND(ED37&gt;0,ED37+SUM(CB37:CC37)&lt;=$FM$3),ED37,AND(ED37&gt;0,ED37+SUM(CB37:CC37)&gt;$FM$3),$FM$3-SUM(CB37:CC37)),0),
IFERROR(_xlfn.IFS(AND(ED37&gt;0,ED37+CC37&lt;=$FK$3),ED37,AND(ED37&gt;0,ED37+CC37&gt;$FK$3),0),0)
)</f>
        <v>0</v>
      </c>
      <c r="GG37" s="152" cm="1">
        <f t="array" ref="GG37">IF($C37="Production",
IFERROR(_xlfn.IFS(AND(EE37&gt;0,EE37+SUM(CC37:CD37)&lt;=$FM$3),EE37,AND(EE37&gt;0,EE37+SUM(CC37:CD37)&gt;$FM$3),$FM$3-SUM(CC37:CD37)),0),
IFERROR(_xlfn.IFS(AND(EE37&gt;0,EE37+CD37&lt;=$FK$3),EE37,AND(EE37&gt;0,EE37+CD37&gt;$FK$3),0),0)
)</f>
        <v>0</v>
      </c>
      <c r="GH37" s="152" cm="1">
        <f t="array" ref="GH37">IF($C37="Production",
IFERROR(_xlfn.IFS(AND(EF37&gt;0,EF37+SUM(CD37:CE37)&lt;=$FM$3),EF37,AND(EF37&gt;0,EF37+SUM(CD37:CE37)&gt;$FM$3),$FM$3-SUM(CD37:CE37)),0),
IFERROR(_xlfn.IFS(AND(EF37&gt;0,EF37+CE37&lt;=$FK$3),EF37,AND(EF37&gt;0,EF37+CE37&gt;$FK$3),0),0)
)</f>
        <v>0</v>
      </c>
      <c r="GI37" s="152" cm="1">
        <f t="array" ref="GI37">IF($C37="Production",
IFERROR(_xlfn.IFS(AND(EG37&gt;0,EG37+SUM(CE37:CF37)&lt;=$FM$3),EG37,AND(EG37&gt;0,EG37+SUM(CE37:CF37)&gt;$FM$3),$FM$3-SUM(CE37:CF37)),0),
IFERROR(_xlfn.IFS(AND(EG37&gt;0,EG37+CF37&lt;=$FK$3),EG37,AND(EG37&gt;0,EG37+CF37&gt;$FK$3),0),0)
)</f>
        <v>0</v>
      </c>
      <c r="GJ37" s="152" cm="1">
        <f t="array" ref="GJ37">IF($C37="Production",
IFERROR(_xlfn.IFS(AND(EH37&gt;0,EH37+SUM(CF37:CG37)&lt;=$FM$3),EH37,AND(EH37&gt;0,EH37+SUM(CF37:CG37)&gt;$FM$3),$FM$3-SUM(CF37:CG37)),0),
IFERROR(_xlfn.IFS(AND(EH37&gt;0,EH37+CG37&lt;=$FK$3),EH37,AND(EH37&gt;0,EH37+CG37&gt;$FK$3),0),0)
)</f>
        <v>0</v>
      </c>
      <c r="GK37" s="152" cm="1">
        <f t="array" ref="GK37">IF($C37="Production",
IFERROR(_xlfn.IFS(AND(EI37&gt;0,EI37+SUM(CG37:CH37)&lt;=$FM$3),EI37,AND(EI37&gt;0,EI37+SUM(CG37:CH37)&gt;$FM$3),$FM$3-SUM(CG37:CH37)),0),
IFERROR(_xlfn.IFS(AND(EI37&gt;0,EI37+CH37&lt;=$FK$3),EI37,AND(EI37&gt;0,EI37+CH37&gt;$FK$3),0),0)
)</f>
        <v>0</v>
      </c>
      <c r="GL37" s="152" cm="1">
        <f t="array" ref="GL37">IF($C37="Production",
IFERROR(_xlfn.IFS(AND(EJ37&gt;0,EJ37+SUM(CH37:CI37)&lt;=$FM$3),EJ37,AND(EJ37&gt;0,EJ37+SUM(CH37:CI37)&gt;$FM$3),$FM$3-SUM(CH37:CI37)),0),
IFERROR(_xlfn.IFS(AND(EJ37&gt;0,EJ37+CI37&lt;=$FK$3),EJ37,AND(EJ37&gt;0,EJ37+CI37&gt;$FK$3),0),0)
)</f>
        <v>0</v>
      </c>
      <c r="GM37" s="152" cm="1">
        <f t="array" ref="GM37">IF($C37="Production",
IFERROR(_xlfn.IFS(AND(EK37&gt;0,EK37+SUM(CI37:CJ37)&lt;=$FM$3),EK37,AND(EK37&gt;0,EK37+SUM(CI37:CJ37)&gt;$FM$3),$FM$3-SUM(CI37:CJ37)),0),
IFERROR(_xlfn.IFS(AND(EK37&gt;0,EK37+CJ37&lt;=$FK$3),EK37,AND(EK37&gt;0,EK37+CJ37&gt;$FK$3),0),0)
)</f>
        <v>0</v>
      </c>
      <c r="GN37" s="152" cm="1">
        <f t="array" ref="GN37">IF($C37="Production",
IFERROR(_xlfn.IFS(AND(EL37&gt;0,EL37+SUM(CJ37:CK37)&lt;=$FM$3),EL37,AND(EL37&gt;0,EL37+SUM(CJ37:CK37)&gt;$FM$3),$FM$3-SUM(CJ37:CK37)),0),
IFERROR(_xlfn.IFS(AND(EL37&gt;0,EL37+CK37&lt;=$FK$3),EL37,AND(EL37&gt;0,EL37+CK37&gt;$FK$3),0),0)
)</f>
        <v>0</v>
      </c>
      <c r="GO37" s="152" cm="1">
        <f t="array" ref="GO37">IF($C37="Production",
IFERROR(_xlfn.IFS(AND(EM37&gt;0,EM37+SUM(CK37:CL37)&lt;=$FM$3),EM37,AND(EM37&gt;0,EM37+SUM(CK37:CL37)&gt;$FM$3),$FM$3-SUM(CK37:CL37)),0),
IFERROR(_xlfn.IFS(AND(EM37&gt;0,EM37+CL37&lt;=$FK$3),EM37,AND(EM37&gt;0,EM37+CL37&gt;$FK$3),0),0)
)</f>
        <v>0</v>
      </c>
      <c r="GP37" s="152" cm="1">
        <f t="array" ref="GP37">IF($C37="Production",
IFERROR(_xlfn.IFS(AND(EN37&gt;0,EN37+SUM(CL37:CM37)&lt;=$FM$3),EN37,AND(EN37&gt;0,EN37+SUM(CL37:CM37)&gt;$FM$3),$FM$3-SUM(CL37:CM37)),0),
IFERROR(_xlfn.IFS(AND(EN37&gt;0,EN37+CM37&lt;=$FK$3),EN37,AND(EN37&gt;0,EN37+CM37&gt;$FK$3),0),0)
)</f>
        <v>0</v>
      </c>
      <c r="GQ37" s="152" cm="1">
        <f t="array" ref="GQ37">IF($C37="Production",
IFERROR(_xlfn.IFS(AND(EO37&gt;0,EO37+SUM(CM37:CN37)&lt;=$FM$3),EO37,AND(EO37&gt;0,EO37+SUM(CM37:CN37)&gt;$FM$3),$FM$3-SUM(CM37:CN37)),0),
IFERROR(_xlfn.IFS(AND(EO37&gt;0,EO37+CN37&lt;=$FK$3),EO37,AND(EO37&gt;0,EO37+CN37&gt;$FK$3),0),0)
)</f>
        <v>0</v>
      </c>
      <c r="GR37" s="152" cm="1">
        <f t="array" ref="GR37">IF($C37="Production",
IFERROR(_xlfn.IFS(AND(EP37&gt;0,EP37+SUM(CN37:CO37)&lt;=$FM$3),EP37,AND(EP37&gt;0,EP37+SUM(CN37:CO37)&gt;$FM$3),$FM$3-SUM(CN37:CO37)),0),
IFERROR(_xlfn.IFS(AND(EP37&gt;0,EP37+CO37&lt;=$FK$3),EP37,AND(EP37&gt;0,EP37+CO37&gt;$FK$3),0),0)
)</f>
        <v>0</v>
      </c>
      <c r="GS37" s="152" cm="1">
        <f t="array" ref="GS37">IF($C37="Production",
IFERROR(_xlfn.IFS(AND(EQ37&gt;0,EQ37+SUM(CO37:CP37)&lt;=$FM$3),EQ37,AND(EQ37&gt;0,EQ37+SUM(CO37:CP37)&gt;$FM$3),$FM$3-SUM(CO37:CP37)),0),
IFERROR(_xlfn.IFS(AND(EQ37&gt;0,EQ37+CP37&lt;=$FK$3),EQ37,AND(EQ37&gt;0,EQ37+CP37&gt;$FK$3),0),0)
)</f>
        <v>0</v>
      </c>
      <c r="GT37" s="152" cm="1">
        <f t="array" ref="GT37">IF($C37="Production",
IFERROR(_xlfn.IFS(AND(ER37&gt;0,ER37+SUM(CP37:CQ37)&lt;=$FM$3),ER37,AND(ER37&gt;0,ER37+SUM(CP37:CQ37)&gt;$FM$3),$FM$3-SUM(CP37:CQ37)),0),
IFERROR(_xlfn.IFS(AND(ER37&gt;0,ER37+CQ37&lt;=$FK$3),ER37,AND(ER37&gt;0,ER37+CQ37&gt;$FK$3),0),0)
)</f>
        <v>0</v>
      </c>
      <c r="GU37" s="152" cm="1">
        <f t="array" ref="GU37">IF($C37="Production",
IFERROR(_xlfn.IFS(AND(ES37&gt;0,ES37+SUM(CQ37:CR37)&lt;=$FM$3),ES37,AND(ES37&gt;0,ES37+SUM(CQ37:CR37)&gt;$FM$3),$FM$3-SUM(CQ37:CR37)),0),
IFERROR(_xlfn.IFS(AND(ES37&gt;0,ES37+CR37&lt;=$FK$3),ES37,AND(ES37&gt;0,ES37+CR37&gt;$FK$3),0),0)
)</f>
        <v>0</v>
      </c>
      <c r="GV37" s="152" cm="1">
        <f t="array" ref="GV37">IF($C37="Production",
IFERROR(_xlfn.IFS(AND(ET37&gt;0,ET37+SUM(CR37:CS37)&lt;=$FM$3),ET37,AND(ET37&gt;0,ET37+SUM(CR37:CS37)&gt;$FM$3),$FM$3-SUM(CR37:CS37)),0),
IFERROR(_xlfn.IFS(AND(ET37&gt;0,ET37+CS37&lt;=$FK$3),ET37,AND(ET37&gt;0,ET37+CS37&gt;$FK$3),0),0)
)</f>
        <v>0</v>
      </c>
      <c r="GW37" s="152" cm="1">
        <f t="array" ref="GW37">IF($C37="Production",
IFERROR(_xlfn.IFS(AND(EU37&gt;0,EU37+SUM(CS37:CT37)&lt;=$FM$3),EU37,AND(EU37&gt;0,EU37+SUM(CS37:CT37)&gt;$FM$3),$FM$3-SUM(CS37:CT37)),0),
IFERROR(_xlfn.IFS(AND(EU37&gt;0,EU37+CT37&lt;=$FK$3),EU37,AND(EU37&gt;0,EU37+CT37&gt;$FK$3),0),0)
)</f>
        <v>0</v>
      </c>
      <c r="GX37" s="152" cm="1">
        <f t="array" ref="GX37">IF($C37="Production",
IFERROR(_xlfn.IFS(AND(EV37&gt;0,EV37+SUM(CT37:CU37)&lt;=$FM$3),EV37,AND(EV37&gt;0,EV37+SUM(CT37:CU37)&gt;$FM$3),$FM$3-SUM(CT37:CU37)),0),
IFERROR(_xlfn.IFS(AND(EV37&gt;0,EV37+CU37&lt;=$FK$3),EV37,AND(EV37&gt;0,EV37+CU37&gt;$FK$3),0),0)
)</f>
        <v>0</v>
      </c>
      <c r="GY37" s="152" cm="1">
        <f t="array" ref="GY37">IF($C37="Production",
IFERROR(_xlfn.IFS(AND(EW37&gt;0,EW37+SUM(CU37:CV37)&lt;=$FM$3),EW37,AND(EW37&gt;0,EW37+SUM(CU37:CV37)&gt;$FM$3),$FM$3-SUM(CU37:CV37)),0),
IFERROR(_xlfn.IFS(AND(EW37&gt;0,EW37+CV37&lt;=$FK$3),EW37,AND(EW37&gt;0,EW37+CV37&gt;$FK$3),0),0)
)</f>
        <v>0</v>
      </c>
      <c r="GZ37" s="152" cm="1">
        <f t="array" ref="GZ37">IF($C37="Production",
IFERROR(_xlfn.IFS(AND(EX37&gt;0,EX37+SUM(CV37:CW37)&lt;=$FM$3),EX37,AND(EX37&gt;0,EX37+SUM(CV37:CW37)&gt;$FM$3),$FM$3-SUM(CV37:CW37)),0),
IFERROR(_xlfn.IFS(AND(EX37&gt;0,EX37+CW37&lt;=$FK$3),EX37,AND(EX37&gt;0,EX37+CW37&gt;$FK$3),0),0)
)</f>
        <v>0</v>
      </c>
      <c r="HA37" s="152" cm="1">
        <f t="array" ref="HA37">IF($C37="Production",
IFERROR(_xlfn.IFS(AND(EY37&gt;0,EY37+SUM(CW37:CX37)&lt;=$FM$3),EY37,AND(EY37&gt;0,EY37+SUM(CW37:CX37)&gt;$FM$3),$FM$3-SUM(CW37:CX37)),0),
IFERROR(_xlfn.IFS(AND(EY37&gt;0,EY37+CX37&lt;=$FK$3),EY37,AND(EY37&gt;0,EY37+CX37&gt;$FK$3),0),0)
)</f>
        <v>0</v>
      </c>
      <c r="HB37" s="152" cm="1">
        <f t="array" ref="HB37">IF($C37="Production",
IFERROR(_xlfn.IFS(AND(EZ37&gt;0,EZ37+SUM(CX37:CY37)&lt;=$FM$3),EZ37,AND(EZ37&gt;0,EZ37+SUM(CX37:CY37)&gt;$FM$3),$FM$3-SUM(CX37:CY37)),0),
IFERROR(_xlfn.IFS(AND(EZ37&gt;0,EZ37+CY37&lt;=$FK$3),EZ37,AND(EZ37&gt;0,EZ37+CY37&gt;$FK$3),0),0)
)</f>
        <v>0</v>
      </c>
      <c r="HC37" s="152" cm="1">
        <f t="array" ref="HC37">IF($C37="Production",
IFERROR(_xlfn.IFS(AND(FA37&gt;0,FA37+SUM(CY37:CZ37)&lt;=$FM$3),FA37,AND(FA37&gt;0,FA37+SUM(CY37:CZ37)&gt;$FM$3),$FM$3-SUM(CY37:CZ37)),0),
IFERROR(_xlfn.IFS(AND(FA37&gt;0,FA37+CZ37&lt;=$FK$3),FA37,AND(FA37&gt;0,FA37+CZ37&gt;$FK$3),0),0)
)</f>
        <v>0</v>
      </c>
      <c r="HD37" s="152" cm="1">
        <f t="array" ref="HD37">IF($C37="Production",
IFERROR(_xlfn.IFS(AND(FB37&gt;0,FB37+SUM(CZ37:DA37)&lt;=$FM$3),FB37,AND(FB37&gt;0,FB37+SUM(CZ37:DA37)&gt;$FM$3),$FM$3-SUM(CZ37:DA37)),0),
IFERROR(_xlfn.IFS(AND(FB37&gt;0,FB37+DA37&lt;=$FK$3),FB37,AND(FB37&gt;0,FB37+DA37&gt;$FK$3),0),0)
)</f>
        <v>0</v>
      </c>
      <c r="HE37" s="152" cm="1">
        <f t="array" ref="HE37">IF($C37="Production",
IFERROR(_xlfn.IFS(AND(FC37&gt;0,FC37+SUM(DA37:DB37)&lt;=$FM$3),FC37,AND(FC37&gt;0,FC37+SUM(DA37:DB37)&gt;$FM$3),$FM$3-SUM(DA37:DB37)),0),
IFERROR(_xlfn.IFS(AND(FC37&gt;0,FC37+DB37&lt;=$FK$3),FC37,AND(FC37&gt;0,FC37+DB37&gt;$FK$3),0),0)
)</f>
        <v>0</v>
      </c>
      <c r="HF37" s="152" cm="1">
        <f t="array" ref="HF37">IF($C37="Production",
IFERROR(_xlfn.IFS(AND(FD37&gt;0,FD37+SUM(DB37:DC37)&lt;=$FM$3),FD37,AND(FD37&gt;0,FD37+SUM(DB37:DC37)&gt;$FM$3),$FM$3-SUM(DB37:DC37)),0),
IFERROR(_xlfn.IFS(AND(FD37&gt;0,FD37+DC37&lt;=$FK$3),FD37,AND(FD37&gt;0,FD37+DC37&gt;$FK$3),0),0)
)</f>
        <v>0</v>
      </c>
      <c r="HG37" s="152" cm="1">
        <f t="array" ref="HG37">IF($C37="Production",
IFERROR(_xlfn.IFS(AND(FE37&gt;0,FE37+SUM(DC37:DD37)&lt;=$FM$3),FE37,AND(FE37&gt;0,FE37+SUM(DC37:DD37)&gt;$FM$3),$FM$3-SUM(DC37:DD37)),0),
IFERROR(_xlfn.IFS(AND(FE37&gt;0,FE37+DD37&lt;=$FK$3),FE37,AND(FE37&gt;0,FE37+DD37&gt;$FK$3),0),0)
)</f>
        <v>0</v>
      </c>
      <c r="HH37" s="152" cm="1">
        <f t="array" ref="HH37">IF($C37="Production",
IFERROR(_xlfn.IFS(AND(FF37&gt;0,FF37+SUM(DD37:DE37)&lt;=$FM$3),FF37,AND(FF37&gt;0,FF37+SUM(DD37:DE37)&gt;$FM$3),$FM$3-SUM(DD37:DE37)),0),
IFERROR(_xlfn.IFS(AND(FF37&gt;0,FF37+DE37&lt;=$FK$3),FF37,AND(FF37&gt;0,FF37+DE37&gt;$FK$3),0),0)
)</f>
        <v>0</v>
      </c>
      <c r="HI37" s="156" cm="1">
        <f t="array" ref="HI37">IF($C37="Production",
IFERROR(_xlfn.IFS(AND(FG37&gt;0,FG37+SUM(DE37:DF37)&lt;=$FM$3),FG37,AND(FG37&gt;0,FG37+SUM(DE37:DF37)&gt;$FM$3),$FM$3-SUM(DE37:DF37)),0),
IFERROR(_xlfn.IFS(AND(FG37&gt;0,FG37+DF37&lt;=$FK$3),FG37,AND(FG37&gt;0,FG37+DF37&gt;$FK$3),0),0)
)</f>
        <v>0</v>
      </c>
      <c r="HJ37" s="113">
        <f t="shared" si="110"/>
        <v>5</v>
      </c>
      <c r="HK37" s="80"/>
      <c r="HL37" s="112">
        <f t="shared" si="56"/>
        <v>0</v>
      </c>
      <c r="HM37" s="138">
        <f t="shared" si="57"/>
        <v>0</v>
      </c>
      <c r="HN37" s="138">
        <f t="shared" si="58"/>
        <v>0</v>
      </c>
      <c r="HO37" s="138">
        <f t="shared" si="59"/>
        <v>0</v>
      </c>
      <c r="HP37" s="138">
        <f t="shared" si="60"/>
        <v>0</v>
      </c>
      <c r="HQ37" s="138">
        <f t="shared" si="61"/>
        <v>0</v>
      </c>
      <c r="HR37" s="138">
        <f t="shared" si="62"/>
        <v>0</v>
      </c>
      <c r="HS37" s="138">
        <f t="shared" si="63"/>
        <v>0</v>
      </c>
      <c r="HT37" s="138">
        <f t="shared" si="64"/>
        <v>0</v>
      </c>
      <c r="HU37" s="138">
        <f t="shared" si="65"/>
        <v>0</v>
      </c>
      <c r="HV37" s="138">
        <f t="shared" si="66"/>
        <v>0</v>
      </c>
      <c r="HW37" s="138">
        <f t="shared" si="67"/>
        <v>0</v>
      </c>
      <c r="HX37" s="138">
        <f t="shared" si="68"/>
        <v>0</v>
      </c>
      <c r="HY37" s="138">
        <f t="shared" si="69"/>
        <v>0</v>
      </c>
      <c r="HZ37" s="138">
        <f t="shared" si="70"/>
        <v>0</v>
      </c>
      <c r="IA37" s="138">
        <f t="shared" si="71"/>
        <v>0</v>
      </c>
      <c r="IB37" s="138">
        <f t="shared" si="72"/>
        <v>0</v>
      </c>
      <c r="IC37" s="138">
        <f t="shared" si="73"/>
        <v>0</v>
      </c>
      <c r="ID37" s="138">
        <f t="shared" si="74"/>
        <v>0</v>
      </c>
      <c r="IE37" s="138">
        <f t="shared" si="75"/>
        <v>0</v>
      </c>
      <c r="IF37" s="138">
        <f t="shared" si="76"/>
        <v>0</v>
      </c>
      <c r="IG37" s="138">
        <f t="shared" si="77"/>
        <v>0</v>
      </c>
      <c r="IH37" s="138">
        <f t="shared" si="78"/>
        <v>0</v>
      </c>
      <c r="II37" s="138">
        <f t="shared" si="79"/>
        <v>0</v>
      </c>
      <c r="IJ37" s="138">
        <f t="shared" si="80"/>
        <v>0</v>
      </c>
      <c r="IK37" s="138">
        <f t="shared" si="81"/>
        <v>0</v>
      </c>
      <c r="IL37" s="138">
        <f t="shared" si="82"/>
        <v>0</v>
      </c>
      <c r="IM37" s="138">
        <f t="shared" si="83"/>
        <v>0</v>
      </c>
      <c r="IN37" s="138">
        <f t="shared" si="84"/>
        <v>0</v>
      </c>
      <c r="IO37" s="138">
        <f t="shared" si="85"/>
        <v>0</v>
      </c>
      <c r="IP37" s="138">
        <f t="shared" si="86"/>
        <v>0</v>
      </c>
      <c r="IQ37" s="138">
        <f t="shared" si="87"/>
        <v>0</v>
      </c>
      <c r="IR37" s="138">
        <f t="shared" si="88"/>
        <v>0</v>
      </c>
      <c r="IS37" s="138">
        <f t="shared" si="89"/>
        <v>0</v>
      </c>
      <c r="IT37" s="138">
        <f t="shared" si="90"/>
        <v>0</v>
      </c>
      <c r="IU37" s="138">
        <f t="shared" si="91"/>
        <v>0</v>
      </c>
      <c r="IV37" s="138">
        <f t="shared" si="92"/>
        <v>0</v>
      </c>
      <c r="IW37" s="138">
        <f t="shared" si="93"/>
        <v>0</v>
      </c>
      <c r="IX37" s="138">
        <f t="shared" si="94"/>
        <v>0</v>
      </c>
      <c r="IY37" s="138">
        <f t="shared" si="95"/>
        <v>0</v>
      </c>
      <c r="IZ37" s="138">
        <f t="shared" si="96"/>
        <v>0</v>
      </c>
      <c r="JA37" s="138">
        <f t="shared" si="97"/>
        <v>0</v>
      </c>
      <c r="JB37" s="138">
        <f t="shared" si="98"/>
        <v>0</v>
      </c>
      <c r="JC37" s="138">
        <f t="shared" si="99"/>
        <v>0</v>
      </c>
      <c r="JD37" s="138">
        <f t="shared" si="100"/>
        <v>0</v>
      </c>
      <c r="JE37" s="138">
        <f t="shared" si="101"/>
        <v>0</v>
      </c>
      <c r="JF37" s="138">
        <f t="shared" si="102"/>
        <v>0</v>
      </c>
      <c r="JG37" s="138">
        <f t="shared" si="103"/>
        <v>0</v>
      </c>
      <c r="JH37" s="138">
        <f t="shared" si="104"/>
        <v>0</v>
      </c>
      <c r="JI37" s="138">
        <f t="shared" si="105"/>
        <v>0</v>
      </c>
      <c r="JJ37" s="138">
        <f t="shared" si="106"/>
        <v>0</v>
      </c>
      <c r="JK37" s="138">
        <f t="shared" si="107"/>
        <v>0</v>
      </c>
      <c r="JL37" s="118">
        <f t="shared" si="111"/>
        <v>0</v>
      </c>
      <c r="JO37" s="90">
        <f t="shared" si="112"/>
        <v>5</v>
      </c>
      <c r="JP37" s="79">
        <f t="shared" si="108"/>
        <v>0</v>
      </c>
      <c r="JQ37" s="91">
        <f t="shared" si="2"/>
        <v>6.25</v>
      </c>
      <c r="JS37" s="123">
        <f t="shared" si="109"/>
        <v>0</v>
      </c>
      <c r="JU37" s="123">
        <f t="shared" si="113"/>
        <v>6.25</v>
      </c>
    </row>
    <row r="38" spans="2:281" x14ac:dyDescent="0.15">
      <c r="B38" s="82" t="str">
        <f>'MODU 2025'!B41</f>
        <v>REVERDY Mattéo</v>
      </c>
      <c r="C38" s="82" t="str">
        <f>'MODU 2025'!C41</f>
        <v>Production</v>
      </c>
      <c r="D38" s="82">
        <f>'MODU 2025'!D41</f>
        <v>37</v>
      </c>
      <c r="E38" s="82"/>
      <c r="F38" s="133">
        <f>'MODU 2025'!G41</f>
        <v>39</v>
      </c>
      <c r="G38" s="140">
        <f>'MODU 2025'!H41</f>
        <v>39</v>
      </c>
      <c r="H38" s="140">
        <f>'MODU 2025'!I41</f>
        <v>39</v>
      </c>
      <c r="I38" s="140">
        <f>'MODU 2025'!J41</f>
        <v>39</v>
      </c>
      <c r="J38" s="140">
        <f>'MODU 2025'!K41</f>
        <v>39</v>
      </c>
      <c r="K38" s="140">
        <f>'MODU 2025'!L41</f>
        <v>39</v>
      </c>
      <c r="L38" s="140">
        <f>'MODU 2025'!M41</f>
        <v>37</v>
      </c>
      <c r="M38" s="140">
        <f>'MODU 2025'!N41</f>
        <v>41</v>
      </c>
      <c r="N38" s="140">
        <f>'MODU 2025'!O41</f>
        <v>39.25</v>
      </c>
      <c r="O38" s="140">
        <f>'MODU 2025'!P41</f>
        <v>25.5</v>
      </c>
      <c r="P38" s="140">
        <f>'MODU 2025'!Q41</f>
        <v>41</v>
      </c>
      <c r="Q38" s="140">
        <f>'MODU 2025'!R41</f>
        <v>33</v>
      </c>
      <c r="R38" s="140">
        <f>'MODU 2025'!S41</f>
        <v>41</v>
      </c>
      <c r="S38" s="140">
        <f>'MODU 2025'!T41</f>
        <v>33</v>
      </c>
      <c r="T38" s="140">
        <f>'MODU 2025'!U41</f>
        <v>41</v>
      </c>
      <c r="U38" s="140">
        <f>'MODU 2025'!V41</f>
        <v>33</v>
      </c>
      <c r="V38" s="140">
        <f>'MODU 2025'!W41</f>
        <v>41</v>
      </c>
      <c r="W38" s="140">
        <f>'MODU 2025'!X41</f>
        <v>33</v>
      </c>
      <c r="X38" s="140">
        <f>'MODU 2025'!Y41</f>
        <v>41</v>
      </c>
      <c r="Y38" s="140">
        <f>'MODU 2025'!Z41</f>
        <v>33</v>
      </c>
      <c r="Z38" s="140">
        <f>'MODU 2025'!AA41</f>
        <v>41</v>
      </c>
      <c r="AA38" s="140">
        <f>'MODU 2025'!AB41</f>
        <v>33</v>
      </c>
      <c r="AB38" s="140">
        <f>'MODU 2025'!AC41</f>
        <v>41</v>
      </c>
      <c r="AC38" s="140">
        <f>'MODU 2025'!AD41</f>
        <v>33</v>
      </c>
      <c r="AD38" s="140">
        <f>'MODU 2025'!AE41</f>
        <v>41</v>
      </c>
      <c r="AE38" s="140">
        <f>'MODU 2025'!AF41</f>
        <v>33</v>
      </c>
      <c r="AF38" s="140">
        <f>'MODU 2025'!AG41</f>
        <v>41</v>
      </c>
      <c r="AG38" s="140">
        <f>'MODU 2025'!AH41</f>
        <v>33</v>
      </c>
      <c r="AH38" s="140">
        <f>'MODU 2025'!AI41</f>
        <v>41</v>
      </c>
      <c r="AI38" s="140">
        <f>'MODU 2025'!AJ41</f>
        <v>33</v>
      </c>
      <c r="AJ38" s="140">
        <f>'MODU 2025'!AK41</f>
        <v>41</v>
      </c>
      <c r="AK38" s="140">
        <f>'MODU 2025'!AL41</f>
        <v>33</v>
      </c>
      <c r="AL38" s="140">
        <f>'MODU 2025'!AM41</f>
        <v>41</v>
      </c>
      <c r="AM38" s="140">
        <f>'MODU 2025'!AN41</f>
        <v>33</v>
      </c>
      <c r="AN38" s="140">
        <f>'MODU 2025'!AO41</f>
        <v>41</v>
      </c>
      <c r="AO38" s="140">
        <f>'MODU 2025'!AP41</f>
        <v>33</v>
      </c>
      <c r="AP38" s="140">
        <f>'MODU 2025'!AQ41</f>
        <v>41</v>
      </c>
      <c r="AQ38" s="140">
        <f>'MODU 2025'!AR41</f>
        <v>33</v>
      </c>
      <c r="AR38" s="140">
        <f>'MODU 2025'!AS41</f>
        <v>41</v>
      </c>
      <c r="AS38" s="140">
        <f>'MODU 2025'!AT41</f>
        <v>33</v>
      </c>
      <c r="AT38" s="140">
        <f>'MODU 2025'!AU41</f>
        <v>41</v>
      </c>
      <c r="AU38" s="140">
        <f>'MODU 2025'!AV41</f>
        <v>33</v>
      </c>
      <c r="AV38" s="140">
        <f>'MODU 2025'!AW41</f>
        <v>41</v>
      </c>
      <c r="AW38" s="140">
        <f>'MODU 2025'!AX41</f>
        <v>33</v>
      </c>
      <c r="AX38" s="140">
        <f>'MODU 2025'!AY41</f>
        <v>41</v>
      </c>
      <c r="AY38" s="140">
        <f>'MODU 2025'!AZ41</f>
        <v>33</v>
      </c>
      <c r="AZ38" s="140">
        <f>'MODU 2025'!BA41</f>
        <v>41</v>
      </c>
      <c r="BA38" s="140">
        <f>'MODU 2025'!BB41</f>
        <v>33</v>
      </c>
      <c r="BB38" s="140">
        <f>'MODU 2025'!BC41</f>
        <v>41</v>
      </c>
      <c r="BC38" s="140">
        <f>'MODU 2025'!BD41</f>
        <v>33</v>
      </c>
      <c r="BD38" s="140">
        <f>'MODU 2025'!BE41</f>
        <v>41</v>
      </c>
      <c r="BE38" s="134">
        <f>'MODU 2025'!BF41</f>
        <v>33</v>
      </c>
      <c r="BF38" s="82"/>
      <c r="BG38" s="107">
        <v>33</v>
      </c>
      <c r="BH38" s="145">
        <v>41</v>
      </c>
      <c r="BI38" s="145">
        <v>33</v>
      </c>
      <c r="BJ38" s="145">
        <v>41</v>
      </c>
      <c r="BK38" s="145">
        <v>33</v>
      </c>
      <c r="BL38" s="145">
        <v>41</v>
      </c>
      <c r="BM38" s="145">
        <v>33</v>
      </c>
      <c r="BN38" s="145">
        <v>41</v>
      </c>
      <c r="BO38" s="145">
        <v>33</v>
      </c>
      <c r="BP38" s="145">
        <v>41</v>
      </c>
      <c r="BQ38" s="145">
        <v>33</v>
      </c>
      <c r="BR38" s="145">
        <v>41</v>
      </c>
      <c r="BS38" s="145">
        <v>33</v>
      </c>
      <c r="BT38" s="145">
        <v>41</v>
      </c>
      <c r="BU38" s="145">
        <v>33</v>
      </c>
      <c r="BV38" s="145">
        <v>41</v>
      </c>
      <c r="BW38" s="145">
        <v>33</v>
      </c>
      <c r="BX38" s="145">
        <v>41</v>
      </c>
      <c r="BY38" s="145">
        <v>33</v>
      </c>
      <c r="BZ38" s="145">
        <v>41</v>
      </c>
      <c r="CA38" s="145">
        <v>33</v>
      </c>
      <c r="CB38" s="145">
        <v>41</v>
      </c>
      <c r="CC38" s="145">
        <v>33</v>
      </c>
      <c r="CD38" s="145">
        <v>41</v>
      </c>
      <c r="CE38" s="145">
        <v>33</v>
      </c>
      <c r="CF38" s="145">
        <v>41</v>
      </c>
      <c r="CG38" s="145">
        <v>33</v>
      </c>
      <c r="CH38" s="145">
        <v>41</v>
      </c>
      <c r="CI38" s="145">
        <v>33</v>
      </c>
      <c r="CJ38" s="145">
        <v>41</v>
      </c>
      <c r="CK38" s="145">
        <v>33</v>
      </c>
      <c r="CL38" s="145">
        <v>41</v>
      </c>
      <c r="CM38" s="145">
        <v>33</v>
      </c>
      <c r="CN38" s="145">
        <v>41</v>
      </c>
      <c r="CO38" s="145">
        <v>33</v>
      </c>
      <c r="CP38" s="145">
        <v>41</v>
      </c>
      <c r="CQ38" s="145">
        <v>33</v>
      </c>
      <c r="CR38" s="145">
        <v>41</v>
      </c>
      <c r="CS38" s="145">
        <v>33</v>
      </c>
      <c r="CT38" s="145">
        <v>41</v>
      </c>
      <c r="CU38" s="145">
        <v>33</v>
      </c>
      <c r="CV38" s="145">
        <v>41</v>
      </c>
      <c r="CW38" s="145">
        <v>33</v>
      </c>
      <c r="CX38" s="145">
        <v>41</v>
      </c>
      <c r="CY38" s="145">
        <v>33</v>
      </c>
      <c r="CZ38" s="145">
        <v>41</v>
      </c>
      <c r="DA38" s="145">
        <v>33</v>
      </c>
      <c r="DB38" s="145">
        <v>41</v>
      </c>
      <c r="DC38" s="145">
        <v>33</v>
      </c>
      <c r="DD38" s="145">
        <v>41</v>
      </c>
      <c r="DE38" s="145">
        <v>33</v>
      </c>
      <c r="DF38" s="108">
        <v>41</v>
      </c>
      <c r="DG38" s="84"/>
      <c r="DH38" s="112">
        <f t="shared" si="3"/>
        <v>0</v>
      </c>
      <c r="DI38" s="138">
        <f t="shared" si="4"/>
        <v>4</v>
      </c>
      <c r="DJ38" s="138">
        <f t="shared" si="5"/>
        <v>0</v>
      </c>
      <c r="DK38" s="138">
        <f t="shared" si="6"/>
        <v>4</v>
      </c>
      <c r="DL38" s="138">
        <f t="shared" si="7"/>
        <v>0</v>
      </c>
      <c r="DM38" s="138">
        <f t="shared" si="8"/>
        <v>4</v>
      </c>
      <c r="DN38" s="138">
        <f t="shared" si="9"/>
        <v>0</v>
      </c>
      <c r="DO38" s="138">
        <f t="shared" si="10"/>
        <v>4</v>
      </c>
      <c r="DP38" s="138">
        <f t="shared" si="11"/>
        <v>0</v>
      </c>
      <c r="DQ38" s="138">
        <f t="shared" si="12"/>
        <v>-9.25</v>
      </c>
      <c r="DR38" s="138">
        <f t="shared" si="13"/>
        <v>0</v>
      </c>
      <c r="DS38" s="138">
        <f t="shared" si="14"/>
        <v>0</v>
      </c>
      <c r="DT38" s="138">
        <f t="shared" si="15"/>
        <v>0</v>
      </c>
      <c r="DU38" s="138">
        <f t="shared" si="16"/>
        <v>0</v>
      </c>
      <c r="DV38" s="138">
        <f t="shared" si="17"/>
        <v>0</v>
      </c>
      <c r="DW38" s="138">
        <f t="shared" si="18"/>
        <v>0</v>
      </c>
      <c r="DX38" s="138">
        <f t="shared" si="19"/>
        <v>0</v>
      </c>
      <c r="DY38" s="138">
        <f t="shared" si="20"/>
        <v>0</v>
      </c>
      <c r="DZ38" s="138">
        <f t="shared" si="21"/>
        <v>0</v>
      </c>
      <c r="EA38" s="138">
        <f t="shared" si="22"/>
        <v>0</v>
      </c>
      <c r="EB38" s="138">
        <f t="shared" si="23"/>
        <v>0</v>
      </c>
      <c r="EC38" s="138">
        <f t="shared" si="24"/>
        <v>0</v>
      </c>
      <c r="ED38" s="138">
        <f t="shared" si="25"/>
        <v>0</v>
      </c>
      <c r="EE38" s="138">
        <f t="shared" si="26"/>
        <v>0</v>
      </c>
      <c r="EF38" s="138">
        <f t="shared" si="27"/>
        <v>0</v>
      </c>
      <c r="EG38" s="138">
        <f t="shared" si="28"/>
        <v>0</v>
      </c>
      <c r="EH38" s="138">
        <f t="shared" si="29"/>
        <v>0</v>
      </c>
      <c r="EI38" s="138">
        <f t="shared" si="30"/>
        <v>0</v>
      </c>
      <c r="EJ38" s="138">
        <f t="shared" si="31"/>
        <v>0</v>
      </c>
      <c r="EK38" s="138">
        <f t="shared" si="32"/>
        <v>0</v>
      </c>
      <c r="EL38" s="138">
        <f t="shared" si="33"/>
        <v>0</v>
      </c>
      <c r="EM38" s="138">
        <f t="shared" si="34"/>
        <v>0</v>
      </c>
      <c r="EN38" s="138">
        <f t="shared" si="35"/>
        <v>0</v>
      </c>
      <c r="EO38" s="138">
        <f t="shared" si="36"/>
        <v>0</v>
      </c>
      <c r="EP38" s="138">
        <f t="shared" si="37"/>
        <v>0</v>
      </c>
      <c r="EQ38" s="138">
        <f t="shared" si="38"/>
        <v>0</v>
      </c>
      <c r="ER38" s="138">
        <f t="shared" si="39"/>
        <v>0</v>
      </c>
      <c r="ES38" s="138">
        <f t="shared" si="40"/>
        <v>0</v>
      </c>
      <c r="ET38" s="138">
        <f t="shared" si="41"/>
        <v>0</v>
      </c>
      <c r="EU38" s="138">
        <f t="shared" si="42"/>
        <v>0</v>
      </c>
      <c r="EV38" s="138">
        <f t="shared" si="43"/>
        <v>0</v>
      </c>
      <c r="EW38" s="138">
        <f t="shared" si="44"/>
        <v>0</v>
      </c>
      <c r="EX38" s="138">
        <f t="shared" si="45"/>
        <v>0</v>
      </c>
      <c r="EY38" s="138">
        <f t="shared" si="46"/>
        <v>0</v>
      </c>
      <c r="EZ38" s="138">
        <f t="shared" si="47"/>
        <v>0</v>
      </c>
      <c r="FA38" s="138">
        <f t="shared" si="48"/>
        <v>0</v>
      </c>
      <c r="FB38" s="138">
        <f t="shared" si="49"/>
        <v>0</v>
      </c>
      <c r="FC38" s="138">
        <f t="shared" si="50"/>
        <v>0</v>
      </c>
      <c r="FD38" s="138">
        <f t="shared" si="51"/>
        <v>0</v>
      </c>
      <c r="FE38" s="138">
        <f t="shared" si="52"/>
        <v>0</v>
      </c>
      <c r="FF38" s="138">
        <f t="shared" si="53"/>
        <v>0</v>
      </c>
      <c r="FG38" s="113">
        <f t="shared" si="54"/>
        <v>0</v>
      </c>
      <c r="FH38" s="113">
        <f t="shared" si="55"/>
        <v>6.75</v>
      </c>
      <c r="FI38" s="35"/>
      <c r="FJ38" s="151" cm="1">
        <f t="array" ref="FJ38">IF($C38="Production",
IFERROR(_xlfn.IFS(AND(DH38&gt;0,DH38+SUM(BF38:BG38)&lt;=$FM$3),DH38,AND(DH38&gt;0,DH38+SUM(BF38:BG38)&gt;$FM$3),$FM$3-SUM(BF38:BG38)),0),
IFERROR(_xlfn.IFS(AND(DH38&gt;0,DH38+BG38&lt;=$FK$3),DH38,AND(DH38&gt;0,DH38+BG38&gt;$FK$3),0),0)
)</f>
        <v>0</v>
      </c>
      <c r="FK38" s="152" cm="1">
        <f t="array" ref="FK38">IF($C38="Production",
IFERROR(_xlfn.IFS(AND(DI38&gt;0,DI38+SUM(BG38:BH38)&lt;=$FM$3),DI38,AND(DI38&gt;0,DI38+SUM(BG38:BH38)&gt;$FM$3),$FM$3-SUM(BG38:BH38)),0),
IFERROR(_xlfn.IFS(AND(DI38&gt;0,DI38+BH38&lt;=$FK$3),DI38,AND(DI38&gt;0,DI38+BH38&gt;$FK$3),0),0)
)</f>
        <v>4</v>
      </c>
      <c r="FL38" s="152" cm="1">
        <f t="array" ref="FL38">IF($C38="Production",
IFERROR(_xlfn.IFS(AND(DJ38&gt;0,DJ38+SUM(BH38:BI38)&lt;=$FM$3),DJ38,AND(DJ38&gt;0,DJ38+SUM(BH38:BI38)&gt;$FM$3),$FM$3-SUM(BH38:BI38)),0),
IFERROR(_xlfn.IFS(AND(DJ38&gt;0,DJ38+BI38&lt;=$FK$3),DJ38,AND(DJ38&gt;0,DJ38+BI38&gt;$FK$3),0),0)
)</f>
        <v>0</v>
      </c>
      <c r="FM38" s="152" cm="1">
        <f t="array" ref="FM38">IF($C38="Production",
IFERROR(_xlfn.IFS(AND(DK38&gt;0,DK38+SUM(BI38:BJ38)&lt;=$FM$3),DK38,AND(DK38&gt;0,DK38+SUM(BI38:BJ38)&gt;$FM$3),$FM$3-SUM(BI38:BJ38)),0),
IFERROR(_xlfn.IFS(AND(DK38&gt;0,DK38+BJ38&lt;=$FK$3),DK38,AND(DK38&gt;0,DK38+BJ38&gt;$FK$3),0),0)
)</f>
        <v>4</v>
      </c>
      <c r="FN38" s="152" cm="1">
        <f t="array" ref="FN38">IF($C38="Production",
IFERROR(_xlfn.IFS(AND(DL38&gt;0,DL38+SUM(BJ38:BK38)&lt;=$FM$3),DL38,AND(DL38&gt;0,DL38+SUM(BJ38:BK38)&gt;$FM$3),$FM$3-SUM(BJ38:BK38)),0),
IFERROR(_xlfn.IFS(AND(DL38&gt;0,DL38+BK38&lt;=$FK$3),DL38,AND(DL38&gt;0,DL38+BK38&gt;$FK$3),0),0)
)</f>
        <v>0</v>
      </c>
      <c r="FO38" s="152" cm="1">
        <f t="array" ref="FO38">IF($C38="Production",
IFERROR(_xlfn.IFS(AND(DM38&gt;0,DM38+SUM(BK38:BL38)&lt;=$FM$3),DM38,AND(DM38&gt;0,DM38+SUM(BK38:BL38)&gt;$FM$3),$FM$3-SUM(BK38:BL38)),0),
IFERROR(_xlfn.IFS(AND(DM38&gt;0,DM38+BL38&lt;=$FK$3),DM38,AND(DM38&gt;0,DM38+BL38&gt;$FK$3),0),0)
)</f>
        <v>4</v>
      </c>
      <c r="FP38" s="152" cm="1">
        <f t="array" ref="FP38">IF($C38="Production",
IFERROR(_xlfn.IFS(AND(DN38&gt;0,DN38+SUM(BL38:BM38)&lt;=$FM$3),DN38,AND(DN38&gt;0,DN38+SUM(BL38:BM38)&gt;$FM$3),$FM$3-SUM(BL38:BM38)),0),
IFERROR(_xlfn.IFS(AND(DN38&gt;0,DN38+BM38&lt;=$FK$3),DN38,AND(DN38&gt;0,DN38+BM38&gt;$FK$3),0),0)
)</f>
        <v>0</v>
      </c>
      <c r="FQ38" s="152" cm="1">
        <f t="array" ref="FQ38">IF($C38="Production",
IFERROR(_xlfn.IFS(AND(DO38&gt;0,DO38+SUM(BM38:BN38)&lt;=$FM$3),DO38,AND(DO38&gt;0,DO38+SUM(BM38:BN38)&gt;$FM$3),$FM$3-SUM(BM38:BN38)),0),
IFERROR(_xlfn.IFS(AND(DO38&gt;0,DO38+BN38&lt;=$FK$3),DO38,AND(DO38&gt;0,DO38+BN38&gt;$FK$3),0),0)
)</f>
        <v>4</v>
      </c>
      <c r="FR38" s="152" cm="1">
        <f t="array" ref="FR38">IF($C38="Production",
IFERROR(_xlfn.IFS(AND(DP38&gt;0,DP38+SUM(BN38:BO38)&lt;=$FM$3),DP38,AND(DP38&gt;0,DP38+SUM(BN38:BO38)&gt;$FM$3),$FM$3-SUM(BN38:BO38)),0),
IFERROR(_xlfn.IFS(AND(DP38&gt;0,DP38+BO38&lt;=$FK$3),DP38,AND(DP38&gt;0,DP38+BO38&gt;$FK$3),0),0)
)</f>
        <v>0</v>
      </c>
      <c r="FS38" s="152" cm="1">
        <f t="array" ref="FS38">IF($C38="Production",
IFERROR(_xlfn.IFS(AND(DQ38&gt;0,DQ38+SUM(BO38:BP38)&lt;=$FM$3),DQ38,AND(DQ38&gt;0,DQ38+SUM(BO38:BP38)&gt;$FM$3),$FM$3-SUM(BO38:BP38)),0),
IFERROR(_xlfn.IFS(AND(DQ38&gt;0,DQ38+BP38&lt;=$FK$3),DQ38,AND(DQ38&gt;0,DQ38+BP38&gt;$FK$3),0),0)
)</f>
        <v>0</v>
      </c>
      <c r="FT38" s="152" cm="1">
        <f t="array" ref="FT38">IF($C38="Production",
IFERROR(_xlfn.IFS(AND(DR38&gt;0,DR38+SUM(BP38:BQ38)&lt;=$FM$3),DR38,AND(DR38&gt;0,DR38+SUM(BP38:BQ38)&gt;$FM$3),$FM$3-SUM(BP38:BQ38)),0),
IFERROR(_xlfn.IFS(AND(DR38&gt;0,DR38+BQ38&lt;=$FK$3),DR38,AND(DR38&gt;0,DR38+BQ38&gt;$FK$3),0),0)
)</f>
        <v>0</v>
      </c>
      <c r="FU38" s="152" cm="1">
        <f t="array" ref="FU38">IF($C38="Production",
IFERROR(_xlfn.IFS(AND(DS38&gt;0,DS38+SUM(BQ38:BR38)&lt;=$FM$3),DS38,AND(DS38&gt;0,DS38+SUM(BQ38:BR38)&gt;$FM$3),$FM$3-SUM(BQ38:BR38)),0),
IFERROR(_xlfn.IFS(AND(DS38&gt;0,DS38+BR38&lt;=$FK$3),DS38,AND(DS38&gt;0,DS38+BR38&gt;$FK$3),0),0)
)</f>
        <v>0</v>
      </c>
      <c r="FV38" s="152" cm="1">
        <f t="array" ref="FV38">IF($C38="Production",
IFERROR(_xlfn.IFS(AND(DT38&gt;0,DT38+SUM(BR38:BS38)&lt;=$FM$3),DT38,AND(DT38&gt;0,DT38+SUM(BR38:BS38)&gt;$FM$3),$FM$3-SUM(BR38:BS38)),0),
IFERROR(_xlfn.IFS(AND(DT38&gt;0,DT38+BS38&lt;=$FK$3),DT38,AND(DT38&gt;0,DT38+BS38&gt;$FK$3),0),0)
)</f>
        <v>0</v>
      </c>
      <c r="FW38" s="152" cm="1">
        <f t="array" ref="FW38">IF($C38="Production",
IFERROR(_xlfn.IFS(AND(DU38&gt;0,DU38+SUM(BS38:BT38)&lt;=$FM$3),DU38,AND(DU38&gt;0,DU38+SUM(BS38:BT38)&gt;$FM$3),$FM$3-SUM(BS38:BT38)),0),
IFERROR(_xlfn.IFS(AND(DU38&gt;0,DU38+BT38&lt;=$FK$3),DU38,AND(DU38&gt;0,DU38+BT38&gt;$FK$3),0),0)
)</f>
        <v>0</v>
      </c>
      <c r="FX38" s="152" cm="1">
        <f t="array" ref="FX38">IF($C38="Production",
IFERROR(_xlfn.IFS(AND(DV38&gt;0,DV38+SUM(BT38:BU38)&lt;=$FM$3),DV38,AND(DV38&gt;0,DV38+SUM(BT38:BU38)&gt;$FM$3),$FM$3-SUM(BT38:BU38)),0),
IFERROR(_xlfn.IFS(AND(DV38&gt;0,DV38+BU38&lt;=$FK$3),DV38,AND(DV38&gt;0,DV38+BU38&gt;$FK$3),0),0)
)</f>
        <v>0</v>
      </c>
      <c r="FY38" s="152" cm="1">
        <f t="array" ref="FY38">IF($C38="Production",
IFERROR(_xlfn.IFS(AND(DW38&gt;0,DW38+SUM(BU38:BV38)&lt;=$FM$3),DW38,AND(DW38&gt;0,DW38+SUM(BU38:BV38)&gt;$FM$3),$FM$3-SUM(BU38:BV38)),0),
IFERROR(_xlfn.IFS(AND(DW38&gt;0,DW38+BV38&lt;=$FK$3),DW38,AND(DW38&gt;0,DW38+BV38&gt;$FK$3),0),0)
)</f>
        <v>0</v>
      </c>
      <c r="FZ38" s="152" cm="1">
        <f t="array" ref="FZ38">IF($C38="Production",
IFERROR(_xlfn.IFS(AND(DX38&gt;0,DX38+SUM(BV38:BW38)&lt;=$FM$3),DX38,AND(DX38&gt;0,DX38+SUM(BV38:BW38)&gt;$FM$3),$FM$3-SUM(BV38:BW38)),0),
IFERROR(_xlfn.IFS(AND(DX38&gt;0,DX38+BW38&lt;=$FK$3),DX38,AND(DX38&gt;0,DX38+BW38&gt;$FK$3),0),0)
)</f>
        <v>0</v>
      </c>
      <c r="GA38" s="152" cm="1">
        <f t="array" ref="GA38">IF($C38="Production",
IFERROR(_xlfn.IFS(AND(DY38&gt;0,DY38+SUM(BW38:BX38)&lt;=$FM$3),DY38,AND(DY38&gt;0,DY38+SUM(BW38:BX38)&gt;$FM$3),$FM$3-SUM(BW38:BX38)),0),
IFERROR(_xlfn.IFS(AND(DY38&gt;0,DY38+BX38&lt;=$FK$3),DY38,AND(DY38&gt;0,DY38+BX38&gt;$FK$3),0),0)
)</f>
        <v>0</v>
      </c>
      <c r="GB38" s="152" cm="1">
        <f t="array" ref="GB38">IF($C38="Production",
IFERROR(_xlfn.IFS(AND(DZ38&gt;0,DZ38+SUM(BX38:BY38)&lt;=$FM$3),DZ38,AND(DZ38&gt;0,DZ38+SUM(BX38:BY38)&gt;$FM$3),$FM$3-SUM(BX38:BY38)),0),
IFERROR(_xlfn.IFS(AND(DZ38&gt;0,DZ38+BY38&lt;=$FK$3),DZ38,AND(DZ38&gt;0,DZ38+BY38&gt;$FK$3),0),0)
)</f>
        <v>0</v>
      </c>
      <c r="GC38" s="152" cm="1">
        <f t="array" ref="GC38">IF($C38="Production",
IFERROR(_xlfn.IFS(AND(EA38&gt;0,EA38+SUM(BY38:BZ38)&lt;=$FM$3),EA38,AND(EA38&gt;0,EA38+SUM(BY38:BZ38)&gt;$FM$3),$FM$3-SUM(BY38:BZ38)),0),
IFERROR(_xlfn.IFS(AND(EA38&gt;0,EA38+BZ38&lt;=$FK$3),EA38,AND(EA38&gt;0,EA38+BZ38&gt;$FK$3),0),0)
)</f>
        <v>0</v>
      </c>
      <c r="GD38" s="152" cm="1">
        <f t="array" ref="GD38">IF($C38="Production",
IFERROR(_xlfn.IFS(AND(EB38&gt;0,EB38+SUM(BZ38:CA38)&lt;=$FM$3),EB38,AND(EB38&gt;0,EB38+SUM(BZ38:CA38)&gt;$FM$3),$FM$3-SUM(BZ38:CA38)),0),
IFERROR(_xlfn.IFS(AND(EB38&gt;0,EB38+CA38&lt;=$FK$3),EB38,AND(EB38&gt;0,EB38+CA38&gt;$FK$3),0),0)
)</f>
        <v>0</v>
      </c>
      <c r="GE38" s="152" cm="1">
        <f t="array" ref="GE38">IF($C38="Production",
IFERROR(_xlfn.IFS(AND(EC38&gt;0,EC38+SUM(CA38:CB38)&lt;=$FM$3),EC38,AND(EC38&gt;0,EC38+SUM(CA38:CB38)&gt;$FM$3),$FM$3-SUM(CA38:CB38)),0),
IFERROR(_xlfn.IFS(AND(EC38&gt;0,EC38+CB38&lt;=$FK$3),EC38,AND(EC38&gt;0,EC38+CB38&gt;$FK$3),0),0)
)</f>
        <v>0</v>
      </c>
      <c r="GF38" s="152" cm="1">
        <f t="array" ref="GF38">IF($C38="Production",
IFERROR(_xlfn.IFS(AND(ED38&gt;0,ED38+SUM(CB38:CC38)&lt;=$FM$3),ED38,AND(ED38&gt;0,ED38+SUM(CB38:CC38)&gt;$FM$3),$FM$3-SUM(CB38:CC38)),0),
IFERROR(_xlfn.IFS(AND(ED38&gt;0,ED38+CC38&lt;=$FK$3),ED38,AND(ED38&gt;0,ED38+CC38&gt;$FK$3),0),0)
)</f>
        <v>0</v>
      </c>
      <c r="GG38" s="152" cm="1">
        <f t="array" ref="GG38">IF($C38="Production",
IFERROR(_xlfn.IFS(AND(EE38&gt;0,EE38+SUM(CC38:CD38)&lt;=$FM$3),EE38,AND(EE38&gt;0,EE38+SUM(CC38:CD38)&gt;$FM$3),$FM$3-SUM(CC38:CD38)),0),
IFERROR(_xlfn.IFS(AND(EE38&gt;0,EE38+CD38&lt;=$FK$3),EE38,AND(EE38&gt;0,EE38+CD38&gt;$FK$3),0),0)
)</f>
        <v>0</v>
      </c>
      <c r="GH38" s="152" cm="1">
        <f t="array" ref="GH38">IF($C38="Production",
IFERROR(_xlfn.IFS(AND(EF38&gt;0,EF38+SUM(CD38:CE38)&lt;=$FM$3),EF38,AND(EF38&gt;0,EF38+SUM(CD38:CE38)&gt;$FM$3),$FM$3-SUM(CD38:CE38)),0),
IFERROR(_xlfn.IFS(AND(EF38&gt;0,EF38+CE38&lt;=$FK$3),EF38,AND(EF38&gt;0,EF38+CE38&gt;$FK$3),0),0)
)</f>
        <v>0</v>
      </c>
      <c r="GI38" s="152" cm="1">
        <f t="array" ref="GI38">IF($C38="Production",
IFERROR(_xlfn.IFS(AND(EG38&gt;0,EG38+SUM(CE38:CF38)&lt;=$FM$3),EG38,AND(EG38&gt;0,EG38+SUM(CE38:CF38)&gt;$FM$3),$FM$3-SUM(CE38:CF38)),0),
IFERROR(_xlfn.IFS(AND(EG38&gt;0,EG38+CF38&lt;=$FK$3),EG38,AND(EG38&gt;0,EG38+CF38&gt;$FK$3),0),0)
)</f>
        <v>0</v>
      </c>
      <c r="GJ38" s="152" cm="1">
        <f t="array" ref="GJ38">IF($C38="Production",
IFERROR(_xlfn.IFS(AND(EH38&gt;0,EH38+SUM(CF38:CG38)&lt;=$FM$3),EH38,AND(EH38&gt;0,EH38+SUM(CF38:CG38)&gt;$FM$3),$FM$3-SUM(CF38:CG38)),0),
IFERROR(_xlfn.IFS(AND(EH38&gt;0,EH38+CG38&lt;=$FK$3),EH38,AND(EH38&gt;0,EH38+CG38&gt;$FK$3),0),0)
)</f>
        <v>0</v>
      </c>
      <c r="GK38" s="152" cm="1">
        <f t="array" ref="GK38">IF($C38="Production",
IFERROR(_xlfn.IFS(AND(EI38&gt;0,EI38+SUM(CG38:CH38)&lt;=$FM$3),EI38,AND(EI38&gt;0,EI38+SUM(CG38:CH38)&gt;$FM$3),$FM$3-SUM(CG38:CH38)),0),
IFERROR(_xlfn.IFS(AND(EI38&gt;0,EI38+CH38&lt;=$FK$3),EI38,AND(EI38&gt;0,EI38+CH38&gt;$FK$3),0),0)
)</f>
        <v>0</v>
      </c>
      <c r="GL38" s="152" cm="1">
        <f t="array" ref="GL38">IF($C38="Production",
IFERROR(_xlfn.IFS(AND(EJ38&gt;0,EJ38+SUM(CH38:CI38)&lt;=$FM$3),EJ38,AND(EJ38&gt;0,EJ38+SUM(CH38:CI38)&gt;$FM$3),$FM$3-SUM(CH38:CI38)),0),
IFERROR(_xlfn.IFS(AND(EJ38&gt;0,EJ38+CI38&lt;=$FK$3),EJ38,AND(EJ38&gt;0,EJ38+CI38&gt;$FK$3),0),0)
)</f>
        <v>0</v>
      </c>
      <c r="GM38" s="152" cm="1">
        <f t="array" ref="GM38">IF($C38="Production",
IFERROR(_xlfn.IFS(AND(EK38&gt;0,EK38+SUM(CI38:CJ38)&lt;=$FM$3),EK38,AND(EK38&gt;0,EK38+SUM(CI38:CJ38)&gt;$FM$3),$FM$3-SUM(CI38:CJ38)),0),
IFERROR(_xlfn.IFS(AND(EK38&gt;0,EK38+CJ38&lt;=$FK$3),EK38,AND(EK38&gt;0,EK38+CJ38&gt;$FK$3),0),0)
)</f>
        <v>0</v>
      </c>
      <c r="GN38" s="152" cm="1">
        <f t="array" ref="GN38">IF($C38="Production",
IFERROR(_xlfn.IFS(AND(EL38&gt;0,EL38+SUM(CJ38:CK38)&lt;=$FM$3),EL38,AND(EL38&gt;0,EL38+SUM(CJ38:CK38)&gt;$FM$3),$FM$3-SUM(CJ38:CK38)),0),
IFERROR(_xlfn.IFS(AND(EL38&gt;0,EL38+CK38&lt;=$FK$3),EL38,AND(EL38&gt;0,EL38+CK38&gt;$FK$3),0),0)
)</f>
        <v>0</v>
      </c>
      <c r="GO38" s="152" cm="1">
        <f t="array" ref="GO38">IF($C38="Production",
IFERROR(_xlfn.IFS(AND(EM38&gt;0,EM38+SUM(CK38:CL38)&lt;=$FM$3),EM38,AND(EM38&gt;0,EM38+SUM(CK38:CL38)&gt;$FM$3),$FM$3-SUM(CK38:CL38)),0),
IFERROR(_xlfn.IFS(AND(EM38&gt;0,EM38+CL38&lt;=$FK$3),EM38,AND(EM38&gt;0,EM38+CL38&gt;$FK$3),0),0)
)</f>
        <v>0</v>
      </c>
      <c r="GP38" s="152" cm="1">
        <f t="array" ref="GP38">IF($C38="Production",
IFERROR(_xlfn.IFS(AND(EN38&gt;0,EN38+SUM(CL38:CM38)&lt;=$FM$3),EN38,AND(EN38&gt;0,EN38+SUM(CL38:CM38)&gt;$FM$3),$FM$3-SUM(CL38:CM38)),0),
IFERROR(_xlfn.IFS(AND(EN38&gt;0,EN38+CM38&lt;=$FK$3),EN38,AND(EN38&gt;0,EN38+CM38&gt;$FK$3),0),0)
)</f>
        <v>0</v>
      </c>
      <c r="GQ38" s="152" cm="1">
        <f t="array" ref="GQ38">IF($C38="Production",
IFERROR(_xlfn.IFS(AND(EO38&gt;0,EO38+SUM(CM38:CN38)&lt;=$FM$3),EO38,AND(EO38&gt;0,EO38+SUM(CM38:CN38)&gt;$FM$3),$FM$3-SUM(CM38:CN38)),0),
IFERROR(_xlfn.IFS(AND(EO38&gt;0,EO38+CN38&lt;=$FK$3),EO38,AND(EO38&gt;0,EO38+CN38&gt;$FK$3),0),0)
)</f>
        <v>0</v>
      </c>
      <c r="GR38" s="152" cm="1">
        <f t="array" ref="GR38">IF($C38="Production",
IFERROR(_xlfn.IFS(AND(EP38&gt;0,EP38+SUM(CN38:CO38)&lt;=$FM$3),EP38,AND(EP38&gt;0,EP38+SUM(CN38:CO38)&gt;$FM$3),$FM$3-SUM(CN38:CO38)),0),
IFERROR(_xlfn.IFS(AND(EP38&gt;0,EP38+CO38&lt;=$FK$3),EP38,AND(EP38&gt;0,EP38+CO38&gt;$FK$3),0),0)
)</f>
        <v>0</v>
      </c>
      <c r="GS38" s="152" cm="1">
        <f t="array" ref="GS38">IF($C38="Production",
IFERROR(_xlfn.IFS(AND(EQ38&gt;0,EQ38+SUM(CO38:CP38)&lt;=$FM$3),EQ38,AND(EQ38&gt;0,EQ38+SUM(CO38:CP38)&gt;$FM$3),$FM$3-SUM(CO38:CP38)),0),
IFERROR(_xlfn.IFS(AND(EQ38&gt;0,EQ38+CP38&lt;=$FK$3),EQ38,AND(EQ38&gt;0,EQ38+CP38&gt;$FK$3),0),0)
)</f>
        <v>0</v>
      </c>
      <c r="GT38" s="152" cm="1">
        <f t="array" ref="GT38">IF($C38="Production",
IFERROR(_xlfn.IFS(AND(ER38&gt;0,ER38+SUM(CP38:CQ38)&lt;=$FM$3),ER38,AND(ER38&gt;0,ER38+SUM(CP38:CQ38)&gt;$FM$3),$FM$3-SUM(CP38:CQ38)),0),
IFERROR(_xlfn.IFS(AND(ER38&gt;0,ER38+CQ38&lt;=$FK$3),ER38,AND(ER38&gt;0,ER38+CQ38&gt;$FK$3),0),0)
)</f>
        <v>0</v>
      </c>
      <c r="GU38" s="152" cm="1">
        <f t="array" ref="GU38">IF($C38="Production",
IFERROR(_xlfn.IFS(AND(ES38&gt;0,ES38+SUM(CQ38:CR38)&lt;=$FM$3),ES38,AND(ES38&gt;0,ES38+SUM(CQ38:CR38)&gt;$FM$3),$FM$3-SUM(CQ38:CR38)),0),
IFERROR(_xlfn.IFS(AND(ES38&gt;0,ES38+CR38&lt;=$FK$3),ES38,AND(ES38&gt;0,ES38+CR38&gt;$FK$3),0),0)
)</f>
        <v>0</v>
      </c>
      <c r="GV38" s="152" cm="1">
        <f t="array" ref="GV38">IF($C38="Production",
IFERROR(_xlfn.IFS(AND(ET38&gt;0,ET38+SUM(CR38:CS38)&lt;=$FM$3),ET38,AND(ET38&gt;0,ET38+SUM(CR38:CS38)&gt;$FM$3),$FM$3-SUM(CR38:CS38)),0),
IFERROR(_xlfn.IFS(AND(ET38&gt;0,ET38+CS38&lt;=$FK$3),ET38,AND(ET38&gt;0,ET38+CS38&gt;$FK$3),0),0)
)</f>
        <v>0</v>
      </c>
      <c r="GW38" s="152" cm="1">
        <f t="array" ref="GW38">IF($C38="Production",
IFERROR(_xlfn.IFS(AND(EU38&gt;0,EU38+SUM(CS38:CT38)&lt;=$FM$3),EU38,AND(EU38&gt;0,EU38+SUM(CS38:CT38)&gt;$FM$3),$FM$3-SUM(CS38:CT38)),0),
IFERROR(_xlfn.IFS(AND(EU38&gt;0,EU38+CT38&lt;=$FK$3),EU38,AND(EU38&gt;0,EU38+CT38&gt;$FK$3),0),0)
)</f>
        <v>0</v>
      </c>
      <c r="GX38" s="152" cm="1">
        <f t="array" ref="GX38">IF($C38="Production",
IFERROR(_xlfn.IFS(AND(EV38&gt;0,EV38+SUM(CT38:CU38)&lt;=$FM$3),EV38,AND(EV38&gt;0,EV38+SUM(CT38:CU38)&gt;$FM$3),$FM$3-SUM(CT38:CU38)),0),
IFERROR(_xlfn.IFS(AND(EV38&gt;0,EV38+CU38&lt;=$FK$3),EV38,AND(EV38&gt;0,EV38+CU38&gt;$FK$3),0),0)
)</f>
        <v>0</v>
      </c>
      <c r="GY38" s="152" cm="1">
        <f t="array" ref="GY38">IF($C38="Production",
IFERROR(_xlfn.IFS(AND(EW38&gt;0,EW38+SUM(CU38:CV38)&lt;=$FM$3),EW38,AND(EW38&gt;0,EW38+SUM(CU38:CV38)&gt;$FM$3),$FM$3-SUM(CU38:CV38)),0),
IFERROR(_xlfn.IFS(AND(EW38&gt;0,EW38+CV38&lt;=$FK$3),EW38,AND(EW38&gt;0,EW38+CV38&gt;$FK$3),0),0)
)</f>
        <v>0</v>
      </c>
      <c r="GZ38" s="152" cm="1">
        <f t="array" ref="GZ38">IF($C38="Production",
IFERROR(_xlfn.IFS(AND(EX38&gt;0,EX38+SUM(CV38:CW38)&lt;=$FM$3),EX38,AND(EX38&gt;0,EX38+SUM(CV38:CW38)&gt;$FM$3),$FM$3-SUM(CV38:CW38)),0),
IFERROR(_xlfn.IFS(AND(EX38&gt;0,EX38+CW38&lt;=$FK$3),EX38,AND(EX38&gt;0,EX38+CW38&gt;$FK$3),0),0)
)</f>
        <v>0</v>
      </c>
      <c r="HA38" s="152" cm="1">
        <f t="array" ref="HA38">IF($C38="Production",
IFERROR(_xlfn.IFS(AND(EY38&gt;0,EY38+SUM(CW38:CX38)&lt;=$FM$3),EY38,AND(EY38&gt;0,EY38+SUM(CW38:CX38)&gt;$FM$3),$FM$3-SUM(CW38:CX38)),0),
IFERROR(_xlfn.IFS(AND(EY38&gt;0,EY38+CX38&lt;=$FK$3),EY38,AND(EY38&gt;0,EY38+CX38&gt;$FK$3),0),0)
)</f>
        <v>0</v>
      </c>
      <c r="HB38" s="152" cm="1">
        <f t="array" ref="HB38">IF($C38="Production",
IFERROR(_xlfn.IFS(AND(EZ38&gt;0,EZ38+SUM(CX38:CY38)&lt;=$FM$3),EZ38,AND(EZ38&gt;0,EZ38+SUM(CX38:CY38)&gt;$FM$3),$FM$3-SUM(CX38:CY38)),0),
IFERROR(_xlfn.IFS(AND(EZ38&gt;0,EZ38+CY38&lt;=$FK$3),EZ38,AND(EZ38&gt;0,EZ38+CY38&gt;$FK$3),0),0)
)</f>
        <v>0</v>
      </c>
      <c r="HC38" s="152" cm="1">
        <f t="array" ref="HC38">IF($C38="Production",
IFERROR(_xlfn.IFS(AND(FA38&gt;0,FA38+SUM(CY38:CZ38)&lt;=$FM$3),FA38,AND(FA38&gt;0,FA38+SUM(CY38:CZ38)&gt;$FM$3),$FM$3-SUM(CY38:CZ38)),0),
IFERROR(_xlfn.IFS(AND(FA38&gt;0,FA38+CZ38&lt;=$FK$3),FA38,AND(FA38&gt;0,FA38+CZ38&gt;$FK$3),0),0)
)</f>
        <v>0</v>
      </c>
      <c r="HD38" s="152" cm="1">
        <f t="array" ref="HD38">IF($C38="Production",
IFERROR(_xlfn.IFS(AND(FB38&gt;0,FB38+SUM(CZ38:DA38)&lt;=$FM$3),FB38,AND(FB38&gt;0,FB38+SUM(CZ38:DA38)&gt;$FM$3),$FM$3-SUM(CZ38:DA38)),0),
IFERROR(_xlfn.IFS(AND(FB38&gt;0,FB38+DA38&lt;=$FK$3),FB38,AND(FB38&gt;0,FB38+DA38&gt;$FK$3),0),0)
)</f>
        <v>0</v>
      </c>
      <c r="HE38" s="152" cm="1">
        <f t="array" ref="HE38">IF($C38="Production",
IFERROR(_xlfn.IFS(AND(FC38&gt;0,FC38+SUM(DA38:DB38)&lt;=$FM$3),FC38,AND(FC38&gt;0,FC38+SUM(DA38:DB38)&gt;$FM$3),$FM$3-SUM(DA38:DB38)),0),
IFERROR(_xlfn.IFS(AND(FC38&gt;0,FC38+DB38&lt;=$FK$3),FC38,AND(FC38&gt;0,FC38+DB38&gt;$FK$3),0),0)
)</f>
        <v>0</v>
      </c>
      <c r="HF38" s="152" cm="1">
        <f t="array" ref="HF38">IF($C38="Production",
IFERROR(_xlfn.IFS(AND(FD38&gt;0,FD38+SUM(DB38:DC38)&lt;=$FM$3),FD38,AND(FD38&gt;0,FD38+SUM(DB38:DC38)&gt;$FM$3),$FM$3-SUM(DB38:DC38)),0),
IFERROR(_xlfn.IFS(AND(FD38&gt;0,FD38+DC38&lt;=$FK$3),FD38,AND(FD38&gt;0,FD38+DC38&gt;$FK$3),0),0)
)</f>
        <v>0</v>
      </c>
      <c r="HG38" s="152" cm="1">
        <f t="array" ref="HG38">IF($C38="Production",
IFERROR(_xlfn.IFS(AND(FE38&gt;0,FE38+SUM(DC38:DD38)&lt;=$FM$3),FE38,AND(FE38&gt;0,FE38+SUM(DC38:DD38)&gt;$FM$3),$FM$3-SUM(DC38:DD38)),0),
IFERROR(_xlfn.IFS(AND(FE38&gt;0,FE38+DD38&lt;=$FK$3),FE38,AND(FE38&gt;0,FE38+DD38&gt;$FK$3),0),0)
)</f>
        <v>0</v>
      </c>
      <c r="HH38" s="152" cm="1">
        <f t="array" ref="HH38">IF($C38="Production",
IFERROR(_xlfn.IFS(AND(FF38&gt;0,FF38+SUM(DD38:DE38)&lt;=$FM$3),FF38,AND(FF38&gt;0,FF38+SUM(DD38:DE38)&gt;$FM$3),$FM$3-SUM(DD38:DE38)),0),
IFERROR(_xlfn.IFS(AND(FF38&gt;0,FF38+DE38&lt;=$FK$3),FF38,AND(FF38&gt;0,FF38+DE38&gt;$FK$3),0),0)
)</f>
        <v>0</v>
      </c>
      <c r="HI38" s="156" cm="1">
        <f t="array" ref="HI38">IF($C38="Production",
IFERROR(_xlfn.IFS(AND(FG38&gt;0,FG38+SUM(DE38:DF38)&lt;=$FM$3),FG38,AND(FG38&gt;0,FG38+SUM(DE38:DF38)&gt;$FM$3),$FM$3-SUM(DE38:DF38)),0),
IFERROR(_xlfn.IFS(AND(FG38&gt;0,FG38+DF38&lt;=$FK$3),FG38,AND(FG38&gt;0,FG38+DF38&gt;$FK$3),0),0)
)</f>
        <v>0</v>
      </c>
      <c r="HJ38" s="113">
        <f t="shared" si="110"/>
        <v>16</v>
      </c>
      <c r="HK38" s="80"/>
      <c r="HL38" s="112">
        <f t="shared" si="56"/>
        <v>0</v>
      </c>
      <c r="HM38" s="138">
        <f t="shared" si="57"/>
        <v>0</v>
      </c>
      <c r="HN38" s="138">
        <f t="shared" si="58"/>
        <v>0</v>
      </c>
      <c r="HO38" s="138">
        <f t="shared" si="59"/>
        <v>0</v>
      </c>
      <c r="HP38" s="138">
        <f t="shared" si="60"/>
        <v>0</v>
      </c>
      <c r="HQ38" s="138">
        <f t="shared" si="61"/>
        <v>0</v>
      </c>
      <c r="HR38" s="138">
        <f t="shared" si="62"/>
        <v>0</v>
      </c>
      <c r="HS38" s="138">
        <f t="shared" si="63"/>
        <v>0</v>
      </c>
      <c r="HT38" s="138">
        <f t="shared" si="64"/>
        <v>0</v>
      </c>
      <c r="HU38" s="138">
        <f t="shared" si="65"/>
        <v>0</v>
      </c>
      <c r="HV38" s="138">
        <f t="shared" si="66"/>
        <v>0</v>
      </c>
      <c r="HW38" s="138">
        <f t="shared" si="67"/>
        <v>0</v>
      </c>
      <c r="HX38" s="138">
        <f t="shared" si="68"/>
        <v>0</v>
      </c>
      <c r="HY38" s="138">
        <f t="shared" si="69"/>
        <v>0</v>
      </c>
      <c r="HZ38" s="138">
        <f t="shared" si="70"/>
        <v>0</v>
      </c>
      <c r="IA38" s="138">
        <f t="shared" si="71"/>
        <v>0</v>
      </c>
      <c r="IB38" s="138">
        <f t="shared" si="72"/>
        <v>0</v>
      </c>
      <c r="IC38" s="138">
        <f t="shared" si="73"/>
        <v>0</v>
      </c>
      <c r="ID38" s="138">
        <f t="shared" si="74"/>
        <v>0</v>
      </c>
      <c r="IE38" s="138">
        <f t="shared" si="75"/>
        <v>0</v>
      </c>
      <c r="IF38" s="138">
        <f t="shared" si="76"/>
        <v>0</v>
      </c>
      <c r="IG38" s="138">
        <f t="shared" si="77"/>
        <v>0</v>
      </c>
      <c r="IH38" s="138">
        <f t="shared" si="78"/>
        <v>0</v>
      </c>
      <c r="II38" s="138">
        <f t="shared" si="79"/>
        <v>0</v>
      </c>
      <c r="IJ38" s="138">
        <f t="shared" si="80"/>
        <v>0</v>
      </c>
      <c r="IK38" s="138">
        <f t="shared" si="81"/>
        <v>0</v>
      </c>
      <c r="IL38" s="138">
        <f t="shared" si="82"/>
        <v>0</v>
      </c>
      <c r="IM38" s="138">
        <f t="shared" si="83"/>
        <v>0</v>
      </c>
      <c r="IN38" s="138">
        <f t="shared" si="84"/>
        <v>0</v>
      </c>
      <c r="IO38" s="138">
        <f t="shared" si="85"/>
        <v>0</v>
      </c>
      <c r="IP38" s="138">
        <f t="shared" si="86"/>
        <v>0</v>
      </c>
      <c r="IQ38" s="138">
        <f t="shared" si="87"/>
        <v>0</v>
      </c>
      <c r="IR38" s="138">
        <f t="shared" si="88"/>
        <v>0</v>
      </c>
      <c r="IS38" s="138">
        <f t="shared" si="89"/>
        <v>0</v>
      </c>
      <c r="IT38" s="138">
        <f t="shared" si="90"/>
        <v>0</v>
      </c>
      <c r="IU38" s="138">
        <f t="shared" si="91"/>
        <v>0</v>
      </c>
      <c r="IV38" s="138">
        <f t="shared" si="92"/>
        <v>0</v>
      </c>
      <c r="IW38" s="138">
        <f t="shared" si="93"/>
        <v>0</v>
      </c>
      <c r="IX38" s="138">
        <f t="shared" si="94"/>
        <v>0</v>
      </c>
      <c r="IY38" s="138">
        <f t="shared" si="95"/>
        <v>0</v>
      </c>
      <c r="IZ38" s="138">
        <f t="shared" si="96"/>
        <v>0</v>
      </c>
      <c r="JA38" s="138">
        <f t="shared" si="97"/>
        <v>0</v>
      </c>
      <c r="JB38" s="138">
        <f t="shared" si="98"/>
        <v>0</v>
      </c>
      <c r="JC38" s="138">
        <f t="shared" si="99"/>
        <v>0</v>
      </c>
      <c r="JD38" s="138">
        <f t="shared" si="100"/>
        <v>0</v>
      </c>
      <c r="JE38" s="138">
        <f t="shared" si="101"/>
        <v>0</v>
      </c>
      <c r="JF38" s="138">
        <f t="shared" si="102"/>
        <v>0</v>
      </c>
      <c r="JG38" s="138">
        <f t="shared" si="103"/>
        <v>0</v>
      </c>
      <c r="JH38" s="138">
        <f t="shared" si="104"/>
        <v>0</v>
      </c>
      <c r="JI38" s="138">
        <f t="shared" si="105"/>
        <v>0</v>
      </c>
      <c r="JJ38" s="138">
        <f t="shared" si="106"/>
        <v>0</v>
      </c>
      <c r="JK38" s="138">
        <f t="shared" si="107"/>
        <v>0</v>
      </c>
      <c r="JL38" s="118">
        <f t="shared" si="111"/>
        <v>0</v>
      </c>
      <c r="JO38" s="90">
        <f t="shared" si="112"/>
        <v>16</v>
      </c>
      <c r="JP38" s="79">
        <f t="shared" si="108"/>
        <v>0</v>
      </c>
      <c r="JQ38" s="91">
        <f t="shared" si="2"/>
        <v>20</v>
      </c>
      <c r="JS38" s="123">
        <f t="shared" si="109"/>
        <v>-9.25</v>
      </c>
      <c r="JU38" s="123">
        <f t="shared" si="113"/>
        <v>10.75</v>
      </c>
    </row>
    <row r="39" spans="2:281" x14ac:dyDescent="0.15">
      <c r="B39" s="82" t="str">
        <f>'MODU 2025'!B42</f>
        <v>ROBERT Cécile</v>
      </c>
      <c r="C39" s="82" t="str">
        <f>'MODU 2025'!C42</f>
        <v>Production</v>
      </c>
      <c r="D39" s="82">
        <f>'MODU 2025'!D42</f>
        <v>37</v>
      </c>
      <c r="E39" s="82"/>
      <c r="F39" s="133">
        <f>'MODU 2025'!G42</f>
        <v>33</v>
      </c>
      <c r="G39" s="140">
        <f>'MODU 2025'!H42</f>
        <v>41</v>
      </c>
      <c r="H39" s="140">
        <f>'MODU 2025'!I42</f>
        <v>33</v>
      </c>
      <c r="I39" s="140">
        <f>'MODU 2025'!J42</f>
        <v>41.25</v>
      </c>
      <c r="J39" s="140">
        <f>'MODU 2025'!K42</f>
        <v>40.75</v>
      </c>
      <c r="K39" s="140">
        <f>'MODU 2025'!L42</f>
        <v>41.25</v>
      </c>
      <c r="L39" s="140">
        <f>'MODU 2025'!M42</f>
        <v>40.75</v>
      </c>
      <c r="M39" s="140">
        <f>'MODU 2025'!N42</f>
        <v>41</v>
      </c>
      <c r="N39" s="140">
        <f>'MODU 2025'!O42</f>
        <v>33</v>
      </c>
      <c r="O39" s="140">
        <f>'MODU 2025'!P42</f>
        <v>41</v>
      </c>
      <c r="P39" s="140">
        <f>'MODU 2025'!Q42</f>
        <v>33</v>
      </c>
      <c r="Q39" s="140">
        <f>'MODU 2025'!R42</f>
        <v>41</v>
      </c>
      <c r="R39" s="140">
        <f>'MODU 2025'!S42</f>
        <v>33</v>
      </c>
      <c r="S39" s="140">
        <f>'MODU 2025'!T42</f>
        <v>41</v>
      </c>
      <c r="T39" s="140">
        <f>'MODU 2025'!U42</f>
        <v>33</v>
      </c>
      <c r="U39" s="140">
        <f>'MODU 2025'!V42</f>
        <v>41</v>
      </c>
      <c r="V39" s="140">
        <f>'MODU 2025'!W42</f>
        <v>33</v>
      </c>
      <c r="W39" s="140">
        <f>'MODU 2025'!X42</f>
        <v>41</v>
      </c>
      <c r="X39" s="140">
        <f>'MODU 2025'!Y42</f>
        <v>33</v>
      </c>
      <c r="Y39" s="140">
        <f>'MODU 2025'!Z42</f>
        <v>41</v>
      </c>
      <c r="Z39" s="140">
        <f>'MODU 2025'!AA42</f>
        <v>33</v>
      </c>
      <c r="AA39" s="140">
        <f>'MODU 2025'!AB42</f>
        <v>41</v>
      </c>
      <c r="AB39" s="140">
        <f>'MODU 2025'!AC42</f>
        <v>33</v>
      </c>
      <c r="AC39" s="140">
        <f>'MODU 2025'!AD42</f>
        <v>41</v>
      </c>
      <c r="AD39" s="140">
        <f>'MODU 2025'!AE42</f>
        <v>33</v>
      </c>
      <c r="AE39" s="140">
        <f>'MODU 2025'!AF42</f>
        <v>41</v>
      </c>
      <c r="AF39" s="140">
        <f>'MODU 2025'!AG42</f>
        <v>33</v>
      </c>
      <c r="AG39" s="140">
        <f>'MODU 2025'!AH42</f>
        <v>41</v>
      </c>
      <c r="AH39" s="140">
        <f>'MODU 2025'!AI42</f>
        <v>33</v>
      </c>
      <c r="AI39" s="140">
        <f>'MODU 2025'!AJ42</f>
        <v>41</v>
      </c>
      <c r="AJ39" s="140">
        <f>'MODU 2025'!AK42</f>
        <v>33</v>
      </c>
      <c r="AK39" s="140">
        <f>'MODU 2025'!AL42</f>
        <v>41</v>
      </c>
      <c r="AL39" s="140">
        <f>'MODU 2025'!AM42</f>
        <v>33</v>
      </c>
      <c r="AM39" s="140">
        <f>'MODU 2025'!AN42</f>
        <v>41</v>
      </c>
      <c r="AN39" s="140">
        <f>'MODU 2025'!AO42</f>
        <v>33</v>
      </c>
      <c r="AO39" s="140">
        <f>'MODU 2025'!AP42</f>
        <v>41</v>
      </c>
      <c r="AP39" s="140">
        <f>'MODU 2025'!AQ42</f>
        <v>33</v>
      </c>
      <c r="AQ39" s="140">
        <f>'MODU 2025'!AR42</f>
        <v>41</v>
      </c>
      <c r="AR39" s="140">
        <f>'MODU 2025'!AS42</f>
        <v>33</v>
      </c>
      <c r="AS39" s="140">
        <f>'MODU 2025'!AT42</f>
        <v>41</v>
      </c>
      <c r="AT39" s="140">
        <f>'MODU 2025'!AU42</f>
        <v>33</v>
      </c>
      <c r="AU39" s="140">
        <f>'MODU 2025'!AV42</f>
        <v>41</v>
      </c>
      <c r="AV39" s="140">
        <f>'MODU 2025'!AW42</f>
        <v>33</v>
      </c>
      <c r="AW39" s="140">
        <f>'MODU 2025'!AX42</f>
        <v>41</v>
      </c>
      <c r="AX39" s="140">
        <f>'MODU 2025'!AY42</f>
        <v>33</v>
      </c>
      <c r="AY39" s="140">
        <f>'MODU 2025'!AZ42</f>
        <v>41</v>
      </c>
      <c r="AZ39" s="140">
        <f>'MODU 2025'!BA42</f>
        <v>33</v>
      </c>
      <c r="BA39" s="140">
        <f>'MODU 2025'!BB42</f>
        <v>41</v>
      </c>
      <c r="BB39" s="140">
        <f>'MODU 2025'!BC42</f>
        <v>33</v>
      </c>
      <c r="BC39" s="140">
        <f>'MODU 2025'!BD42</f>
        <v>41</v>
      </c>
      <c r="BD39" s="140">
        <f>'MODU 2025'!BE42</f>
        <v>33</v>
      </c>
      <c r="BE39" s="134">
        <f>'MODU 2025'!BF42</f>
        <v>41</v>
      </c>
      <c r="BF39" s="82"/>
      <c r="BG39" s="107">
        <v>33</v>
      </c>
      <c r="BH39" s="145">
        <v>41</v>
      </c>
      <c r="BI39" s="145">
        <v>33</v>
      </c>
      <c r="BJ39" s="145">
        <v>41</v>
      </c>
      <c r="BK39" s="145">
        <v>33</v>
      </c>
      <c r="BL39" s="145">
        <v>41</v>
      </c>
      <c r="BM39" s="145">
        <v>33</v>
      </c>
      <c r="BN39" s="145">
        <v>41</v>
      </c>
      <c r="BO39" s="145">
        <v>33</v>
      </c>
      <c r="BP39" s="145">
        <v>41</v>
      </c>
      <c r="BQ39" s="145">
        <v>33</v>
      </c>
      <c r="BR39" s="145">
        <v>41</v>
      </c>
      <c r="BS39" s="145">
        <v>33</v>
      </c>
      <c r="BT39" s="145">
        <v>41</v>
      </c>
      <c r="BU39" s="145">
        <v>33</v>
      </c>
      <c r="BV39" s="145">
        <v>41</v>
      </c>
      <c r="BW39" s="145">
        <v>33</v>
      </c>
      <c r="BX39" s="145">
        <v>41</v>
      </c>
      <c r="BY39" s="145">
        <v>33</v>
      </c>
      <c r="BZ39" s="145">
        <v>41</v>
      </c>
      <c r="CA39" s="145">
        <v>33</v>
      </c>
      <c r="CB39" s="145">
        <v>41</v>
      </c>
      <c r="CC39" s="145">
        <v>33</v>
      </c>
      <c r="CD39" s="145">
        <v>41</v>
      </c>
      <c r="CE39" s="145">
        <v>33</v>
      </c>
      <c r="CF39" s="145">
        <v>41</v>
      </c>
      <c r="CG39" s="145">
        <v>33</v>
      </c>
      <c r="CH39" s="145">
        <v>41</v>
      </c>
      <c r="CI39" s="145">
        <v>33</v>
      </c>
      <c r="CJ39" s="145">
        <v>41</v>
      </c>
      <c r="CK39" s="145">
        <v>33</v>
      </c>
      <c r="CL39" s="145">
        <v>41</v>
      </c>
      <c r="CM39" s="145">
        <v>33</v>
      </c>
      <c r="CN39" s="145">
        <v>41</v>
      </c>
      <c r="CO39" s="145">
        <v>33</v>
      </c>
      <c r="CP39" s="145">
        <v>41</v>
      </c>
      <c r="CQ39" s="145">
        <v>33</v>
      </c>
      <c r="CR39" s="145">
        <v>41</v>
      </c>
      <c r="CS39" s="145">
        <v>33</v>
      </c>
      <c r="CT39" s="145">
        <v>41</v>
      </c>
      <c r="CU39" s="145">
        <v>33</v>
      </c>
      <c r="CV39" s="145">
        <v>41</v>
      </c>
      <c r="CW39" s="145">
        <v>33</v>
      </c>
      <c r="CX39" s="145">
        <v>41</v>
      </c>
      <c r="CY39" s="145">
        <v>33</v>
      </c>
      <c r="CZ39" s="145">
        <v>41</v>
      </c>
      <c r="DA39" s="145">
        <v>33</v>
      </c>
      <c r="DB39" s="145">
        <v>41</v>
      </c>
      <c r="DC39" s="145">
        <v>33</v>
      </c>
      <c r="DD39" s="145">
        <v>41</v>
      </c>
      <c r="DE39" s="145">
        <v>33</v>
      </c>
      <c r="DF39" s="108">
        <v>41</v>
      </c>
      <c r="DG39" s="84"/>
      <c r="DH39" s="112">
        <f t="shared" si="3"/>
        <v>0</v>
      </c>
      <c r="DI39" s="138">
        <f t="shared" si="4"/>
        <v>0</v>
      </c>
      <c r="DJ39" s="138">
        <f t="shared" si="5"/>
        <v>0</v>
      </c>
      <c r="DK39" s="138">
        <f t="shared" si="6"/>
        <v>0.25</v>
      </c>
      <c r="DL39" s="138">
        <f t="shared" si="7"/>
        <v>0</v>
      </c>
      <c r="DM39" s="138">
        <f t="shared" si="8"/>
        <v>8</v>
      </c>
      <c r="DN39" s="138">
        <f t="shared" si="9"/>
        <v>0</v>
      </c>
      <c r="DO39" s="138">
        <f t="shared" si="10"/>
        <v>7.75</v>
      </c>
      <c r="DP39" s="138">
        <f t="shared" si="11"/>
        <v>0</v>
      </c>
      <c r="DQ39" s="138">
        <f t="shared" si="12"/>
        <v>0</v>
      </c>
      <c r="DR39" s="138">
        <f t="shared" si="13"/>
        <v>0</v>
      </c>
      <c r="DS39" s="138">
        <f t="shared" si="14"/>
        <v>0</v>
      </c>
      <c r="DT39" s="138">
        <f t="shared" si="15"/>
        <v>0</v>
      </c>
      <c r="DU39" s="138">
        <f t="shared" si="16"/>
        <v>0</v>
      </c>
      <c r="DV39" s="138">
        <f t="shared" si="17"/>
        <v>0</v>
      </c>
      <c r="DW39" s="138">
        <f t="shared" si="18"/>
        <v>0</v>
      </c>
      <c r="DX39" s="138">
        <f t="shared" si="19"/>
        <v>0</v>
      </c>
      <c r="DY39" s="138">
        <f t="shared" si="20"/>
        <v>0</v>
      </c>
      <c r="DZ39" s="138">
        <f t="shared" si="21"/>
        <v>0</v>
      </c>
      <c r="EA39" s="138">
        <f t="shared" si="22"/>
        <v>0</v>
      </c>
      <c r="EB39" s="138">
        <f t="shared" si="23"/>
        <v>0</v>
      </c>
      <c r="EC39" s="138">
        <f t="shared" si="24"/>
        <v>0</v>
      </c>
      <c r="ED39" s="138">
        <f t="shared" si="25"/>
        <v>0</v>
      </c>
      <c r="EE39" s="138">
        <f t="shared" si="26"/>
        <v>0</v>
      </c>
      <c r="EF39" s="138">
        <f t="shared" si="27"/>
        <v>0</v>
      </c>
      <c r="EG39" s="138">
        <f t="shared" si="28"/>
        <v>0</v>
      </c>
      <c r="EH39" s="138">
        <f t="shared" si="29"/>
        <v>0</v>
      </c>
      <c r="EI39" s="138">
        <f t="shared" si="30"/>
        <v>0</v>
      </c>
      <c r="EJ39" s="138">
        <f t="shared" si="31"/>
        <v>0</v>
      </c>
      <c r="EK39" s="138">
        <f t="shared" si="32"/>
        <v>0</v>
      </c>
      <c r="EL39" s="138">
        <f t="shared" si="33"/>
        <v>0</v>
      </c>
      <c r="EM39" s="138">
        <f t="shared" si="34"/>
        <v>0</v>
      </c>
      <c r="EN39" s="138">
        <f t="shared" si="35"/>
        <v>0</v>
      </c>
      <c r="EO39" s="138">
        <f t="shared" si="36"/>
        <v>0</v>
      </c>
      <c r="EP39" s="138">
        <f t="shared" si="37"/>
        <v>0</v>
      </c>
      <c r="EQ39" s="138">
        <f t="shared" si="38"/>
        <v>0</v>
      </c>
      <c r="ER39" s="138">
        <f t="shared" si="39"/>
        <v>0</v>
      </c>
      <c r="ES39" s="138">
        <f t="shared" si="40"/>
        <v>0</v>
      </c>
      <c r="ET39" s="138">
        <f t="shared" si="41"/>
        <v>0</v>
      </c>
      <c r="EU39" s="138">
        <f t="shared" si="42"/>
        <v>0</v>
      </c>
      <c r="EV39" s="138">
        <f t="shared" si="43"/>
        <v>0</v>
      </c>
      <c r="EW39" s="138">
        <f t="shared" si="44"/>
        <v>0</v>
      </c>
      <c r="EX39" s="138">
        <f t="shared" si="45"/>
        <v>0</v>
      </c>
      <c r="EY39" s="138">
        <f t="shared" si="46"/>
        <v>0</v>
      </c>
      <c r="EZ39" s="138">
        <f t="shared" si="47"/>
        <v>0</v>
      </c>
      <c r="FA39" s="138">
        <f t="shared" si="48"/>
        <v>0</v>
      </c>
      <c r="FB39" s="138">
        <f t="shared" si="49"/>
        <v>0</v>
      </c>
      <c r="FC39" s="138">
        <f t="shared" si="50"/>
        <v>0</v>
      </c>
      <c r="FD39" s="138">
        <f t="shared" si="51"/>
        <v>0</v>
      </c>
      <c r="FE39" s="138">
        <f t="shared" si="52"/>
        <v>0</v>
      </c>
      <c r="FF39" s="138">
        <f t="shared" si="53"/>
        <v>0</v>
      </c>
      <c r="FG39" s="113">
        <f t="shared" si="54"/>
        <v>0</v>
      </c>
      <c r="FH39" s="113">
        <f t="shared" si="55"/>
        <v>16</v>
      </c>
      <c r="FI39" s="35"/>
      <c r="FJ39" s="151" cm="1">
        <f t="array" ref="FJ39">IF($C39="Production",
IFERROR(_xlfn.IFS(AND(DH39&gt;0,DH39+SUM(BF39:BG39)&lt;=$FM$3),DH39,AND(DH39&gt;0,DH39+SUM(BF39:BG39)&gt;$FM$3),$FM$3-SUM(BF39:BG39)),0),
IFERROR(_xlfn.IFS(AND(DH39&gt;0,DH39+BG39&lt;=$FK$3),DH39,AND(DH39&gt;0,DH39+BG39&gt;$FK$3),0),0)
)</f>
        <v>0</v>
      </c>
      <c r="FK39" s="152" cm="1">
        <f t="array" ref="FK39">IF($C39="Production",
IFERROR(_xlfn.IFS(AND(DI39&gt;0,DI39+SUM(BG39:BH39)&lt;=$FM$3),DI39,AND(DI39&gt;0,DI39+SUM(BG39:BH39)&gt;$FM$3),$FM$3-SUM(BG39:BH39)),0),
IFERROR(_xlfn.IFS(AND(DI39&gt;0,DI39+BH39&lt;=$FK$3),DI39,AND(DI39&gt;0,DI39+BH39&gt;$FK$3),0),0)
)</f>
        <v>0</v>
      </c>
      <c r="FL39" s="152" cm="1">
        <f t="array" ref="FL39">IF($C39="Production",
IFERROR(_xlfn.IFS(AND(DJ39&gt;0,DJ39+SUM(BH39:BI39)&lt;=$FM$3),DJ39,AND(DJ39&gt;0,DJ39+SUM(BH39:BI39)&gt;$FM$3),$FM$3-SUM(BH39:BI39)),0),
IFERROR(_xlfn.IFS(AND(DJ39&gt;0,DJ39+BI39&lt;=$FK$3),DJ39,AND(DJ39&gt;0,DJ39+BI39&gt;$FK$3),0),0)
)</f>
        <v>0</v>
      </c>
      <c r="FM39" s="152" cm="1">
        <f t="array" ref="FM39">IF($C39="Production",
IFERROR(_xlfn.IFS(AND(DK39&gt;0,DK39+SUM(BI39:BJ39)&lt;=$FM$3),DK39,AND(DK39&gt;0,DK39+SUM(BI39:BJ39)&gt;$FM$3),$FM$3-SUM(BI39:BJ39)),0),
IFERROR(_xlfn.IFS(AND(DK39&gt;0,DK39+BJ39&lt;=$FK$3),DK39,AND(DK39&gt;0,DK39+BJ39&gt;$FK$3),0),0)
)</f>
        <v>0.25</v>
      </c>
      <c r="FN39" s="152" cm="1">
        <f t="array" ref="FN39">IF($C39="Production",
IFERROR(_xlfn.IFS(AND(DL39&gt;0,DL39+SUM(BJ39:BK39)&lt;=$FM$3),DL39,AND(DL39&gt;0,DL39+SUM(BJ39:BK39)&gt;$FM$3),$FM$3-SUM(BJ39:BK39)),0),
IFERROR(_xlfn.IFS(AND(DL39&gt;0,DL39+BK39&lt;=$FK$3),DL39,AND(DL39&gt;0,DL39+BK39&gt;$FK$3),0),0)
)</f>
        <v>0</v>
      </c>
      <c r="FO39" s="152" cm="1">
        <f t="array" ref="FO39">IF($C39="Production",
IFERROR(_xlfn.IFS(AND(DM39&gt;0,DM39+SUM(BK39:BL39)&lt;=$FM$3),DM39,AND(DM39&gt;0,DM39+SUM(BK39:BL39)&gt;$FM$3),$FM$3-SUM(BK39:BL39)),0),
IFERROR(_xlfn.IFS(AND(DM39&gt;0,DM39+BL39&lt;=$FK$3),DM39,AND(DM39&gt;0,DM39+BL39&gt;$FK$3),0),0)
)</f>
        <v>8</v>
      </c>
      <c r="FP39" s="152" cm="1">
        <f t="array" ref="FP39">IF($C39="Production",
IFERROR(_xlfn.IFS(AND(DN39&gt;0,DN39+SUM(BL39:BM39)&lt;=$FM$3),DN39,AND(DN39&gt;0,DN39+SUM(BL39:BM39)&gt;$FM$3),$FM$3-SUM(BL39:BM39)),0),
IFERROR(_xlfn.IFS(AND(DN39&gt;0,DN39+BM39&lt;=$FK$3),DN39,AND(DN39&gt;0,DN39+BM39&gt;$FK$3),0),0)
)</f>
        <v>0</v>
      </c>
      <c r="FQ39" s="152" cm="1">
        <f t="array" ref="FQ39">IF($C39="Production",
IFERROR(_xlfn.IFS(AND(DO39&gt;0,DO39+SUM(BM39:BN39)&lt;=$FM$3),DO39,AND(DO39&gt;0,DO39+SUM(BM39:BN39)&gt;$FM$3),$FM$3-SUM(BM39:BN39)),0),
IFERROR(_xlfn.IFS(AND(DO39&gt;0,DO39+BN39&lt;=$FK$3),DO39,AND(DO39&gt;0,DO39+BN39&gt;$FK$3),0),0)
)</f>
        <v>7.75</v>
      </c>
      <c r="FR39" s="152" cm="1">
        <f t="array" ref="FR39">IF($C39="Production",
IFERROR(_xlfn.IFS(AND(DP39&gt;0,DP39+SUM(BN39:BO39)&lt;=$FM$3),DP39,AND(DP39&gt;0,DP39+SUM(BN39:BO39)&gt;$FM$3),$FM$3-SUM(BN39:BO39)),0),
IFERROR(_xlfn.IFS(AND(DP39&gt;0,DP39+BO39&lt;=$FK$3),DP39,AND(DP39&gt;0,DP39+BO39&gt;$FK$3),0),0)
)</f>
        <v>0</v>
      </c>
      <c r="FS39" s="152" cm="1">
        <f t="array" ref="FS39">IF($C39="Production",
IFERROR(_xlfn.IFS(AND(DQ39&gt;0,DQ39+SUM(BO39:BP39)&lt;=$FM$3),DQ39,AND(DQ39&gt;0,DQ39+SUM(BO39:BP39)&gt;$FM$3),$FM$3-SUM(BO39:BP39)),0),
IFERROR(_xlfn.IFS(AND(DQ39&gt;0,DQ39+BP39&lt;=$FK$3),DQ39,AND(DQ39&gt;0,DQ39+BP39&gt;$FK$3),0),0)
)</f>
        <v>0</v>
      </c>
      <c r="FT39" s="152" cm="1">
        <f t="array" ref="FT39">IF($C39="Production",
IFERROR(_xlfn.IFS(AND(DR39&gt;0,DR39+SUM(BP39:BQ39)&lt;=$FM$3),DR39,AND(DR39&gt;0,DR39+SUM(BP39:BQ39)&gt;$FM$3),$FM$3-SUM(BP39:BQ39)),0),
IFERROR(_xlfn.IFS(AND(DR39&gt;0,DR39+BQ39&lt;=$FK$3),DR39,AND(DR39&gt;0,DR39+BQ39&gt;$FK$3),0),0)
)</f>
        <v>0</v>
      </c>
      <c r="FU39" s="152" cm="1">
        <f t="array" ref="FU39">IF($C39="Production",
IFERROR(_xlfn.IFS(AND(DS39&gt;0,DS39+SUM(BQ39:BR39)&lt;=$FM$3),DS39,AND(DS39&gt;0,DS39+SUM(BQ39:BR39)&gt;$FM$3),$FM$3-SUM(BQ39:BR39)),0),
IFERROR(_xlfn.IFS(AND(DS39&gt;0,DS39+BR39&lt;=$FK$3),DS39,AND(DS39&gt;0,DS39+BR39&gt;$FK$3),0),0)
)</f>
        <v>0</v>
      </c>
      <c r="FV39" s="152" cm="1">
        <f t="array" ref="FV39">IF($C39="Production",
IFERROR(_xlfn.IFS(AND(DT39&gt;0,DT39+SUM(BR39:BS39)&lt;=$FM$3),DT39,AND(DT39&gt;0,DT39+SUM(BR39:BS39)&gt;$FM$3),$FM$3-SUM(BR39:BS39)),0),
IFERROR(_xlfn.IFS(AND(DT39&gt;0,DT39+BS39&lt;=$FK$3),DT39,AND(DT39&gt;0,DT39+BS39&gt;$FK$3),0),0)
)</f>
        <v>0</v>
      </c>
      <c r="FW39" s="152" cm="1">
        <f t="array" ref="FW39">IF($C39="Production",
IFERROR(_xlfn.IFS(AND(DU39&gt;0,DU39+SUM(BS39:BT39)&lt;=$FM$3),DU39,AND(DU39&gt;0,DU39+SUM(BS39:BT39)&gt;$FM$3),$FM$3-SUM(BS39:BT39)),0),
IFERROR(_xlfn.IFS(AND(DU39&gt;0,DU39+BT39&lt;=$FK$3),DU39,AND(DU39&gt;0,DU39+BT39&gt;$FK$3),0),0)
)</f>
        <v>0</v>
      </c>
      <c r="FX39" s="152" cm="1">
        <f t="array" ref="FX39">IF($C39="Production",
IFERROR(_xlfn.IFS(AND(DV39&gt;0,DV39+SUM(BT39:BU39)&lt;=$FM$3),DV39,AND(DV39&gt;0,DV39+SUM(BT39:BU39)&gt;$FM$3),$FM$3-SUM(BT39:BU39)),0),
IFERROR(_xlfn.IFS(AND(DV39&gt;0,DV39+BU39&lt;=$FK$3),DV39,AND(DV39&gt;0,DV39+BU39&gt;$FK$3),0),0)
)</f>
        <v>0</v>
      </c>
      <c r="FY39" s="152" cm="1">
        <f t="array" ref="FY39">IF($C39="Production",
IFERROR(_xlfn.IFS(AND(DW39&gt;0,DW39+SUM(BU39:BV39)&lt;=$FM$3),DW39,AND(DW39&gt;0,DW39+SUM(BU39:BV39)&gt;$FM$3),$FM$3-SUM(BU39:BV39)),0),
IFERROR(_xlfn.IFS(AND(DW39&gt;0,DW39+BV39&lt;=$FK$3),DW39,AND(DW39&gt;0,DW39+BV39&gt;$FK$3),0),0)
)</f>
        <v>0</v>
      </c>
      <c r="FZ39" s="152" cm="1">
        <f t="array" ref="FZ39">IF($C39="Production",
IFERROR(_xlfn.IFS(AND(DX39&gt;0,DX39+SUM(BV39:BW39)&lt;=$FM$3),DX39,AND(DX39&gt;0,DX39+SUM(BV39:BW39)&gt;$FM$3),$FM$3-SUM(BV39:BW39)),0),
IFERROR(_xlfn.IFS(AND(DX39&gt;0,DX39+BW39&lt;=$FK$3),DX39,AND(DX39&gt;0,DX39+BW39&gt;$FK$3),0),0)
)</f>
        <v>0</v>
      </c>
      <c r="GA39" s="152" cm="1">
        <f t="array" ref="GA39">IF($C39="Production",
IFERROR(_xlfn.IFS(AND(DY39&gt;0,DY39+SUM(BW39:BX39)&lt;=$FM$3),DY39,AND(DY39&gt;0,DY39+SUM(BW39:BX39)&gt;$FM$3),$FM$3-SUM(BW39:BX39)),0),
IFERROR(_xlfn.IFS(AND(DY39&gt;0,DY39+BX39&lt;=$FK$3),DY39,AND(DY39&gt;0,DY39+BX39&gt;$FK$3),0),0)
)</f>
        <v>0</v>
      </c>
      <c r="GB39" s="152" cm="1">
        <f t="array" ref="GB39">IF($C39="Production",
IFERROR(_xlfn.IFS(AND(DZ39&gt;0,DZ39+SUM(BX39:BY39)&lt;=$FM$3),DZ39,AND(DZ39&gt;0,DZ39+SUM(BX39:BY39)&gt;$FM$3),$FM$3-SUM(BX39:BY39)),0),
IFERROR(_xlfn.IFS(AND(DZ39&gt;0,DZ39+BY39&lt;=$FK$3),DZ39,AND(DZ39&gt;0,DZ39+BY39&gt;$FK$3),0),0)
)</f>
        <v>0</v>
      </c>
      <c r="GC39" s="152" cm="1">
        <f t="array" ref="GC39">IF($C39="Production",
IFERROR(_xlfn.IFS(AND(EA39&gt;0,EA39+SUM(BY39:BZ39)&lt;=$FM$3),EA39,AND(EA39&gt;0,EA39+SUM(BY39:BZ39)&gt;$FM$3),$FM$3-SUM(BY39:BZ39)),0),
IFERROR(_xlfn.IFS(AND(EA39&gt;0,EA39+BZ39&lt;=$FK$3),EA39,AND(EA39&gt;0,EA39+BZ39&gt;$FK$3),0),0)
)</f>
        <v>0</v>
      </c>
      <c r="GD39" s="152" cm="1">
        <f t="array" ref="GD39">IF($C39="Production",
IFERROR(_xlfn.IFS(AND(EB39&gt;0,EB39+SUM(BZ39:CA39)&lt;=$FM$3),EB39,AND(EB39&gt;0,EB39+SUM(BZ39:CA39)&gt;$FM$3),$FM$3-SUM(BZ39:CA39)),0),
IFERROR(_xlfn.IFS(AND(EB39&gt;0,EB39+CA39&lt;=$FK$3),EB39,AND(EB39&gt;0,EB39+CA39&gt;$FK$3),0),0)
)</f>
        <v>0</v>
      </c>
      <c r="GE39" s="152" cm="1">
        <f t="array" ref="GE39">IF($C39="Production",
IFERROR(_xlfn.IFS(AND(EC39&gt;0,EC39+SUM(CA39:CB39)&lt;=$FM$3),EC39,AND(EC39&gt;0,EC39+SUM(CA39:CB39)&gt;$FM$3),$FM$3-SUM(CA39:CB39)),0),
IFERROR(_xlfn.IFS(AND(EC39&gt;0,EC39+CB39&lt;=$FK$3),EC39,AND(EC39&gt;0,EC39+CB39&gt;$FK$3),0),0)
)</f>
        <v>0</v>
      </c>
      <c r="GF39" s="152" cm="1">
        <f t="array" ref="GF39">IF($C39="Production",
IFERROR(_xlfn.IFS(AND(ED39&gt;0,ED39+SUM(CB39:CC39)&lt;=$FM$3),ED39,AND(ED39&gt;0,ED39+SUM(CB39:CC39)&gt;$FM$3),$FM$3-SUM(CB39:CC39)),0),
IFERROR(_xlfn.IFS(AND(ED39&gt;0,ED39+CC39&lt;=$FK$3),ED39,AND(ED39&gt;0,ED39+CC39&gt;$FK$3),0),0)
)</f>
        <v>0</v>
      </c>
      <c r="GG39" s="152" cm="1">
        <f t="array" ref="GG39">IF($C39="Production",
IFERROR(_xlfn.IFS(AND(EE39&gt;0,EE39+SUM(CC39:CD39)&lt;=$FM$3),EE39,AND(EE39&gt;0,EE39+SUM(CC39:CD39)&gt;$FM$3),$FM$3-SUM(CC39:CD39)),0),
IFERROR(_xlfn.IFS(AND(EE39&gt;0,EE39+CD39&lt;=$FK$3),EE39,AND(EE39&gt;0,EE39+CD39&gt;$FK$3),0),0)
)</f>
        <v>0</v>
      </c>
      <c r="GH39" s="152" cm="1">
        <f t="array" ref="GH39">IF($C39="Production",
IFERROR(_xlfn.IFS(AND(EF39&gt;0,EF39+SUM(CD39:CE39)&lt;=$FM$3),EF39,AND(EF39&gt;0,EF39+SUM(CD39:CE39)&gt;$FM$3),$FM$3-SUM(CD39:CE39)),0),
IFERROR(_xlfn.IFS(AND(EF39&gt;0,EF39+CE39&lt;=$FK$3),EF39,AND(EF39&gt;0,EF39+CE39&gt;$FK$3),0),0)
)</f>
        <v>0</v>
      </c>
      <c r="GI39" s="152" cm="1">
        <f t="array" ref="GI39">IF($C39="Production",
IFERROR(_xlfn.IFS(AND(EG39&gt;0,EG39+SUM(CE39:CF39)&lt;=$FM$3),EG39,AND(EG39&gt;0,EG39+SUM(CE39:CF39)&gt;$FM$3),$FM$3-SUM(CE39:CF39)),0),
IFERROR(_xlfn.IFS(AND(EG39&gt;0,EG39+CF39&lt;=$FK$3),EG39,AND(EG39&gt;0,EG39+CF39&gt;$FK$3),0),0)
)</f>
        <v>0</v>
      </c>
      <c r="GJ39" s="152" cm="1">
        <f t="array" ref="GJ39">IF($C39="Production",
IFERROR(_xlfn.IFS(AND(EH39&gt;0,EH39+SUM(CF39:CG39)&lt;=$FM$3),EH39,AND(EH39&gt;0,EH39+SUM(CF39:CG39)&gt;$FM$3),$FM$3-SUM(CF39:CG39)),0),
IFERROR(_xlfn.IFS(AND(EH39&gt;0,EH39+CG39&lt;=$FK$3),EH39,AND(EH39&gt;0,EH39+CG39&gt;$FK$3),0),0)
)</f>
        <v>0</v>
      </c>
      <c r="GK39" s="152" cm="1">
        <f t="array" ref="GK39">IF($C39="Production",
IFERROR(_xlfn.IFS(AND(EI39&gt;0,EI39+SUM(CG39:CH39)&lt;=$FM$3),EI39,AND(EI39&gt;0,EI39+SUM(CG39:CH39)&gt;$FM$3),$FM$3-SUM(CG39:CH39)),0),
IFERROR(_xlfn.IFS(AND(EI39&gt;0,EI39+CH39&lt;=$FK$3),EI39,AND(EI39&gt;0,EI39+CH39&gt;$FK$3),0),0)
)</f>
        <v>0</v>
      </c>
      <c r="GL39" s="152" cm="1">
        <f t="array" ref="GL39">IF($C39="Production",
IFERROR(_xlfn.IFS(AND(EJ39&gt;0,EJ39+SUM(CH39:CI39)&lt;=$FM$3),EJ39,AND(EJ39&gt;0,EJ39+SUM(CH39:CI39)&gt;$FM$3),$FM$3-SUM(CH39:CI39)),0),
IFERROR(_xlfn.IFS(AND(EJ39&gt;0,EJ39+CI39&lt;=$FK$3),EJ39,AND(EJ39&gt;0,EJ39+CI39&gt;$FK$3),0),0)
)</f>
        <v>0</v>
      </c>
      <c r="GM39" s="152" cm="1">
        <f t="array" ref="GM39">IF($C39="Production",
IFERROR(_xlfn.IFS(AND(EK39&gt;0,EK39+SUM(CI39:CJ39)&lt;=$FM$3),EK39,AND(EK39&gt;0,EK39+SUM(CI39:CJ39)&gt;$FM$3),$FM$3-SUM(CI39:CJ39)),0),
IFERROR(_xlfn.IFS(AND(EK39&gt;0,EK39+CJ39&lt;=$FK$3),EK39,AND(EK39&gt;0,EK39+CJ39&gt;$FK$3),0),0)
)</f>
        <v>0</v>
      </c>
      <c r="GN39" s="152" cm="1">
        <f t="array" ref="GN39">IF($C39="Production",
IFERROR(_xlfn.IFS(AND(EL39&gt;0,EL39+SUM(CJ39:CK39)&lt;=$FM$3),EL39,AND(EL39&gt;0,EL39+SUM(CJ39:CK39)&gt;$FM$3),$FM$3-SUM(CJ39:CK39)),0),
IFERROR(_xlfn.IFS(AND(EL39&gt;0,EL39+CK39&lt;=$FK$3),EL39,AND(EL39&gt;0,EL39+CK39&gt;$FK$3),0),0)
)</f>
        <v>0</v>
      </c>
      <c r="GO39" s="152" cm="1">
        <f t="array" ref="GO39">IF($C39="Production",
IFERROR(_xlfn.IFS(AND(EM39&gt;0,EM39+SUM(CK39:CL39)&lt;=$FM$3),EM39,AND(EM39&gt;0,EM39+SUM(CK39:CL39)&gt;$FM$3),$FM$3-SUM(CK39:CL39)),0),
IFERROR(_xlfn.IFS(AND(EM39&gt;0,EM39+CL39&lt;=$FK$3),EM39,AND(EM39&gt;0,EM39+CL39&gt;$FK$3),0),0)
)</f>
        <v>0</v>
      </c>
      <c r="GP39" s="152" cm="1">
        <f t="array" ref="GP39">IF($C39="Production",
IFERROR(_xlfn.IFS(AND(EN39&gt;0,EN39+SUM(CL39:CM39)&lt;=$FM$3),EN39,AND(EN39&gt;0,EN39+SUM(CL39:CM39)&gt;$FM$3),$FM$3-SUM(CL39:CM39)),0),
IFERROR(_xlfn.IFS(AND(EN39&gt;0,EN39+CM39&lt;=$FK$3),EN39,AND(EN39&gt;0,EN39+CM39&gt;$FK$3),0),0)
)</f>
        <v>0</v>
      </c>
      <c r="GQ39" s="152" cm="1">
        <f t="array" ref="GQ39">IF($C39="Production",
IFERROR(_xlfn.IFS(AND(EO39&gt;0,EO39+SUM(CM39:CN39)&lt;=$FM$3),EO39,AND(EO39&gt;0,EO39+SUM(CM39:CN39)&gt;$FM$3),$FM$3-SUM(CM39:CN39)),0),
IFERROR(_xlfn.IFS(AND(EO39&gt;0,EO39+CN39&lt;=$FK$3),EO39,AND(EO39&gt;0,EO39+CN39&gt;$FK$3),0),0)
)</f>
        <v>0</v>
      </c>
      <c r="GR39" s="152" cm="1">
        <f t="array" ref="GR39">IF($C39="Production",
IFERROR(_xlfn.IFS(AND(EP39&gt;0,EP39+SUM(CN39:CO39)&lt;=$FM$3),EP39,AND(EP39&gt;0,EP39+SUM(CN39:CO39)&gt;$FM$3),$FM$3-SUM(CN39:CO39)),0),
IFERROR(_xlfn.IFS(AND(EP39&gt;0,EP39+CO39&lt;=$FK$3),EP39,AND(EP39&gt;0,EP39+CO39&gt;$FK$3),0),0)
)</f>
        <v>0</v>
      </c>
      <c r="GS39" s="152" cm="1">
        <f t="array" ref="GS39">IF($C39="Production",
IFERROR(_xlfn.IFS(AND(EQ39&gt;0,EQ39+SUM(CO39:CP39)&lt;=$FM$3),EQ39,AND(EQ39&gt;0,EQ39+SUM(CO39:CP39)&gt;$FM$3),$FM$3-SUM(CO39:CP39)),0),
IFERROR(_xlfn.IFS(AND(EQ39&gt;0,EQ39+CP39&lt;=$FK$3),EQ39,AND(EQ39&gt;0,EQ39+CP39&gt;$FK$3),0),0)
)</f>
        <v>0</v>
      </c>
      <c r="GT39" s="152" cm="1">
        <f t="array" ref="GT39">IF($C39="Production",
IFERROR(_xlfn.IFS(AND(ER39&gt;0,ER39+SUM(CP39:CQ39)&lt;=$FM$3),ER39,AND(ER39&gt;0,ER39+SUM(CP39:CQ39)&gt;$FM$3),$FM$3-SUM(CP39:CQ39)),0),
IFERROR(_xlfn.IFS(AND(ER39&gt;0,ER39+CQ39&lt;=$FK$3),ER39,AND(ER39&gt;0,ER39+CQ39&gt;$FK$3),0),0)
)</f>
        <v>0</v>
      </c>
      <c r="GU39" s="152" cm="1">
        <f t="array" ref="GU39">IF($C39="Production",
IFERROR(_xlfn.IFS(AND(ES39&gt;0,ES39+SUM(CQ39:CR39)&lt;=$FM$3),ES39,AND(ES39&gt;0,ES39+SUM(CQ39:CR39)&gt;$FM$3),$FM$3-SUM(CQ39:CR39)),0),
IFERROR(_xlfn.IFS(AND(ES39&gt;0,ES39+CR39&lt;=$FK$3),ES39,AND(ES39&gt;0,ES39+CR39&gt;$FK$3),0),0)
)</f>
        <v>0</v>
      </c>
      <c r="GV39" s="152" cm="1">
        <f t="array" ref="GV39">IF($C39="Production",
IFERROR(_xlfn.IFS(AND(ET39&gt;0,ET39+SUM(CR39:CS39)&lt;=$FM$3),ET39,AND(ET39&gt;0,ET39+SUM(CR39:CS39)&gt;$FM$3),$FM$3-SUM(CR39:CS39)),0),
IFERROR(_xlfn.IFS(AND(ET39&gt;0,ET39+CS39&lt;=$FK$3),ET39,AND(ET39&gt;0,ET39+CS39&gt;$FK$3),0),0)
)</f>
        <v>0</v>
      </c>
      <c r="GW39" s="152" cm="1">
        <f t="array" ref="GW39">IF($C39="Production",
IFERROR(_xlfn.IFS(AND(EU39&gt;0,EU39+SUM(CS39:CT39)&lt;=$FM$3),EU39,AND(EU39&gt;0,EU39+SUM(CS39:CT39)&gt;$FM$3),$FM$3-SUM(CS39:CT39)),0),
IFERROR(_xlfn.IFS(AND(EU39&gt;0,EU39+CT39&lt;=$FK$3),EU39,AND(EU39&gt;0,EU39+CT39&gt;$FK$3),0),0)
)</f>
        <v>0</v>
      </c>
      <c r="GX39" s="152" cm="1">
        <f t="array" ref="GX39">IF($C39="Production",
IFERROR(_xlfn.IFS(AND(EV39&gt;0,EV39+SUM(CT39:CU39)&lt;=$FM$3),EV39,AND(EV39&gt;0,EV39+SUM(CT39:CU39)&gt;$FM$3),$FM$3-SUM(CT39:CU39)),0),
IFERROR(_xlfn.IFS(AND(EV39&gt;0,EV39+CU39&lt;=$FK$3),EV39,AND(EV39&gt;0,EV39+CU39&gt;$FK$3),0),0)
)</f>
        <v>0</v>
      </c>
      <c r="GY39" s="152" cm="1">
        <f t="array" ref="GY39">IF($C39="Production",
IFERROR(_xlfn.IFS(AND(EW39&gt;0,EW39+SUM(CU39:CV39)&lt;=$FM$3),EW39,AND(EW39&gt;0,EW39+SUM(CU39:CV39)&gt;$FM$3),$FM$3-SUM(CU39:CV39)),0),
IFERROR(_xlfn.IFS(AND(EW39&gt;0,EW39+CV39&lt;=$FK$3),EW39,AND(EW39&gt;0,EW39+CV39&gt;$FK$3),0),0)
)</f>
        <v>0</v>
      </c>
      <c r="GZ39" s="152" cm="1">
        <f t="array" ref="GZ39">IF($C39="Production",
IFERROR(_xlfn.IFS(AND(EX39&gt;0,EX39+SUM(CV39:CW39)&lt;=$FM$3),EX39,AND(EX39&gt;0,EX39+SUM(CV39:CW39)&gt;$FM$3),$FM$3-SUM(CV39:CW39)),0),
IFERROR(_xlfn.IFS(AND(EX39&gt;0,EX39+CW39&lt;=$FK$3),EX39,AND(EX39&gt;0,EX39+CW39&gt;$FK$3),0),0)
)</f>
        <v>0</v>
      </c>
      <c r="HA39" s="152" cm="1">
        <f t="array" ref="HA39">IF($C39="Production",
IFERROR(_xlfn.IFS(AND(EY39&gt;0,EY39+SUM(CW39:CX39)&lt;=$FM$3),EY39,AND(EY39&gt;0,EY39+SUM(CW39:CX39)&gt;$FM$3),$FM$3-SUM(CW39:CX39)),0),
IFERROR(_xlfn.IFS(AND(EY39&gt;0,EY39+CX39&lt;=$FK$3),EY39,AND(EY39&gt;0,EY39+CX39&gt;$FK$3),0),0)
)</f>
        <v>0</v>
      </c>
      <c r="HB39" s="152" cm="1">
        <f t="array" ref="HB39">IF($C39="Production",
IFERROR(_xlfn.IFS(AND(EZ39&gt;0,EZ39+SUM(CX39:CY39)&lt;=$FM$3),EZ39,AND(EZ39&gt;0,EZ39+SUM(CX39:CY39)&gt;$FM$3),$FM$3-SUM(CX39:CY39)),0),
IFERROR(_xlfn.IFS(AND(EZ39&gt;0,EZ39+CY39&lt;=$FK$3),EZ39,AND(EZ39&gt;0,EZ39+CY39&gt;$FK$3),0),0)
)</f>
        <v>0</v>
      </c>
      <c r="HC39" s="152" cm="1">
        <f t="array" ref="HC39">IF($C39="Production",
IFERROR(_xlfn.IFS(AND(FA39&gt;0,FA39+SUM(CY39:CZ39)&lt;=$FM$3),FA39,AND(FA39&gt;0,FA39+SUM(CY39:CZ39)&gt;$FM$3),$FM$3-SUM(CY39:CZ39)),0),
IFERROR(_xlfn.IFS(AND(FA39&gt;0,FA39+CZ39&lt;=$FK$3),FA39,AND(FA39&gt;0,FA39+CZ39&gt;$FK$3),0),0)
)</f>
        <v>0</v>
      </c>
      <c r="HD39" s="152" cm="1">
        <f t="array" ref="HD39">IF($C39="Production",
IFERROR(_xlfn.IFS(AND(FB39&gt;0,FB39+SUM(CZ39:DA39)&lt;=$FM$3),FB39,AND(FB39&gt;0,FB39+SUM(CZ39:DA39)&gt;$FM$3),$FM$3-SUM(CZ39:DA39)),0),
IFERROR(_xlfn.IFS(AND(FB39&gt;0,FB39+DA39&lt;=$FK$3),FB39,AND(FB39&gt;0,FB39+DA39&gt;$FK$3),0),0)
)</f>
        <v>0</v>
      </c>
      <c r="HE39" s="152" cm="1">
        <f t="array" ref="HE39">IF($C39="Production",
IFERROR(_xlfn.IFS(AND(FC39&gt;0,FC39+SUM(DA39:DB39)&lt;=$FM$3),FC39,AND(FC39&gt;0,FC39+SUM(DA39:DB39)&gt;$FM$3),$FM$3-SUM(DA39:DB39)),0),
IFERROR(_xlfn.IFS(AND(FC39&gt;0,FC39+DB39&lt;=$FK$3),FC39,AND(FC39&gt;0,FC39+DB39&gt;$FK$3),0),0)
)</f>
        <v>0</v>
      </c>
      <c r="HF39" s="152" cm="1">
        <f t="array" ref="HF39">IF($C39="Production",
IFERROR(_xlfn.IFS(AND(FD39&gt;0,FD39+SUM(DB39:DC39)&lt;=$FM$3),FD39,AND(FD39&gt;0,FD39+SUM(DB39:DC39)&gt;$FM$3),$FM$3-SUM(DB39:DC39)),0),
IFERROR(_xlfn.IFS(AND(FD39&gt;0,FD39+DC39&lt;=$FK$3),FD39,AND(FD39&gt;0,FD39+DC39&gt;$FK$3),0),0)
)</f>
        <v>0</v>
      </c>
      <c r="HG39" s="152" cm="1">
        <f t="array" ref="HG39">IF($C39="Production",
IFERROR(_xlfn.IFS(AND(FE39&gt;0,FE39+SUM(DC39:DD39)&lt;=$FM$3),FE39,AND(FE39&gt;0,FE39+SUM(DC39:DD39)&gt;$FM$3),$FM$3-SUM(DC39:DD39)),0),
IFERROR(_xlfn.IFS(AND(FE39&gt;0,FE39+DD39&lt;=$FK$3),FE39,AND(FE39&gt;0,FE39+DD39&gt;$FK$3),0),0)
)</f>
        <v>0</v>
      </c>
      <c r="HH39" s="152" cm="1">
        <f t="array" ref="HH39">IF($C39="Production",
IFERROR(_xlfn.IFS(AND(FF39&gt;0,FF39+SUM(DD39:DE39)&lt;=$FM$3),FF39,AND(FF39&gt;0,FF39+SUM(DD39:DE39)&gt;$FM$3),$FM$3-SUM(DD39:DE39)),0),
IFERROR(_xlfn.IFS(AND(FF39&gt;0,FF39+DE39&lt;=$FK$3),FF39,AND(FF39&gt;0,FF39+DE39&gt;$FK$3),0),0)
)</f>
        <v>0</v>
      </c>
      <c r="HI39" s="156" cm="1">
        <f t="array" ref="HI39">IF($C39="Production",
IFERROR(_xlfn.IFS(AND(FG39&gt;0,FG39+SUM(DE39:DF39)&lt;=$FM$3),FG39,AND(FG39&gt;0,FG39+SUM(DE39:DF39)&gt;$FM$3),$FM$3-SUM(DE39:DF39)),0),
IFERROR(_xlfn.IFS(AND(FG39&gt;0,FG39+DF39&lt;=$FK$3),FG39,AND(FG39&gt;0,FG39+DF39&gt;$FK$3),0),0)
)</f>
        <v>0</v>
      </c>
      <c r="HJ39" s="113">
        <f t="shared" si="110"/>
        <v>16</v>
      </c>
      <c r="HK39" s="80"/>
      <c r="HL39" s="112">
        <f t="shared" si="56"/>
        <v>0</v>
      </c>
      <c r="HM39" s="138">
        <f t="shared" si="57"/>
        <v>0</v>
      </c>
      <c r="HN39" s="138">
        <f t="shared" si="58"/>
        <v>0</v>
      </c>
      <c r="HO39" s="138">
        <f t="shared" si="59"/>
        <v>0</v>
      </c>
      <c r="HP39" s="138">
        <f t="shared" si="60"/>
        <v>0</v>
      </c>
      <c r="HQ39" s="138">
        <f t="shared" si="61"/>
        <v>0</v>
      </c>
      <c r="HR39" s="138">
        <f t="shared" si="62"/>
        <v>0</v>
      </c>
      <c r="HS39" s="138">
        <f t="shared" si="63"/>
        <v>0</v>
      </c>
      <c r="HT39" s="138">
        <f t="shared" si="64"/>
        <v>0</v>
      </c>
      <c r="HU39" s="138">
        <f t="shared" si="65"/>
        <v>0</v>
      </c>
      <c r="HV39" s="138">
        <f t="shared" si="66"/>
        <v>0</v>
      </c>
      <c r="HW39" s="138">
        <f t="shared" si="67"/>
        <v>0</v>
      </c>
      <c r="HX39" s="138">
        <f t="shared" si="68"/>
        <v>0</v>
      </c>
      <c r="HY39" s="138">
        <f t="shared" si="69"/>
        <v>0</v>
      </c>
      <c r="HZ39" s="138">
        <f t="shared" si="70"/>
        <v>0</v>
      </c>
      <c r="IA39" s="138">
        <f t="shared" si="71"/>
        <v>0</v>
      </c>
      <c r="IB39" s="138">
        <f t="shared" si="72"/>
        <v>0</v>
      </c>
      <c r="IC39" s="138">
        <f t="shared" si="73"/>
        <v>0</v>
      </c>
      <c r="ID39" s="138">
        <f t="shared" si="74"/>
        <v>0</v>
      </c>
      <c r="IE39" s="138">
        <f t="shared" si="75"/>
        <v>0</v>
      </c>
      <c r="IF39" s="138">
        <f t="shared" si="76"/>
        <v>0</v>
      </c>
      <c r="IG39" s="138">
        <f t="shared" si="77"/>
        <v>0</v>
      </c>
      <c r="IH39" s="138">
        <f t="shared" si="78"/>
        <v>0</v>
      </c>
      <c r="II39" s="138">
        <f t="shared" si="79"/>
        <v>0</v>
      </c>
      <c r="IJ39" s="138">
        <f t="shared" si="80"/>
        <v>0</v>
      </c>
      <c r="IK39" s="138">
        <f t="shared" si="81"/>
        <v>0</v>
      </c>
      <c r="IL39" s="138">
        <f t="shared" si="82"/>
        <v>0</v>
      </c>
      <c r="IM39" s="138">
        <f t="shared" si="83"/>
        <v>0</v>
      </c>
      <c r="IN39" s="138">
        <f t="shared" si="84"/>
        <v>0</v>
      </c>
      <c r="IO39" s="138">
        <f t="shared" si="85"/>
        <v>0</v>
      </c>
      <c r="IP39" s="138">
        <f t="shared" si="86"/>
        <v>0</v>
      </c>
      <c r="IQ39" s="138">
        <f t="shared" si="87"/>
        <v>0</v>
      </c>
      <c r="IR39" s="138">
        <f t="shared" si="88"/>
        <v>0</v>
      </c>
      <c r="IS39" s="138">
        <f t="shared" si="89"/>
        <v>0</v>
      </c>
      <c r="IT39" s="138">
        <f t="shared" si="90"/>
        <v>0</v>
      </c>
      <c r="IU39" s="138">
        <f t="shared" si="91"/>
        <v>0</v>
      </c>
      <c r="IV39" s="138">
        <f t="shared" si="92"/>
        <v>0</v>
      </c>
      <c r="IW39" s="138">
        <f t="shared" si="93"/>
        <v>0</v>
      </c>
      <c r="IX39" s="138">
        <f t="shared" si="94"/>
        <v>0</v>
      </c>
      <c r="IY39" s="138">
        <f t="shared" si="95"/>
        <v>0</v>
      </c>
      <c r="IZ39" s="138">
        <f t="shared" si="96"/>
        <v>0</v>
      </c>
      <c r="JA39" s="138">
        <f t="shared" si="97"/>
        <v>0</v>
      </c>
      <c r="JB39" s="138">
        <f t="shared" si="98"/>
        <v>0</v>
      </c>
      <c r="JC39" s="138">
        <f t="shared" si="99"/>
        <v>0</v>
      </c>
      <c r="JD39" s="138">
        <f t="shared" si="100"/>
        <v>0</v>
      </c>
      <c r="JE39" s="138">
        <f t="shared" si="101"/>
        <v>0</v>
      </c>
      <c r="JF39" s="138">
        <f t="shared" si="102"/>
        <v>0</v>
      </c>
      <c r="JG39" s="138">
        <f t="shared" si="103"/>
        <v>0</v>
      </c>
      <c r="JH39" s="138">
        <f t="shared" si="104"/>
        <v>0</v>
      </c>
      <c r="JI39" s="138">
        <f t="shared" si="105"/>
        <v>0</v>
      </c>
      <c r="JJ39" s="138">
        <f t="shared" si="106"/>
        <v>0</v>
      </c>
      <c r="JK39" s="138">
        <f t="shared" si="107"/>
        <v>0</v>
      </c>
      <c r="JL39" s="118">
        <f t="shared" si="111"/>
        <v>0</v>
      </c>
      <c r="JO39" s="90">
        <f t="shared" si="112"/>
        <v>16</v>
      </c>
      <c r="JP39" s="79">
        <f t="shared" si="108"/>
        <v>0</v>
      </c>
      <c r="JQ39" s="91">
        <f t="shared" si="2"/>
        <v>20</v>
      </c>
      <c r="JS39" s="123">
        <f t="shared" si="109"/>
        <v>0</v>
      </c>
      <c r="JU39" s="123">
        <f t="shared" si="113"/>
        <v>20</v>
      </c>
    </row>
    <row r="40" spans="2:281" x14ac:dyDescent="0.15">
      <c r="B40" s="82" t="str">
        <f>'MODU 2025'!B43</f>
        <v>ROSSELLO Yasmina</v>
      </c>
      <c r="C40" s="82" t="str">
        <f>'MODU 2025'!C43</f>
        <v>Production</v>
      </c>
      <c r="D40" s="82">
        <f>'MODU 2025'!D43</f>
        <v>37</v>
      </c>
      <c r="E40" s="82"/>
      <c r="F40" s="133">
        <f>'MODU 2025'!G43</f>
        <v>41.25</v>
      </c>
      <c r="G40" s="140">
        <f>'MODU 2025'!H43</f>
        <v>33</v>
      </c>
      <c r="H40" s="140">
        <f>'MODU 2025'!I43</f>
        <v>41</v>
      </c>
      <c r="I40" s="140">
        <f>'MODU 2025'!J43</f>
        <v>33</v>
      </c>
      <c r="J40" s="140">
        <f>'MODU 2025'!K43</f>
        <v>41</v>
      </c>
      <c r="K40" s="140">
        <f>'MODU 2025'!L43</f>
        <v>33</v>
      </c>
      <c r="L40" s="140">
        <f>'MODU 2025'!M43</f>
        <v>41.25</v>
      </c>
      <c r="M40" s="140">
        <f>'MODU 2025'!N43</f>
        <v>40.75</v>
      </c>
      <c r="N40" s="140">
        <f>'MODU 2025'!O43</f>
        <v>41.25</v>
      </c>
      <c r="O40" s="140">
        <f>'MODU 2025'!P43</f>
        <v>33</v>
      </c>
      <c r="P40" s="140">
        <f>'MODU 2025'!Q43</f>
        <v>41</v>
      </c>
      <c r="Q40" s="140">
        <f>'MODU 2025'!R43</f>
        <v>33</v>
      </c>
      <c r="R40" s="140">
        <f>'MODU 2025'!S43</f>
        <v>41</v>
      </c>
      <c r="S40" s="140">
        <f>'MODU 2025'!T43</f>
        <v>33</v>
      </c>
      <c r="T40" s="140">
        <f>'MODU 2025'!U43</f>
        <v>41</v>
      </c>
      <c r="U40" s="140">
        <f>'MODU 2025'!V43</f>
        <v>33</v>
      </c>
      <c r="V40" s="140">
        <f>'MODU 2025'!W43</f>
        <v>41</v>
      </c>
      <c r="W40" s="140">
        <f>'MODU 2025'!X43</f>
        <v>33</v>
      </c>
      <c r="X40" s="140">
        <f>'MODU 2025'!Y43</f>
        <v>41</v>
      </c>
      <c r="Y40" s="140">
        <f>'MODU 2025'!Z43</f>
        <v>33</v>
      </c>
      <c r="Z40" s="140">
        <f>'MODU 2025'!AA43</f>
        <v>41</v>
      </c>
      <c r="AA40" s="140">
        <f>'MODU 2025'!AB43</f>
        <v>33</v>
      </c>
      <c r="AB40" s="140">
        <f>'MODU 2025'!AC43</f>
        <v>41</v>
      </c>
      <c r="AC40" s="140">
        <f>'MODU 2025'!AD43</f>
        <v>33</v>
      </c>
      <c r="AD40" s="140">
        <f>'MODU 2025'!AE43</f>
        <v>41</v>
      </c>
      <c r="AE40" s="140">
        <f>'MODU 2025'!AF43</f>
        <v>33</v>
      </c>
      <c r="AF40" s="140">
        <f>'MODU 2025'!AG43</f>
        <v>41</v>
      </c>
      <c r="AG40" s="140">
        <f>'MODU 2025'!AH43</f>
        <v>33</v>
      </c>
      <c r="AH40" s="140">
        <f>'MODU 2025'!AI43</f>
        <v>41</v>
      </c>
      <c r="AI40" s="140">
        <f>'MODU 2025'!AJ43</f>
        <v>33</v>
      </c>
      <c r="AJ40" s="140">
        <f>'MODU 2025'!AK43</f>
        <v>41</v>
      </c>
      <c r="AK40" s="140">
        <f>'MODU 2025'!AL43</f>
        <v>33</v>
      </c>
      <c r="AL40" s="140">
        <f>'MODU 2025'!AM43</f>
        <v>41</v>
      </c>
      <c r="AM40" s="140">
        <f>'MODU 2025'!AN43</f>
        <v>33</v>
      </c>
      <c r="AN40" s="140">
        <f>'MODU 2025'!AO43</f>
        <v>41</v>
      </c>
      <c r="AO40" s="140">
        <f>'MODU 2025'!AP43</f>
        <v>33</v>
      </c>
      <c r="AP40" s="140">
        <f>'MODU 2025'!AQ43</f>
        <v>41</v>
      </c>
      <c r="AQ40" s="140">
        <f>'MODU 2025'!AR43</f>
        <v>33</v>
      </c>
      <c r="AR40" s="140">
        <f>'MODU 2025'!AS43</f>
        <v>41</v>
      </c>
      <c r="AS40" s="140">
        <f>'MODU 2025'!AT43</f>
        <v>33</v>
      </c>
      <c r="AT40" s="140">
        <f>'MODU 2025'!AU43</f>
        <v>41</v>
      </c>
      <c r="AU40" s="140">
        <f>'MODU 2025'!AV43</f>
        <v>33</v>
      </c>
      <c r="AV40" s="140">
        <f>'MODU 2025'!AW43</f>
        <v>41</v>
      </c>
      <c r="AW40" s="140">
        <f>'MODU 2025'!AX43</f>
        <v>33</v>
      </c>
      <c r="AX40" s="140">
        <f>'MODU 2025'!AY43</f>
        <v>41</v>
      </c>
      <c r="AY40" s="140">
        <f>'MODU 2025'!AZ43</f>
        <v>33</v>
      </c>
      <c r="AZ40" s="140">
        <f>'MODU 2025'!BA43</f>
        <v>41</v>
      </c>
      <c r="BA40" s="140">
        <f>'MODU 2025'!BB43</f>
        <v>33</v>
      </c>
      <c r="BB40" s="140">
        <f>'MODU 2025'!BC43</f>
        <v>41</v>
      </c>
      <c r="BC40" s="140">
        <f>'MODU 2025'!BD43</f>
        <v>33</v>
      </c>
      <c r="BD40" s="140">
        <f>'MODU 2025'!BE43</f>
        <v>41</v>
      </c>
      <c r="BE40" s="134">
        <f>'MODU 2025'!BF43</f>
        <v>33</v>
      </c>
      <c r="BF40" s="82"/>
      <c r="BG40" s="107">
        <v>41</v>
      </c>
      <c r="BH40" s="145">
        <v>33</v>
      </c>
      <c r="BI40" s="145">
        <v>41</v>
      </c>
      <c r="BJ40" s="145">
        <v>33</v>
      </c>
      <c r="BK40" s="145">
        <v>41</v>
      </c>
      <c r="BL40" s="145">
        <v>33</v>
      </c>
      <c r="BM40" s="145">
        <v>41</v>
      </c>
      <c r="BN40" s="145">
        <v>33</v>
      </c>
      <c r="BO40" s="145">
        <v>41</v>
      </c>
      <c r="BP40" s="145">
        <v>33</v>
      </c>
      <c r="BQ40" s="145">
        <v>41</v>
      </c>
      <c r="BR40" s="145">
        <v>33</v>
      </c>
      <c r="BS40" s="145">
        <v>41</v>
      </c>
      <c r="BT40" s="145">
        <v>33</v>
      </c>
      <c r="BU40" s="145">
        <v>41</v>
      </c>
      <c r="BV40" s="145">
        <v>33</v>
      </c>
      <c r="BW40" s="145">
        <v>41</v>
      </c>
      <c r="BX40" s="145">
        <v>33</v>
      </c>
      <c r="BY40" s="145">
        <v>41</v>
      </c>
      <c r="BZ40" s="145">
        <v>33</v>
      </c>
      <c r="CA40" s="145">
        <v>41</v>
      </c>
      <c r="CB40" s="145">
        <v>33</v>
      </c>
      <c r="CC40" s="145">
        <v>41</v>
      </c>
      <c r="CD40" s="145">
        <v>33</v>
      </c>
      <c r="CE40" s="145">
        <v>41</v>
      </c>
      <c r="CF40" s="145">
        <v>33</v>
      </c>
      <c r="CG40" s="145">
        <v>41</v>
      </c>
      <c r="CH40" s="145">
        <v>33</v>
      </c>
      <c r="CI40" s="145">
        <v>41</v>
      </c>
      <c r="CJ40" s="145">
        <v>33</v>
      </c>
      <c r="CK40" s="145">
        <v>41</v>
      </c>
      <c r="CL40" s="145">
        <v>33</v>
      </c>
      <c r="CM40" s="145">
        <v>41</v>
      </c>
      <c r="CN40" s="145">
        <v>33</v>
      </c>
      <c r="CO40" s="145">
        <v>41</v>
      </c>
      <c r="CP40" s="145">
        <v>33</v>
      </c>
      <c r="CQ40" s="145">
        <v>41</v>
      </c>
      <c r="CR40" s="145">
        <v>33</v>
      </c>
      <c r="CS40" s="145">
        <v>41</v>
      </c>
      <c r="CT40" s="145">
        <v>33</v>
      </c>
      <c r="CU40" s="145">
        <v>41</v>
      </c>
      <c r="CV40" s="145">
        <v>33</v>
      </c>
      <c r="CW40" s="145">
        <v>41</v>
      </c>
      <c r="CX40" s="145">
        <v>33</v>
      </c>
      <c r="CY40" s="145">
        <v>41</v>
      </c>
      <c r="CZ40" s="145">
        <v>33</v>
      </c>
      <c r="DA40" s="145">
        <v>41</v>
      </c>
      <c r="DB40" s="145">
        <v>33</v>
      </c>
      <c r="DC40" s="145">
        <v>41</v>
      </c>
      <c r="DD40" s="145">
        <v>33</v>
      </c>
      <c r="DE40" s="145">
        <v>41</v>
      </c>
      <c r="DF40" s="108">
        <v>33</v>
      </c>
      <c r="DG40" s="84"/>
      <c r="DH40" s="112">
        <f t="shared" si="3"/>
        <v>0</v>
      </c>
      <c r="DI40" s="138">
        <f t="shared" si="4"/>
        <v>0.25</v>
      </c>
      <c r="DJ40" s="138">
        <f t="shared" si="5"/>
        <v>0</v>
      </c>
      <c r="DK40" s="138">
        <f t="shared" si="6"/>
        <v>0</v>
      </c>
      <c r="DL40" s="138">
        <f t="shared" si="7"/>
        <v>0</v>
      </c>
      <c r="DM40" s="138">
        <f t="shared" si="8"/>
        <v>0</v>
      </c>
      <c r="DN40" s="138">
        <f t="shared" si="9"/>
        <v>0</v>
      </c>
      <c r="DO40" s="138">
        <f t="shared" si="10"/>
        <v>8</v>
      </c>
      <c r="DP40" s="138">
        <f t="shared" si="11"/>
        <v>0</v>
      </c>
      <c r="DQ40" s="138">
        <f t="shared" si="12"/>
        <v>0.25</v>
      </c>
      <c r="DR40" s="138">
        <f t="shared" si="13"/>
        <v>0</v>
      </c>
      <c r="DS40" s="138">
        <f t="shared" si="14"/>
        <v>0</v>
      </c>
      <c r="DT40" s="138">
        <f t="shared" si="15"/>
        <v>0</v>
      </c>
      <c r="DU40" s="138">
        <f t="shared" si="16"/>
        <v>0</v>
      </c>
      <c r="DV40" s="138">
        <f t="shared" si="17"/>
        <v>0</v>
      </c>
      <c r="DW40" s="138">
        <f t="shared" si="18"/>
        <v>0</v>
      </c>
      <c r="DX40" s="138">
        <f t="shared" si="19"/>
        <v>0</v>
      </c>
      <c r="DY40" s="138">
        <f t="shared" si="20"/>
        <v>0</v>
      </c>
      <c r="DZ40" s="138">
        <f t="shared" si="21"/>
        <v>0</v>
      </c>
      <c r="EA40" s="138">
        <f t="shared" si="22"/>
        <v>0</v>
      </c>
      <c r="EB40" s="138">
        <f t="shared" si="23"/>
        <v>0</v>
      </c>
      <c r="EC40" s="138">
        <f t="shared" si="24"/>
        <v>0</v>
      </c>
      <c r="ED40" s="138">
        <f t="shared" si="25"/>
        <v>0</v>
      </c>
      <c r="EE40" s="138">
        <f t="shared" si="26"/>
        <v>0</v>
      </c>
      <c r="EF40" s="138">
        <f t="shared" si="27"/>
        <v>0</v>
      </c>
      <c r="EG40" s="138">
        <f t="shared" si="28"/>
        <v>0</v>
      </c>
      <c r="EH40" s="138">
        <f t="shared" si="29"/>
        <v>0</v>
      </c>
      <c r="EI40" s="138">
        <f t="shared" si="30"/>
        <v>0</v>
      </c>
      <c r="EJ40" s="138">
        <f t="shared" si="31"/>
        <v>0</v>
      </c>
      <c r="EK40" s="138">
        <f t="shared" si="32"/>
        <v>0</v>
      </c>
      <c r="EL40" s="138">
        <f t="shared" si="33"/>
        <v>0</v>
      </c>
      <c r="EM40" s="138">
        <f t="shared" si="34"/>
        <v>0</v>
      </c>
      <c r="EN40" s="138">
        <f t="shared" si="35"/>
        <v>0</v>
      </c>
      <c r="EO40" s="138">
        <f t="shared" si="36"/>
        <v>0</v>
      </c>
      <c r="EP40" s="138">
        <f t="shared" si="37"/>
        <v>0</v>
      </c>
      <c r="EQ40" s="138">
        <f t="shared" si="38"/>
        <v>0</v>
      </c>
      <c r="ER40" s="138">
        <f t="shared" si="39"/>
        <v>0</v>
      </c>
      <c r="ES40" s="138">
        <f t="shared" si="40"/>
        <v>0</v>
      </c>
      <c r="ET40" s="138">
        <f t="shared" si="41"/>
        <v>0</v>
      </c>
      <c r="EU40" s="138">
        <f t="shared" si="42"/>
        <v>0</v>
      </c>
      <c r="EV40" s="138">
        <f t="shared" si="43"/>
        <v>0</v>
      </c>
      <c r="EW40" s="138">
        <f t="shared" si="44"/>
        <v>0</v>
      </c>
      <c r="EX40" s="138">
        <f t="shared" si="45"/>
        <v>0</v>
      </c>
      <c r="EY40" s="138">
        <f t="shared" si="46"/>
        <v>0</v>
      </c>
      <c r="EZ40" s="138">
        <f t="shared" si="47"/>
        <v>0</v>
      </c>
      <c r="FA40" s="138">
        <f t="shared" si="48"/>
        <v>0</v>
      </c>
      <c r="FB40" s="138">
        <f t="shared" si="49"/>
        <v>0</v>
      </c>
      <c r="FC40" s="138">
        <f t="shared" si="50"/>
        <v>0</v>
      </c>
      <c r="FD40" s="138">
        <f t="shared" si="51"/>
        <v>0</v>
      </c>
      <c r="FE40" s="138">
        <f t="shared" si="52"/>
        <v>0</v>
      </c>
      <c r="FF40" s="138">
        <f t="shared" si="53"/>
        <v>0</v>
      </c>
      <c r="FG40" s="113">
        <f t="shared" si="54"/>
        <v>0</v>
      </c>
      <c r="FH40" s="113">
        <f t="shared" si="55"/>
        <v>8.5</v>
      </c>
      <c r="FI40" s="35"/>
      <c r="FJ40" s="151" cm="1">
        <f t="array" ref="FJ40">IF($C40="Production",
IFERROR(_xlfn.IFS(AND(DH40&gt;0,DH40+SUM(BF40:BG40)&lt;=$FM$3),DH40,AND(DH40&gt;0,DH40+SUM(BF40:BG40)&gt;$FM$3),$FM$3-SUM(BF40:BG40)),0),
IFERROR(_xlfn.IFS(AND(DH40&gt;0,DH40+BG40&lt;=$FK$3),DH40,AND(DH40&gt;0,DH40+BG40&gt;$FK$3),0),0)
)</f>
        <v>0</v>
      </c>
      <c r="FK40" s="152" cm="1">
        <f t="array" ref="FK40">IF($C40="Production",
IFERROR(_xlfn.IFS(AND(DI40&gt;0,DI40+SUM(BG40:BH40)&lt;=$FM$3),DI40,AND(DI40&gt;0,DI40+SUM(BG40:BH40)&gt;$FM$3),$FM$3-SUM(BG40:BH40)),0),
IFERROR(_xlfn.IFS(AND(DI40&gt;0,DI40+BH40&lt;=$FK$3),DI40,AND(DI40&gt;0,DI40+BH40&gt;$FK$3),0),0)
)</f>
        <v>0.25</v>
      </c>
      <c r="FL40" s="152" cm="1">
        <f t="array" ref="FL40">IF($C40="Production",
IFERROR(_xlfn.IFS(AND(DJ40&gt;0,DJ40+SUM(BH40:BI40)&lt;=$FM$3),DJ40,AND(DJ40&gt;0,DJ40+SUM(BH40:BI40)&gt;$FM$3),$FM$3-SUM(BH40:BI40)),0),
IFERROR(_xlfn.IFS(AND(DJ40&gt;0,DJ40+BI40&lt;=$FK$3),DJ40,AND(DJ40&gt;0,DJ40+BI40&gt;$FK$3),0),0)
)</f>
        <v>0</v>
      </c>
      <c r="FM40" s="152" cm="1">
        <f t="array" ref="FM40">IF($C40="Production",
IFERROR(_xlfn.IFS(AND(DK40&gt;0,DK40+SUM(BI40:BJ40)&lt;=$FM$3),DK40,AND(DK40&gt;0,DK40+SUM(BI40:BJ40)&gt;$FM$3),$FM$3-SUM(BI40:BJ40)),0),
IFERROR(_xlfn.IFS(AND(DK40&gt;0,DK40+BJ40&lt;=$FK$3),DK40,AND(DK40&gt;0,DK40+BJ40&gt;$FK$3),0),0)
)</f>
        <v>0</v>
      </c>
      <c r="FN40" s="152" cm="1">
        <f t="array" ref="FN40">IF($C40="Production",
IFERROR(_xlfn.IFS(AND(DL40&gt;0,DL40+SUM(BJ40:BK40)&lt;=$FM$3),DL40,AND(DL40&gt;0,DL40+SUM(BJ40:BK40)&gt;$FM$3),$FM$3-SUM(BJ40:BK40)),0),
IFERROR(_xlfn.IFS(AND(DL40&gt;0,DL40+BK40&lt;=$FK$3),DL40,AND(DL40&gt;0,DL40+BK40&gt;$FK$3),0),0)
)</f>
        <v>0</v>
      </c>
      <c r="FO40" s="152" cm="1">
        <f t="array" ref="FO40">IF($C40="Production",
IFERROR(_xlfn.IFS(AND(DM40&gt;0,DM40+SUM(BK40:BL40)&lt;=$FM$3),DM40,AND(DM40&gt;0,DM40+SUM(BK40:BL40)&gt;$FM$3),$FM$3-SUM(BK40:BL40)),0),
IFERROR(_xlfn.IFS(AND(DM40&gt;0,DM40+BL40&lt;=$FK$3),DM40,AND(DM40&gt;0,DM40+BL40&gt;$FK$3),0),0)
)</f>
        <v>0</v>
      </c>
      <c r="FP40" s="152" cm="1">
        <f t="array" ref="FP40">IF($C40="Production",
IFERROR(_xlfn.IFS(AND(DN40&gt;0,DN40+SUM(BL40:BM40)&lt;=$FM$3),DN40,AND(DN40&gt;0,DN40+SUM(BL40:BM40)&gt;$FM$3),$FM$3-SUM(BL40:BM40)),0),
IFERROR(_xlfn.IFS(AND(DN40&gt;0,DN40+BM40&lt;=$FK$3),DN40,AND(DN40&gt;0,DN40+BM40&gt;$FK$3),0),0)
)</f>
        <v>0</v>
      </c>
      <c r="FQ40" s="152" cm="1">
        <f t="array" ref="FQ40">IF($C40="Production",
IFERROR(_xlfn.IFS(AND(DO40&gt;0,DO40+SUM(BM40:BN40)&lt;=$FM$3),DO40,AND(DO40&gt;0,DO40+SUM(BM40:BN40)&gt;$FM$3),$FM$3-SUM(BM40:BN40)),0),
IFERROR(_xlfn.IFS(AND(DO40&gt;0,DO40+BN40&lt;=$FK$3),DO40,AND(DO40&gt;0,DO40+BN40&gt;$FK$3),0),0)
)</f>
        <v>8</v>
      </c>
      <c r="FR40" s="152" cm="1">
        <f t="array" ref="FR40">IF($C40="Production",
IFERROR(_xlfn.IFS(AND(DP40&gt;0,DP40+SUM(BN40:BO40)&lt;=$FM$3),DP40,AND(DP40&gt;0,DP40+SUM(BN40:BO40)&gt;$FM$3),$FM$3-SUM(BN40:BO40)),0),
IFERROR(_xlfn.IFS(AND(DP40&gt;0,DP40+BO40&lt;=$FK$3),DP40,AND(DP40&gt;0,DP40+BO40&gt;$FK$3),0),0)
)</f>
        <v>0</v>
      </c>
      <c r="FS40" s="152" cm="1">
        <f t="array" ref="FS40">IF($C40="Production",
IFERROR(_xlfn.IFS(AND(DQ40&gt;0,DQ40+SUM(BO40:BP40)&lt;=$FM$3),DQ40,AND(DQ40&gt;0,DQ40+SUM(BO40:BP40)&gt;$FM$3),$FM$3-SUM(BO40:BP40)),0),
IFERROR(_xlfn.IFS(AND(DQ40&gt;0,DQ40+BP40&lt;=$FK$3),DQ40,AND(DQ40&gt;0,DQ40+BP40&gt;$FK$3),0),0)
)</f>
        <v>0.25</v>
      </c>
      <c r="FT40" s="152" cm="1">
        <f t="array" ref="FT40">IF($C40="Production",
IFERROR(_xlfn.IFS(AND(DR40&gt;0,DR40+SUM(BP40:BQ40)&lt;=$FM$3),DR40,AND(DR40&gt;0,DR40+SUM(BP40:BQ40)&gt;$FM$3),$FM$3-SUM(BP40:BQ40)),0),
IFERROR(_xlfn.IFS(AND(DR40&gt;0,DR40+BQ40&lt;=$FK$3),DR40,AND(DR40&gt;0,DR40+BQ40&gt;$FK$3),0),0)
)</f>
        <v>0</v>
      </c>
      <c r="FU40" s="152" cm="1">
        <f t="array" ref="FU40">IF($C40="Production",
IFERROR(_xlfn.IFS(AND(DS40&gt;0,DS40+SUM(BQ40:BR40)&lt;=$FM$3),DS40,AND(DS40&gt;0,DS40+SUM(BQ40:BR40)&gt;$FM$3),$FM$3-SUM(BQ40:BR40)),0),
IFERROR(_xlfn.IFS(AND(DS40&gt;0,DS40+BR40&lt;=$FK$3),DS40,AND(DS40&gt;0,DS40+BR40&gt;$FK$3),0),0)
)</f>
        <v>0</v>
      </c>
      <c r="FV40" s="152" cm="1">
        <f t="array" ref="FV40">IF($C40="Production",
IFERROR(_xlfn.IFS(AND(DT40&gt;0,DT40+SUM(BR40:BS40)&lt;=$FM$3),DT40,AND(DT40&gt;0,DT40+SUM(BR40:BS40)&gt;$FM$3),$FM$3-SUM(BR40:BS40)),0),
IFERROR(_xlfn.IFS(AND(DT40&gt;0,DT40+BS40&lt;=$FK$3),DT40,AND(DT40&gt;0,DT40+BS40&gt;$FK$3),0),0)
)</f>
        <v>0</v>
      </c>
      <c r="FW40" s="152" cm="1">
        <f t="array" ref="FW40">IF($C40="Production",
IFERROR(_xlfn.IFS(AND(DU40&gt;0,DU40+SUM(BS40:BT40)&lt;=$FM$3),DU40,AND(DU40&gt;0,DU40+SUM(BS40:BT40)&gt;$FM$3),$FM$3-SUM(BS40:BT40)),0),
IFERROR(_xlfn.IFS(AND(DU40&gt;0,DU40+BT40&lt;=$FK$3),DU40,AND(DU40&gt;0,DU40+BT40&gt;$FK$3),0),0)
)</f>
        <v>0</v>
      </c>
      <c r="FX40" s="152" cm="1">
        <f t="array" ref="FX40">IF($C40="Production",
IFERROR(_xlfn.IFS(AND(DV40&gt;0,DV40+SUM(BT40:BU40)&lt;=$FM$3),DV40,AND(DV40&gt;0,DV40+SUM(BT40:BU40)&gt;$FM$3),$FM$3-SUM(BT40:BU40)),0),
IFERROR(_xlfn.IFS(AND(DV40&gt;0,DV40+BU40&lt;=$FK$3),DV40,AND(DV40&gt;0,DV40+BU40&gt;$FK$3),0),0)
)</f>
        <v>0</v>
      </c>
      <c r="FY40" s="152" cm="1">
        <f t="array" ref="FY40">IF($C40="Production",
IFERROR(_xlfn.IFS(AND(DW40&gt;0,DW40+SUM(BU40:BV40)&lt;=$FM$3),DW40,AND(DW40&gt;0,DW40+SUM(BU40:BV40)&gt;$FM$3),$FM$3-SUM(BU40:BV40)),0),
IFERROR(_xlfn.IFS(AND(DW40&gt;0,DW40+BV40&lt;=$FK$3),DW40,AND(DW40&gt;0,DW40+BV40&gt;$FK$3),0),0)
)</f>
        <v>0</v>
      </c>
      <c r="FZ40" s="152" cm="1">
        <f t="array" ref="FZ40">IF($C40="Production",
IFERROR(_xlfn.IFS(AND(DX40&gt;0,DX40+SUM(BV40:BW40)&lt;=$FM$3),DX40,AND(DX40&gt;0,DX40+SUM(BV40:BW40)&gt;$FM$3),$FM$3-SUM(BV40:BW40)),0),
IFERROR(_xlfn.IFS(AND(DX40&gt;0,DX40+BW40&lt;=$FK$3),DX40,AND(DX40&gt;0,DX40+BW40&gt;$FK$3),0),0)
)</f>
        <v>0</v>
      </c>
      <c r="GA40" s="152" cm="1">
        <f t="array" ref="GA40">IF($C40="Production",
IFERROR(_xlfn.IFS(AND(DY40&gt;0,DY40+SUM(BW40:BX40)&lt;=$FM$3),DY40,AND(DY40&gt;0,DY40+SUM(BW40:BX40)&gt;$FM$3),$FM$3-SUM(BW40:BX40)),0),
IFERROR(_xlfn.IFS(AND(DY40&gt;0,DY40+BX40&lt;=$FK$3),DY40,AND(DY40&gt;0,DY40+BX40&gt;$FK$3),0),0)
)</f>
        <v>0</v>
      </c>
      <c r="GB40" s="152" cm="1">
        <f t="array" ref="GB40">IF($C40="Production",
IFERROR(_xlfn.IFS(AND(DZ40&gt;0,DZ40+SUM(BX40:BY40)&lt;=$FM$3),DZ40,AND(DZ40&gt;0,DZ40+SUM(BX40:BY40)&gt;$FM$3),$FM$3-SUM(BX40:BY40)),0),
IFERROR(_xlfn.IFS(AND(DZ40&gt;0,DZ40+BY40&lt;=$FK$3),DZ40,AND(DZ40&gt;0,DZ40+BY40&gt;$FK$3),0),0)
)</f>
        <v>0</v>
      </c>
      <c r="GC40" s="152" cm="1">
        <f t="array" ref="GC40">IF($C40="Production",
IFERROR(_xlfn.IFS(AND(EA40&gt;0,EA40+SUM(BY40:BZ40)&lt;=$FM$3),EA40,AND(EA40&gt;0,EA40+SUM(BY40:BZ40)&gt;$FM$3),$FM$3-SUM(BY40:BZ40)),0),
IFERROR(_xlfn.IFS(AND(EA40&gt;0,EA40+BZ40&lt;=$FK$3),EA40,AND(EA40&gt;0,EA40+BZ40&gt;$FK$3),0),0)
)</f>
        <v>0</v>
      </c>
      <c r="GD40" s="152" cm="1">
        <f t="array" ref="GD40">IF($C40="Production",
IFERROR(_xlfn.IFS(AND(EB40&gt;0,EB40+SUM(BZ40:CA40)&lt;=$FM$3),EB40,AND(EB40&gt;0,EB40+SUM(BZ40:CA40)&gt;$FM$3),$FM$3-SUM(BZ40:CA40)),0),
IFERROR(_xlfn.IFS(AND(EB40&gt;0,EB40+CA40&lt;=$FK$3),EB40,AND(EB40&gt;0,EB40+CA40&gt;$FK$3),0),0)
)</f>
        <v>0</v>
      </c>
      <c r="GE40" s="152" cm="1">
        <f t="array" ref="GE40">IF($C40="Production",
IFERROR(_xlfn.IFS(AND(EC40&gt;0,EC40+SUM(CA40:CB40)&lt;=$FM$3),EC40,AND(EC40&gt;0,EC40+SUM(CA40:CB40)&gt;$FM$3),$FM$3-SUM(CA40:CB40)),0),
IFERROR(_xlfn.IFS(AND(EC40&gt;0,EC40+CB40&lt;=$FK$3),EC40,AND(EC40&gt;0,EC40+CB40&gt;$FK$3),0),0)
)</f>
        <v>0</v>
      </c>
      <c r="GF40" s="152" cm="1">
        <f t="array" ref="GF40">IF($C40="Production",
IFERROR(_xlfn.IFS(AND(ED40&gt;0,ED40+SUM(CB40:CC40)&lt;=$FM$3),ED40,AND(ED40&gt;0,ED40+SUM(CB40:CC40)&gt;$FM$3),$FM$3-SUM(CB40:CC40)),0),
IFERROR(_xlfn.IFS(AND(ED40&gt;0,ED40+CC40&lt;=$FK$3),ED40,AND(ED40&gt;0,ED40+CC40&gt;$FK$3),0),0)
)</f>
        <v>0</v>
      </c>
      <c r="GG40" s="152" cm="1">
        <f t="array" ref="GG40">IF($C40="Production",
IFERROR(_xlfn.IFS(AND(EE40&gt;0,EE40+SUM(CC40:CD40)&lt;=$FM$3),EE40,AND(EE40&gt;0,EE40+SUM(CC40:CD40)&gt;$FM$3),$FM$3-SUM(CC40:CD40)),0),
IFERROR(_xlfn.IFS(AND(EE40&gt;0,EE40+CD40&lt;=$FK$3),EE40,AND(EE40&gt;0,EE40+CD40&gt;$FK$3),0),0)
)</f>
        <v>0</v>
      </c>
      <c r="GH40" s="152" cm="1">
        <f t="array" ref="GH40">IF($C40="Production",
IFERROR(_xlfn.IFS(AND(EF40&gt;0,EF40+SUM(CD40:CE40)&lt;=$FM$3),EF40,AND(EF40&gt;0,EF40+SUM(CD40:CE40)&gt;$FM$3),$FM$3-SUM(CD40:CE40)),0),
IFERROR(_xlfn.IFS(AND(EF40&gt;0,EF40+CE40&lt;=$FK$3),EF40,AND(EF40&gt;0,EF40+CE40&gt;$FK$3),0),0)
)</f>
        <v>0</v>
      </c>
      <c r="GI40" s="152" cm="1">
        <f t="array" ref="GI40">IF($C40="Production",
IFERROR(_xlfn.IFS(AND(EG40&gt;0,EG40+SUM(CE40:CF40)&lt;=$FM$3),EG40,AND(EG40&gt;0,EG40+SUM(CE40:CF40)&gt;$FM$3),$FM$3-SUM(CE40:CF40)),0),
IFERROR(_xlfn.IFS(AND(EG40&gt;0,EG40+CF40&lt;=$FK$3),EG40,AND(EG40&gt;0,EG40+CF40&gt;$FK$3),0),0)
)</f>
        <v>0</v>
      </c>
      <c r="GJ40" s="152" cm="1">
        <f t="array" ref="GJ40">IF($C40="Production",
IFERROR(_xlfn.IFS(AND(EH40&gt;0,EH40+SUM(CF40:CG40)&lt;=$FM$3),EH40,AND(EH40&gt;0,EH40+SUM(CF40:CG40)&gt;$FM$3),$FM$3-SUM(CF40:CG40)),0),
IFERROR(_xlfn.IFS(AND(EH40&gt;0,EH40+CG40&lt;=$FK$3),EH40,AND(EH40&gt;0,EH40+CG40&gt;$FK$3),0),0)
)</f>
        <v>0</v>
      </c>
      <c r="GK40" s="152" cm="1">
        <f t="array" ref="GK40">IF($C40="Production",
IFERROR(_xlfn.IFS(AND(EI40&gt;0,EI40+SUM(CG40:CH40)&lt;=$FM$3),EI40,AND(EI40&gt;0,EI40+SUM(CG40:CH40)&gt;$FM$3),$FM$3-SUM(CG40:CH40)),0),
IFERROR(_xlfn.IFS(AND(EI40&gt;0,EI40+CH40&lt;=$FK$3),EI40,AND(EI40&gt;0,EI40+CH40&gt;$FK$3),0),0)
)</f>
        <v>0</v>
      </c>
      <c r="GL40" s="152" cm="1">
        <f t="array" ref="GL40">IF($C40="Production",
IFERROR(_xlfn.IFS(AND(EJ40&gt;0,EJ40+SUM(CH40:CI40)&lt;=$FM$3),EJ40,AND(EJ40&gt;0,EJ40+SUM(CH40:CI40)&gt;$FM$3),$FM$3-SUM(CH40:CI40)),0),
IFERROR(_xlfn.IFS(AND(EJ40&gt;0,EJ40+CI40&lt;=$FK$3),EJ40,AND(EJ40&gt;0,EJ40+CI40&gt;$FK$3),0),0)
)</f>
        <v>0</v>
      </c>
      <c r="GM40" s="152" cm="1">
        <f t="array" ref="GM40">IF($C40="Production",
IFERROR(_xlfn.IFS(AND(EK40&gt;0,EK40+SUM(CI40:CJ40)&lt;=$FM$3),EK40,AND(EK40&gt;0,EK40+SUM(CI40:CJ40)&gt;$FM$3),$FM$3-SUM(CI40:CJ40)),0),
IFERROR(_xlfn.IFS(AND(EK40&gt;0,EK40+CJ40&lt;=$FK$3),EK40,AND(EK40&gt;0,EK40+CJ40&gt;$FK$3),0),0)
)</f>
        <v>0</v>
      </c>
      <c r="GN40" s="152" cm="1">
        <f t="array" ref="GN40">IF($C40="Production",
IFERROR(_xlfn.IFS(AND(EL40&gt;0,EL40+SUM(CJ40:CK40)&lt;=$FM$3),EL40,AND(EL40&gt;0,EL40+SUM(CJ40:CK40)&gt;$FM$3),$FM$3-SUM(CJ40:CK40)),0),
IFERROR(_xlfn.IFS(AND(EL40&gt;0,EL40+CK40&lt;=$FK$3),EL40,AND(EL40&gt;0,EL40+CK40&gt;$FK$3),0),0)
)</f>
        <v>0</v>
      </c>
      <c r="GO40" s="152" cm="1">
        <f t="array" ref="GO40">IF($C40="Production",
IFERROR(_xlfn.IFS(AND(EM40&gt;0,EM40+SUM(CK40:CL40)&lt;=$FM$3),EM40,AND(EM40&gt;0,EM40+SUM(CK40:CL40)&gt;$FM$3),$FM$3-SUM(CK40:CL40)),0),
IFERROR(_xlfn.IFS(AND(EM40&gt;0,EM40+CL40&lt;=$FK$3),EM40,AND(EM40&gt;0,EM40+CL40&gt;$FK$3),0),0)
)</f>
        <v>0</v>
      </c>
      <c r="GP40" s="152" cm="1">
        <f t="array" ref="GP40">IF($C40="Production",
IFERROR(_xlfn.IFS(AND(EN40&gt;0,EN40+SUM(CL40:CM40)&lt;=$FM$3),EN40,AND(EN40&gt;0,EN40+SUM(CL40:CM40)&gt;$FM$3),$FM$3-SUM(CL40:CM40)),0),
IFERROR(_xlfn.IFS(AND(EN40&gt;0,EN40+CM40&lt;=$FK$3),EN40,AND(EN40&gt;0,EN40+CM40&gt;$FK$3),0),0)
)</f>
        <v>0</v>
      </c>
      <c r="GQ40" s="152" cm="1">
        <f t="array" ref="GQ40">IF($C40="Production",
IFERROR(_xlfn.IFS(AND(EO40&gt;0,EO40+SUM(CM40:CN40)&lt;=$FM$3),EO40,AND(EO40&gt;0,EO40+SUM(CM40:CN40)&gt;$FM$3),$FM$3-SUM(CM40:CN40)),0),
IFERROR(_xlfn.IFS(AND(EO40&gt;0,EO40+CN40&lt;=$FK$3),EO40,AND(EO40&gt;0,EO40+CN40&gt;$FK$3),0),0)
)</f>
        <v>0</v>
      </c>
      <c r="GR40" s="152" cm="1">
        <f t="array" ref="GR40">IF($C40="Production",
IFERROR(_xlfn.IFS(AND(EP40&gt;0,EP40+SUM(CN40:CO40)&lt;=$FM$3),EP40,AND(EP40&gt;0,EP40+SUM(CN40:CO40)&gt;$FM$3),$FM$3-SUM(CN40:CO40)),0),
IFERROR(_xlfn.IFS(AND(EP40&gt;0,EP40+CO40&lt;=$FK$3),EP40,AND(EP40&gt;0,EP40+CO40&gt;$FK$3),0),0)
)</f>
        <v>0</v>
      </c>
      <c r="GS40" s="152" cm="1">
        <f t="array" ref="GS40">IF($C40="Production",
IFERROR(_xlfn.IFS(AND(EQ40&gt;0,EQ40+SUM(CO40:CP40)&lt;=$FM$3),EQ40,AND(EQ40&gt;0,EQ40+SUM(CO40:CP40)&gt;$FM$3),$FM$3-SUM(CO40:CP40)),0),
IFERROR(_xlfn.IFS(AND(EQ40&gt;0,EQ40+CP40&lt;=$FK$3),EQ40,AND(EQ40&gt;0,EQ40+CP40&gt;$FK$3),0),0)
)</f>
        <v>0</v>
      </c>
      <c r="GT40" s="152" cm="1">
        <f t="array" ref="GT40">IF($C40="Production",
IFERROR(_xlfn.IFS(AND(ER40&gt;0,ER40+SUM(CP40:CQ40)&lt;=$FM$3),ER40,AND(ER40&gt;0,ER40+SUM(CP40:CQ40)&gt;$FM$3),$FM$3-SUM(CP40:CQ40)),0),
IFERROR(_xlfn.IFS(AND(ER40&gt;0,ER40+CQ40&lt;=$FK$3),ER40,AND(ER40&gt;0,ER40+CQ40&gt;$FK$3),0),0)
)</f>
        <v>0</v>
      </c>
      <c r="GU40" s="152" cm="1">
        <f t="array" ref="GU40">IF($C40="Production",
IFERROR(_xlfn.IFS(AND(ES40&gt;0,ES40+SUM(CQ40:CR40)&lt;=$FM$3),ES40,AND(ES40&gt;0,ES40+SUM(CQ40:CR40)&gt;$FM$3),$FM$3-SUM(CQ40:CR40)),0),
IFERROR(_xlfn.IFS(AND(ES40&gt;0,ES40+CR40&lt;=$FK$3),ES40,AND(ES40&gt;0,ES40+CR40&gt;$FK$3),0),0)
)</f>
        <v>0</v>
      </c>
      <c r="GV40" s="152" cm="1">
        <f t="array" ref="GV40">IF($C40="Production",
IFERROR(_xlfn.IFS(AND(ET40&gt;0,ET40+SUM(CR40:CS40)&lt;=$FM$3),ET40,AND(ET40&gt;0,ET40+SUM(CR40:CS40)&gt;$FM$3),$FM$3-SUM(CR40:CS40)),0),
IFERROR(_xlfn.IFS(AND(ET40&gt;0,ET40+CS40&lt;=$FK$3),ET40,AND(ET40&gt;0,ET40+CS40&gt;$FK$3),0),0)
)</f>
        <v>0</v>
      </c>
      <c r="GW40" s="152" cm="1">
        <f t="array" ref="GW40">IF($C40="Production",
IFERROR(_xlfn.IFS(AND(EU40&gt;0,EU40+SUM(CS40:CT40)&lt;=$FM$3),EU40,AND(EU40&gt;0,EU40+SUM(CS40:CT40)&gt;$FM$3),$FM$3-SUM(CS40:CT40)),0),
IFERROR(_xlfn.IFS(AND(EU40&gt;0,EU40+CT40&lt;=$FK$3),EU40,AND(EU40&gt;0,EU40+CT40&gt;$FK$3),0),0)
)</f>
        <v>0</v>
      </c>
      <c r="GX40" s="152" cm="1">
        <f t="array" ref="GX40">IF($C40="Production",
IFERROR(_xlfn.IFS(AND(EV40&gt;0,EV40+SUM(CT40:CU40)&lt;=$FM$3),EV40,AND(EV40&gt;0,EV40+SUM(CT40:CU40)&gt;$FM$3),$FM$3-SUM(CT40:CU40)),0),
IFERROR(_xlfn.IFS(AND(EV40&gt;0,EV40+CU40&lt;=$FK$3),EV40,AND(EV40&gt;0,EV40+CU40&gt;$FK$3),0),0)
)</f>
        <v>0</v>
      </c>
      <c r="GY40" s="152" cm="1">
        <f t="array" ref="GY40">IF($C40="Production",
IFERROR(_xlfn.IFS(AND(EW40&gt;0,EW40+SUM(CU40:CV40)&lt;=$FM$3),EW40,AND(EW40&gt;0,EW40+SUM(CU40:CV40)&gt;$FM$3),$FM$3-SUM(CU40:CV40)),0),
IFERROR(_xlfn.IFS(AND(EW40&gt;0,EW40+CV40&lt;=$FK$3),EW40,AND(EW40&gt;0,EW40+CV40&gt;$FK$3),0),0)
)</f>
        <v>0</v>
      </c>
      <c r="GZ40" s="152" cm="1">
        <f t="array" ref="GZ40">IF($C40="Production",
IFERROR(_xlfn.IFS(AND(EX40&gt;0,EX40+SUM(CV40:CW40)&lt;=$FM$3),EX40,AND(EX40&gt;0,EX40+SUM(CV40:CW40)&gt;$FM$3),$FM$3-SUM(CV40:CW40)),0),
IFERROR(_xlfn.IFS(AND(EX40&gt;0,EX40+CW40&lt;=$FK$3),EX40,AND(EX40&gt;0,EX40+CW40&gt;$FK$3),0),0)
)</f>
        <v>0</v>
      </c>
      <c r="HA40" s="152" cm="1">
        <f t="array" ref="HA40">IF($C40="Production",
IFERROR(_xlfn.IFS(AND(EY40&gt;0,EY40+SUM(CW40:CX40)&lt;=$FM$3),EY40,AND(EY40&gt;0,EY40+SUM(CW40:CX40)&gt;$FM$3),$FM$3-SUM(CW40:CX40)),0),
IFERROR(_xlfn.IFS(AND(EY40&gt;0,EY40+CX40&lt;=$FK$3),EY40,AND(EY40&gt;0,EY40+CX40&gt;$FK$3),0),0)
)</f>
        <v>0</v>
      </c>
      <c r="HB40" s="152" cm="1">
        <f t="array" ref="HB40">IF($C40="Production",
IFERROR(_xlfn.IFS(AND(EZ40&gt;0,EZ40+SUM(CX40:CY40)&lt;=$FM$3),EZ40,AND(EZ40&gt;0,EZ40+SUM(CX40:CY40)&gt;$FM$3),$FM$3-SUM(CX40:CY40)),0),
IFERROR(_xlfn.IFS(AND(EZ40&gt;0,EZ40+CY40&lt;=$FK$3),EZ40,AND(EZ40&gt;0,EZ40+CY40&gt;$FK$3),0),0)
)</f>
        <v>0</v>
      </c>
      <c r="HC40" s="152" cm="1">
        <f t="array" ref="HC40">IF($C40="Production",
IFERROR(_xlfn.IFS(AND(FA40&gt;0,FA40+SUM(CY40:CZ40)&lt;=$FM$3),FA40,AND(FA40&gt;0,FA40+SUM(CY40:CZ40)&gt;$FM$3),$FM$3-SUM(CY40:CZ40)),0),
IFERROR(_xlfn.IFS(AND(FA40&gt;0,FA40+CZ40&lt;=$FK$3),FA40,AND(FA40&gt;0,FA40+CZ40&gt;$FK$3),0),0)
)</f>
        <v>0</v>
      </c>
      <c r="HD40" s="152" cm="1">
        <f t="array" ref="HD40">IF($C40="Production",
IFERROR(_xlfn.IFS(AND(FB40&gt;0,FB40+SUM(CZ40:DA40)&lt;=$FM$3),FB40,AND(FB40&gt;0,FB40+SUM(CZ40:DA40)&gt;$FM$3),$FM$3-SUM(CZ40:DA40)),0),
IFERROR(_xlfn.IFS(AND(FB40&gt;0,FB40+DA40&lt;=$FK$3),FB40,AND(FB40&gt;0,FB40+DA40&gt;$FK$3),0),0)
)</f>
        <v>0</v>
      </c>
      <c r="HE40" s="152" cm="1">
        <f t="array" ref="HE40">IF($C40="Production",
IFERROR(_xlfn.IFS(AND(FC40&gt;0,FC40+SUM(DA40:DB40)&lt;=$FM$3),FC40,AND(FC40&gt;0,FC40+SUM(DA40:DB40)&gt;$FM$3),$FM$3-SUM(DA40:DB40)),0),
IFERROR(_xlfn.IFS(AND(FC40&gt;0,FC40+DB40&lt;=$FK$3),FC40,AND(FC40&gt;0,FC40+DB40&gt;$FK$3),0),0)
)</f>
        <v>0</v>
      </c>
      <c r="HF40" s="152" cm="1">
        <f t="array" ref="HF40">IF($C40="Production",
IFERROR(_xlfn.IFS(AND(FD40&gt;0,FD40+SUM(DB40:DC40)&lt;=$FM$3),FD40,AND(FD40&gt;0,FD40+SUM(DB40:DC40)&gt;$FM$3),$FM$3-SUM(DB40:DC40)),0),
IFERROR(_xlfn.IFS(AND(FD40&gt;0,FD40+DC40&lt;=$FK$3),FD40,AND(FD40&gt;0,FD40+DC40&gt;$FK$3),0),0)
)</f>
        <v>0</v>
      </c>
      <c r="HG40" s="152" cm="1">
        <f t="array" ref="HG40">IF($C40="Production",
IFERROR(_xlfn.IFS(AND(FE40&gt;0,FE40+SUM(DC40:DD40)&lt;=$FM$3),FE40,AND(FE40&gt;0,FE40+SUM(DC40:DD40)&gt;$FM$3),$FM$3-SUM(DC40:DD40)),0),
IFERROR(_xlfn.IFS(AND(FE40&gt;0,FE40+DD40&lt;=$FK$3),FE40,AND(FE40&gt;0,FE40+DD40&gt;$FK$3),0),0)
)</f>
        <v>0</v>
      </c>
      <c r="HH40" s="152" cm="1">
        <f t="array" ref="HH40">IF($C40="Production",
IFERROR(_xlfn.IFS(AND(FF40&gt;0,FF40+SUM(DD40:DE40)&lt;=$FM$3),FF40,AND(FF40&gt;0,FF40+SUM(DD40:DE40)&gt;$FM$3),$FM$3-SUM(DD40:DE40)),0),
IFERROR(_xlfn.IFS(AND(FF40&gt;0,FF40+DE40&lt;=$FK$3),FF40,AND(FF40&gt;0,FF40+DE40&gt;$FK$3),0),0)
)</f>
        <v>0</v>
      </c>
      <c r="HI40" s="156" cm="1">
        <f t="array" ref="HI40">IF($C40="Production",
IFERROR(_xlfn.IFS(AND(FG40&gt;0,FG40+SUM(DE40:DF40)&lt;=$FM$3),FG40,AND(FG40&gt;0,FG40+SUM(DE40:DF40)&gt;$FM$3),$FM$3-SUM(DE40:DF40)),0),
IFERROR(_xlfn.IFS(AND(FG40&gt;0,FG40+DF40&lt;=$FK$3),FG40,AND(FG40&gt;0,FG40+DF40&gt;$FK$3),0),0)
)</f>
        <v>0</v>
      </c>
      <c r="HJ40" s="113">
        <f t="shared" si="110"/>
        <v>8.5</v>
      </c>
      <c r="HK40" s="80"/>
      <c r="HL40" s="112">
        <f t="shared" si="56"/>
        <v>0</v>
      </c>
      <c r="HM40" s="138">
        <f t="shared" si="57"/>
        <v>0</v>
      </c>
      <c r="HN40" s="138">
        <f t="shared" si="58"/>
        <v>0</v>
      </c>
      <c r="HO40" s="138">
        <f t="shared" si="59"/>
        <v>0</v>
      </c>
      <c r="HP40" s="138">
        <f t="shared" si="60"/>
        <v>0</v>
      </c>
      <c r="HQ40" s="138">
        <f t="shared" si="61"/>
        <v>0</v>
      </c>
      <c r="HR40" s="138">
        <f t="shared" si="62"/>
        <v>0</v>
      </c>
      <c r="HS40" s="138">
        <f t="shared" si="63"/>
        <v>0</v>
      </c>
      <c r="HT40" s="138">
        <f t="shared" si="64"/>
        <v>0</v>
      </c>
      <c r="HU40" s="138">
        <f t="shared" si="65"/>
        <v>0</v>
      </c>
      <c r="HV40" s="138">
        <f t="shared" si="66"/>
        <v>0</v>
      </c>
      <c r="HW40" s="138">
        <f t="shared" si="67"/>
        <v>0</v>
      </c>
      <c r="HX40" s="138">
        <f t="shared" si="68"/>
        <v>0</v>
      </c>
      <c r="HY40" s="138">
        <f t="shared" si="69"/>
        <v>0</v>
      </c>
      <c r="HZ40" s="138">
        <f t="shared" si="70"/>
        <v>0</v>
      </c>
      <c r="IA40" s="138">
        <f t="shared" si="71"/>
        <v>0</v>
      </c>
      <c r="IB40" s="138">
        <f t="shared" si="72"/>
        <v>0</v>
      </c>
      <c r="IC40" s="138">
        <f t="shared" si="73"/>
        <v>0</v>
      </c>
      <c r="ID40" s="138">
        <f t="shared" si="74"/>
        <v>0</v>
      </c>
      <c r="IE40" s="138">
        <f t="shared" si="75"/>
        <v>0</v>
      </c>
      <c r="IF40" s="138">
        <f t="shared" si="76"/>
        <v>0</v>
      </c>
      <c r="IG40" s="138">
        <f t="shared" si="77"/>
        <v>0</v>
      </c>
      <c r="IH40" s="138">
        <f t="shared" si="78"/>
        <v>0</v>
      </c>
      <c r="II40" s="138">
        <f t="shared" si="79"/>
        <v>0</v>
      </c>
      <c r="IJ40" s="138">
        <f t="shared" si="80"/>
        <v>0</v>
      </c>
      <c r="IK40" s="138">
        <f t="shared" si="81"/>
        <v>0</v>
      </c>
      <c r="IL40" s="138">
        <f t="shared" si="82"/>
        <v>0</v>
      </c>
      <c r="IM40" s="138">
        <f t="shared" si="83"/>
        <v>0</v>
      </c>
      <c r="IN40" s="138">
        <f t="shared" si="84"/>
        <v>0</v>
      </c>
      <c r="IO40" s="138">
        <f t="shared" si="85"/>
        <v>0</v>
      </c>
      <c r="IP40" s="138">
        <f t="shared" si="86"/>
        <v>0</v>
      </c>
      <c r="IQ40" s="138">
        <f t="shared" si="87"/>
        <v>0</v>
      </c>
      <c r="IR40" s="138">
        <f t="shared" si="88"/>
        <v>0</v>
      </c>
      <c r="IS40" s="138">
        <f t="shared" si="89"/>
        <v>0</v>
      </c>
      <c r="IT40" s="138">
        <f t="shared" si="90"/>
        <v>0</v>
      </c>
      <c r="IU40" s="138">
        <f t="shared" si="91"/>
        <v>0</v>
      </c>
      <c r="IV40" s="138">
        <f t="shared" si="92"/>
        <v>0</v>
      </c>
      <c r="IW40" s="138">
        <f t="shared" si="93"/>
        <v>0</v>
      </c>
      <c r="IX40" s="138">
        <f t="shared" si="94"/>
        <v>0</v>
      </c>
      <c r="IY40" s="138">
        <f t="shared" si="95"/>
        <v>0</v>
      </c>
      <c r="IZ40" s="138">
        <f t="shared" si="96"/>
        <v>0</v>
      </c>
      <c r="JA40" s="138">
        <f t="shared" si="97"/>
        <v>0</v>
      </c>
      <c r="JB40" s="138">
        <f t="shared" si="98"/>
        <v>0</v>
      </c>
      <c r="JC40" s="138">
        <f t="shared" si="99"/>
        <v>0</v>
      </c>
      <c r="JD40" s="138">
        <f t="shared" si="100"/>
        <v>0</v>
      </c>
      <c r="JE40" s="138">
        <f t="shared" si="101"/>
        <v>0</v>
      </c>
      <c r="JF40" s="138">
        <f t="shared" si="102"/>
        <v>0</v>
      </c>
      <c r="JG40" s="138">
        <f t="shared" si="103"/>
        <v>0</v>
      </c>
      <c r="JH40" s="138">
        <f t="shared" si="104"/>
        <v>0</v>
      </c>
      <c r="JI40" s="138">
        <f t="shared" si="105"/>
        <v>0</v>
      </c>
      <c r="JJ40" s="138">
        <f t="shared" si="106"/>
        <v>0</v>
      </c>
      <c r="JK40" s="138">
        <f t="shared" si="107"/>
        <v>0</v>
      </c>
      <c r="JL40" s="118">
        <f t="shared" si="111"/>
        <v>0</v>
      </c>
      <c r="JO40" s="90">
        <f t="shared" si="112"/>
        <v>8.5</v>
      </c>
      <c r="JP40" s="79">
        <f t="shared" si="108"/>
        <v>0</v>
      </c>
      <c r="JQ40" s="91">
        <f t="shared" si="2"/>
        <v>10.625</v>
      </c>
      <c r="JS40" s="123">
        <f t="shared" si="109"/>
        <v>0</v>
      </c>
      <c r="JU40" s="123">
        <f t="shared" si="113"/>
        <v>10.625</v>
      </c>
    </row>
    <row r="41" spans="2:281" x14ac:dyDescent="0.15">
      <c r="B41" s="82" t="str">
        <f>'MODU 2025'!B44</f>
        <v>TAMAIN Aline</v>
      </c>
      <c r="C41" s="82" t="str">
        <f>'MODU 2025'!C44</f>
        <v>Production</v>
      </c>
      <c r="D41" s="82">
        <f>'MODU 2025'!D44</f>
        <v>37</v>
      </c>
      <c r="E41" s="82"/>
      <c r="F41" s="133">
        <f>'MODU 2025'!G44</f>
        <v>41</v>
      </c>
      <c r="G41" s="140">
        <f>'MODU 2025'!H44</f>
        <v>33</v>
      </c>
      <c r="H41" s="140">
        <f>'MODU 2025'!I44</f>
        <v>37</v>
      </c>
      <c r="I41" s="140">
        <f>'MODU 2025'!J44</f>
        <v>37</v>
      </c>
      <c r="J41" s="140">
        <f>'MODU 2025'!K44</f>
        <v>37</v>
      </c>
      <c r="K41" s="140">
        <f>'MODU 2025'!L44</f>
        <v>37</v>
      </c>
      <c r="L41" s="140">
        <f>'MODU 2025'!M44</f>
        <v>37</v>
      </c>
      <c r="M41" s="140">
        <f>'MODU 2025'!N44</f>
        <v>37</v>
      </c>
      <c r="N41" s="140">
        <f>'MODU 2025'!O44</f>
        <v>37</v>
      </c>
      <c r="O41" s="140">
        <f>'MODU 2025'!P44</f>
        <v>37</v>
      </c>
      <c r="P41" s="140">
        <f>'MODU 2025'!Q44</f>
        <v>41</v>
      </c>
      <c r="Q41" s="140">
        <f>'MODU 2025'!R44</f>
        <v>33</v>
      </c>
      <c r="R41" s="140">
        <f>'MODU 2025'!S44</f>
        <v>41</v>
      </c>
      <c r="S41" s="140">
        <f>'MODU 2025'!T44</f>
        <v>33</v>
      </c>
      <c r="T41" s="140">
        <f>'MODU 2025'!U44</f>
        <v>41</v>
      </c>
      <c r="U41" s="140">
        <f>'MODU 2025'!V44</f>
        <v>33</v>
      </c>
      <c r="V41" s="140">
        <f>'MODU 2025'!W44</f>
        <v>41</v>
      </c>
      <c r="W41" s="140">
        <f>'MODU 2025'!X44</f>
        <v>33</v>
      </c>
      <c r="X41" s="140">
        <f>'MODU 2025'!Y44</f>
        <v>41</v>
      </c>
      <c r="Y41" s="140">
        <f>'MODU 2025'!Z44</f>
        <v>33</v>
      </c>
      <c r="Z41" s="140">
        <f>'MODU 2025'!AA44</f>
        <v>41</v>
      </c>
      <c r="AA41" s="140">
        <f>'MODU 2025'!AB44</f>
        <v>33</v>
      </c>
      <c r="AB41" s="140">
        <f>'MODU 2025'!AC44</f>
        <v>41</v>
      </c>
      <c r="AC41" s="140">
        <f>'MODU 2025'!AD44</f>
        <v>33</v>
      </c>
      <c r="AD41" s="140">
        <f>'MODU 2025'!AE44</f>
        <v>41</v>
      </c>
      <c r="AE41" s="140">
        <f>'MODU 2025'!AF44</f>
        <v>33</v>
      </c>
      <c r="AF41" s="140">
        <f>'MODU 2025'!AG44</f>
        <v>41</v>
      </c>
      <c r="AG41" s="140">
        <f>'MODU 2025'!AH44</f>
        <v>33</v>
      </c>
      <c r="AH41" s="140">
        <f>'MODU 2025'!AI44</f>
        <v>41</v>
      </c>
      <c r="AI41" s="140">
        <f>'MODU 2025'!AJ44</f>
        <v>33</v>
      </c>
      <c r="AJ41" s="140">
        <f>'MODU 2025'!AK44</f>
        <v>41</v>
      </c>
      <c r="AK41" s="140">
        <f>'MODU 2025'!AL44</f>
        <v>33</v>
      </c>
      <c r="AL41" s="140">
        <f>'MODU 2025'!AM44</f>
        <v>41</v>
      </c>
      <c r="AM41" s="140">
        <f>'MODU 2025'!AN44</f>
        <v>33</v>
      </c>
      <c r="AN41" s="140">
        <f>'MODU 2025'!AO44</f>
        <v>41</v>
      </c>
      <c r="AO41" s="140">
        <f>'MODU 2025'!AP44</f>
        <v>33</v>
      </c>
      <c r="AP41" s="140">
        <f>'MODU 2025'!AQ44</f>
        <v>41</v>
      </c>
      <c r="AQ41" s="140">
        <f>'MODU 2025'!AR44</f>
        <v>33</v>
      </c>
      <c r="AR41" s="140">
        <f>'MODU 2025'!AS44</f>
        <v>41</v>
      </c>
      <c r="AS41" s="140">
        <f>'MODU 2025'!AT44</f>
        <v>33</v>
      </c>
      <c r="AT41" s="140">
        <f>'MODU 2025'!AU44</f>
        <v>41</v>
      </c>
      <c r="AU41" s="140">
        <f>'MODU 2025'!AV44</f>
        <v>33</v>
      </c>
      <c r="AV41" s="140">
        <f>'MODU 2025'!AW44</f>
        <v>41</v>
      </c>
      <c r="AW41" s="140">
        <f>'MODU 2025'!AX44</f>
        <v>33</v>
      </c>
      <c r="AX41" s="140">
        <f>'MODU 2025'!AY44</f>
        <v>41</v>
      </c>
      <c r="AY41" s="140">
        <f>'MODU 2025'!AZ44</f>
        <v>33</v>
      </c>
      <c r="AZ41" s="140">
        <f>'MODU 2025'!BA44</f>
        <v>41</v>
      </c>
      <c r="BA41" s="140">
        <f>'MODU 2025'!BB44</f>
        <v>33</v>
      </c>
      <c r="BB41" s="140">
        <f>'MODU 2025'!BC44</f>
        <v>41</v>
      </c>
      <c r="BC41" s="140">
        <f>'MODU 2025'!BD44</f>
        <v>33</v>
      </c>
      <c r="BD41" s="140">
        <f>'MODU 2025'!BE44</f>
        <v>41</v>
      </c>
      <c r="BE41" s="134">
        <f>'MODU 2025'!BF44</f>
        <v>33</v>
      </c>
      <c r="BF41" s="82"/>
      <c r="BG41" s="107">
        <v>41</v>
      </c>
      <c r="BH41" s="145">
        <v>33</v>
      </c>
      <c r="BI41" s="145">
        <v>41</v>
      </c>
      <c r="BJ41" s="145">
        <v>33</v>
      </c>
      <c r="BK41" s="145">
        <v>41</v>
      </c>
      <c r="BL41" s="145">
        <v>33</v>
      </c>
      <c r="BM41" s="145">
        <v>41</v>
      </c>
      <c r="BN41" s="145">
        <v>33</v>
      </c>
      <c r="BO41" s="145">
        <v>41</v>
      </c>
      <c r="BP41" s="145">
        <v>33</v>
      </c>
      <c r="BQ41" s="145">
        <v>41</v>
      </c>
      <c r="BR41" s="145">
        <v>33</v>
      </c>
      <c r="BS41" s="145">
        <v>41</v>
      </c>
      <c r="BT41" s="145">
        <v>33</v>
      </c>
      <c r="BU41" s="145">
        <v>41</v>
      </c>
      <c r="BV41" s="145">
        <v>33</v>
      </c>
      <c r="BW41" s="145">
        <v>41</v>
      </c>
      <c r="BX41" s="145">
        <v>33</v>
      </c>
      <c r="BY41" s="145">
        <v>41</v>
      </c>
      <c r="BZ41" s="145">
        <v>33</v>
      </c>
      <c r="CA41" s="145">
        <v>41</v>
      </c>
      <c r="CB41" s="145">
        <v>33</v>
      </c>
      <c r="CC41" s="145">
        <v>41</v>
      </c>
      <c r="CD41" s="145">
        <v>33</v>
      </c>
      <c r="CE41" s="145">
        <v>41</v>
      </c>
      <c r="CF41" s="145">
        <v>33</v>
      </c>
      <c r="CG41" s="145">
        <v>41</v>
      </c>
      <c r="CH41" s="145">
        <v>33</v>
      </c>
      <c r="CI41" s="145">
        <v>41</v>
      </c>
      <c r="CJ41" s="145">
        <v>33</v>
      </c>
      <c r="CK41" s="145">
        <v>41</v>
      </c>
      <c r="CL41" s="145">
        <v>33</v>
      </c>
      <c r="CM41" s="145">
        <v>41</v>
      </c>
      <c r="CN41" s="145">
        <v>33</v>
      </c>
      <c r="CO41" s="145">
        <v>41</v>
      </c>
      <c r="CP41" s="145">
        <v>33</v>
      </c>
      <c r="CQ41" s="145">
        <v>41</v>
      </c>
      <c r="CR41" s="145">
        <v>33</v>
      </c>
      <c r="CS41" s="145">
        <v>41</v>
      </c>
      <c r="CT41" s="145">
        <v>33</v>
      </c>
      <c r="CU41" s="145">
        <v>41</v>
      </c>
      <c r="CV41" s="145">
        <v>33</v>
      </c>
      <c r="CW41" s="145">
        <v>41</v>
      </c>
      <c r="CX41" s="145">
        <v>33</v>
      </c>
      <c r="CY41" s="145">
        <v>41</v>
      </c>
      <c r="CZ41" s="145">
        <v>33</v>
      </c>
      <c r="DA41" s="145">
        <v>41</v>
      </c>
      <c r="DB41" s="145">
        <v>33</v>
      </c>
      <c r="DC41" s="145">
        <v>41</v>
      </c>
      <c r="DD41" s="145">
        <v>33</v>
      </c>
      <c r="DE41" s="145">
        <v>41</v>
      </c>
      <c r="DF41" s="108">
        <v>33</v>
      </c>
      <c r="DG41" s="84"/>
      <c r="DH41" s="112">
        <f t="shared" si="3"/>
        <v>0</v>
      </c>
      <c r="DI41" s="138">
        <f t="shared" si="4"/>
        <v>0</v>
      </c>
      <c r="DJ41" s="138">
        <f t="shared" si="5"/>
        <v>0</v>
      </c>
      <c r="DK41" s="138">
        <f t="shared" si="6"/>
        <v>0</v>
      </c>
      <c r="DL41" s="138">
        <f t="shared" si="7"/>
        <v>0</v>
      </c>
      <c r="DM41" s="138">
        <f t="shared" si="8"/>
        <v>0</v>
      </c>
      <c r="DN41" s="138">
        <f t="shared" si="9"/>
        <v>0</v>
      </c>
      <c r="DO41" s="138">
        <f t="shared" si="10"/>
        <v>0</v>
      </c>
      <c r="DP41" s="138">
        <f t="shared" si="11"/>
        <v>0</v>
      </c>
      <c r="DQ41" s="138">
        <f t="shared" si="12"/>
        <v>0</v>
      </c>
      <c r="DR41" s="138">
        <f t="shared" si="13"/>
        <v>0</v>
      </c>
      <c r="DS41" s="138">
        <f t="shared" si="14"/>
        <v>0</v>
      </c>
      <c r="DT41" s="138">
        <f t="shared" si="15"/>
        <v>0</v>
      </c>
      <c r="DU41" s="138">
        <f t="shared" si="16"/>
        <v>0</v>
      </c>
      <c r="DV41" s="138">
        <f t="shared" si="17"/>
        <v>0</v>
      </c>
      <c r="DW41" s="138">
        <f t="shared" si="18"/>
        <v>0</v>
      </c>
      <c r="DX41" s="138">
        <f t="shared" si="19"/>
        <v>0</v>
      </c>
      <c r="DY41" s="138">
        <f t="shared" si="20"/>
        <v>0</v>
      </c>
      <c r="DZ41" s="138">
        <f t="shared" si="21"/>
        <v>0</v>
      </c>
      <c r="EA41" s="138">
        <f t="shared" si="22"/>
        <v>0</v>
      </c>
      <c r="EB41" s="138">
        <f t="shared" si="23"/>
        <v>0</v>
      </c>
      <c r="EC41" s="138">
        <f t="shared" si="24"/>
        <v>0</v>
      </c>
      <c r="ED41" s="138">
        <f t="shared" si="25"/>
        <v>0</v>
      </c>
      <c r="EE41" s="138">
        <f t="shared" si="26"/>
        <v>0</v>
      </c>
      <c r="EF41" s="138">
        <f t="shared" si="27"/>
        <v>0</v>
      </c>
      <c r="EG41" s="138">
        <f t="shared" si="28"/>
        <v>0</v>
      </c>
      <c r="EH41" s="138">
        <f t="shared" si="29"/>
        <v>0</v>
      </c>
      <c r="EI41" s="138">
        <f t="shared" si="30"/>
        <v>0</v>
      </c>
      <c r="EJ41" s="138">
        <f t="shared" si="31"/>
        <v>0</v>
      </c>
      <c r="EK41" s="138">
        <f t="shared" si="32"/>
        <v>0</v>
      </c>
      <c r="EL41" s="138">
        <f t="shared" si="33"/>
        <v>0</v>
      </c>
      <c r="EM41" s="138">
        <f t="shared" si="34"/>
        <v>0</v>
      </c>
      <c r="EN41" s="138">
        <f t="shared" si="35"/>
        <v>0</v>
      </c>
      <c r="EO41" s="138">
        <f t="shared" si="36"/>
        <v>0</v>
      </c>
      <c r="EP41" s="138">
        <f t="shared" si="37"/>
        <v>0</v>
      </c>
      <c r="EQ41" s="138">
        <f t="shared" si="38"/>
        <v>0</v>
      </c>
      <c r="ER41" s="138">
        <f t="shared" si="39"/>
        <v>0</v>
      </c>
      <c r="ES41" s="138">
        <f t="shared" si="40"/>
        <v>0</v>
      </c>
      <c r="ET41" s="138">
        <f t="shared" si="41"/>
        <v>0</v>
      </c>
      <c r="EU41" s="138">
        <f t="shared" si="42"/>
        <v>0</v>
      </c>
      <c r="EV41" s="138">
        <f t="shared" si="43"/>
        <v>0</v>
      </c>
      <c r="EW41" s="138">
        <f t="shared" si="44"/>
        <v>0</v>
      </c>
      <c r="EX41" s="138">
        <f t="shared" si="45"/>
        <v>0</v>
      </c>
      <c r="EY41" s="138">
        <f t="shared" si="46"/>
        <v>0</v>
      </c>
      <c r="EZ41" s="138">
        <f t="shared" si="47"/>
        <v>0</v>
      </c>
      <c r="FA41" s="138">
        <f t="shared" si="48"/>
        <v>0</v>
      </c>
      <c r="FB41" s="138">
        <f t="shared" si="49"/>
        <v>0</v>
      </c>
      <c r="FC41" s="138">
        <f t="shared" si="50"/>
        <v>0</v>
      </c>
      <c r="FD41" s="138">
        <f t="shared" si="51"/>
        <v>0</v>
      </c>
      <c r="FE41" s="138">
        <f t="shared" si="52"/>
        <v>0</v>
      </c>
      <c r="FF41" s="138">
        <f t="shared" si="53"/>
        <v>0</v>
      </c>
      <c r="FG41" s="113">
        <f t="shared" si="54"/>
        <v>0</v>
      </c>
      <c r="FH41" s="113">
        <f t="shared" si="55"/>
        <v>0</v>
      </c>
      <c r="FI41" s="35"/>
      <c r="FJ41" s="151" cm="1">
        <f t="array" ref="FJ41">IF($C41="Production",
IFERROR(_xlfn.IFS(AND(DH41&gt;0,DH41+SUM(BF41:BG41)&lt;=$FM$3),DH41,AND(DH41&gt;0,DH41+SUM(BF41:BG41)&gt;$FM$3),$FM$3-SUM(BF41:BG41)),0),
IFERROR(_xlfn.IFS(AND(DH41&gt;0,DH41+BG41&lt;=$FK$3),DH41,AND(DH41&gt;0,DH41+BG41&gt;$FK$3),0),0)
)</f>
        <v>0</v>
      </c>
      <c r="FK41" s="152" cm="1">
        <f t="array" ref="FK41">IF($C41="Production",
IFERROR(_xlfn.IFS(AND(DI41&gt;0,DI41+SUM(BG41:BH41)&lt;=$FM$3),DI41,AND(DI41&gt;0,DI41+SUM(BG41:BH41)&gt;$FM$3),$FM$3-SUM(BG41:BH41)),0),
IFERROR(_xlfn.IFS(AND(DI41&gt;0,DI41+BH41&lt;=$FK$3),DI41,AND(DI41&gt;0,DI41+BH41&gt;$FK$3),0),0)
)</f>
        <v>0</v>
      </c>
      <c r="FL41" s="152" cm="1">
        <f t="array" ref="FL41">IF($C41="Production",
IFERROR(_xlfn.IFS(AND(DJ41&gt;0,DJ41+SUM(BH41:BI41)&lt;=$FM$3),DJ41,AND(DJ41&gt;0,DJ41+SUM(BH41:BI41)&gt;$FM$3),$FM$3-SUM(BH41:BI41)),0),
IFERROR(_xlfn.IFS(AND(DJ41&gt;0,DJ41+BI41&lt;=$FK$3),DJ41,AND(DJ41&gt;0,DJ41+BI41&gt;$FK$3),0),0)
)</f>
        <v>0</v>
      </c>
      <c r="FM41" s="152" cm="1">
        <f t="array" ref="FM41">IF($C41="Production",
IFERROR(_xlfn.IFS(AND(DK41&gt;0,DK41+SUM(BI41:BJ41)&lt;=$FM$3),DK41,AND(DK41&gt;0,DK41+SUM(BI41:BJ41)&gt;$FM$3),$FM$3-SUM(BI41:BJ41)),0),
IFERROR(_xlfn.IFS(AND(DK41&gt;0,DK41+BJ41&lt;=$FK$3),DK41,AND(DK41&gt;0,DK41+BJ41&gt;$FK$3),0),0)
)</f>
        <v>0</v>
      </c>
      <c r="FN41" s="152" cm="1">
        <f t="array" ref="FN41">IF($C41="Production",
IFERROR(_xlfn.IFS(AND(DL41&gt;0,DL41+SUM(BJ41:BK41)&lt;=$FM$3),DL41,AND(DL41&gt;0,DL41+SUM(BJ41:BK41)&gt;$FM$3),$FM$3-SUM(BJ41:BK41)),0),
IFERROR(_xlfn.IFS(AND(DL41&gt;0,DL41+BK41&lt;=$FK$3),DL41,AND(DL41&gt;0,DL41+BK41&gt;$FK$3),0),0)
)</f>
        <v>0</v>
      </c>
      <c r="FO41" s="152" cm="1">
        <f t="array" ref="FO41">IF($C41="Production",
IFERROR(_xlfn.IFS(AND(DM41&gt;0,DM41+SUM(BK41:BL41)&lt;=$FM$3),DM41,AND(DM41&gt;0,DM41+SUM(BK41:BL41)&gt;$FM$3),$FM$3-SUM(BK41:BL41)),0),
IFERROR(_xlfn.IFS(AND(DM41&gt;0,DM41+BL41&lt;=$FK$3),DM41,AND(DM41&gt;0,DM41+BL41&gt;$FK$3),0),0)
)</f>
        <v>0</v>
      </c>
      <c r="FP41" s="152" cm="1">
        <f t="array" ref="FP41">IF($C41="Production",
IFERROR(_xlfn.IFS(AND(DN41&gt;0,DN41+SUM(BL41:BM41)&lt;=$FM$3),DN41,AND(DN41&gt;0,DN41+SUM(BL41:BM41)&gt;$FM$3),$FM$3-SUM(BL41:BM41)),0),
IFERROR(_xlfn.IFS(AND(DN41&gt;0,DN41+BM41&lt;=$FK$3),DN41,AND(DN41&gt;0,DN41+BM41&gt;$FK$3),0),0)
)</f>
        <v>0</v>
      </c>
      <c r="FQ41" s="152" cm="1">
        <f t="array" ref="FQ41">IF($C41="Production",
IFERROR(_xlfn.IFS(AND(DO41&gt;0,DO41+SUM(BM41:BN41)&lt;=$FM$3),DO41,AND(DO41&gt;0,DO41+SUM(BM41:BN41)&gt;$FM$3),$FM$3-SUM(BM41:BN41)),0),
IFERROR(_xlfn.IFS(AND(DO41&gt;0,DO41+BN41&lt;=$FK$3),DO41,AND(DO41&gt;0,DO41+BN41&gt;$FK$3),0),0)
)</f>
        <v>0</v>
      </c>
      <c r="FR41" s="152" cm="1">
        <f t="array" ref="FR41">IF($C41="Production",
IFERROR(_xlfn.IFS(AND(DP41&gt;0,DP41+SUM(BN41:BO41)&lt;=$FM$3),DP41,AND(DP41&gt;0,DP41+SUM(BN41:BO41)&gt;$FM$3),$FM$3-SUM(BN41:BO41)),0),
IFERROR(_xlfn.IFS(AND(DP41&gt;0,DP41+BO41&lt;=$FK$3),DP41,AND(DP41&gt;0,DP41+BO41&gt;$FK$3),0),0)
)</f>
        <v>0</v>
      </c>
      <c r="FS41" s="152" cm="1">
        <f t="array" ref="FS41">IF($C41="Production",
IFERROR(_xlfn.IFS(AND(DQ41&gt;0,DQ41+SUM(BO41:BP41)&lt;=$FM$3),DQ41,AND(DQ41&gt;0,DQ41+SUM(BO41:BP41)&gt;$FM$3),$FM$3-SUM(BO41:BP41)),0),
IFERROR(_xlfn.IFS(AND(DQ41&gt;0,DQ41+BP41&lt;=$FK$3),DQ41,AND(DQ41&gt;0,DQ41+BP41&gt;$FK$3),0),0)
)</f>
        <v>0</v>
      </c>
      <c r="FT41" s="152" cm="1">
        <f t="array" ref="FT41">IF($C41="Production",
IFERROR(_xlfn.IFS(AND(DR41&gt;0,DR41+SUM(BP41:BQ41)&lt;=$FM$3),DR41,AND(DR41&gt;0,DR41+SUM(BP41:BQ41)&gt;$FM$3),$FM$3-SUM(BP41:BQ41)),0),
IFERROR(_xlfn.IFS(AND(DR41&gt;0,DR41+BQ41&lt;=$FK$3),DR41,AND(DR41&gt;0,DR41+BQ41&gt;$FK$3),0),0)
)</f>
        <v>0</v>
      </c>
      <c r="FU41" s="152" cm="1">
        <f t="array" ref="FU41">IF($C41="Production",
IFERROR(_xlfn.IFS(AND(DS41&gt;0,DS41+SUM(BQ41:BR41)&lt;=$FM$3),DS41,AND(DS41&gt;0,DS41+SUM(BQ41:BR41)&gt;$FM$3),$FM$3-SUM(BQ41:BR41)),0),
IFERROR(_xlfn.IFS(AND(DS41&gt;0,DS41+BR41&lt;=$FK$3),DS41,AND(DS41&gt;0,DS41+BR41&gt;$FK$3),0),0)
)</f>
        <v>0</v>
      </c>
      <c r="FV41" s="152" cm="1">
        <f t="array" ref="FV41">IF($C41="Production",
IFERROR(_xlfn.IFS(AND(DT41&gt;0,DT41+SUM(BR41:BS41)&lt;=$FM$3),DT41,AND(DT41&gt;0,DT41+SUM(BR41:BS41)&gt;$FM$3),$FM$3-SUM(BR41:BS41)),0),
IFERROR(_xlfn.IFS(AND(DT41&gt;0,DT41+BS41&lt;=$FK$3),DT41,AND(DT41&gt;0,DT41+BS41&gt;$FK$3),0),0)
)</f>
        <v>0</v>
      </c>
      <c r="FW41" s="152" cm="1">
        <f t="array" ref="FW41">IF($C41="Production",
IFERROR(_xlfn.IFS(AND(DU41&gt;0,DU41+SUM(BS41:BT41)&lt;=$FM$3),DU41,AND(DU41&gt;0,DU41+SUM(BS41:BT41)&gt;$FM$3),$FM$3-SUM(BS41:BT41)),0),
IFERROR(_xlfn.IFS(AND(DU41&gt;0,DU41+BT41&lt;=$FK$3),DU41,AND(DU41&gt;0,DU41+BT41&gt;$FK$3),0),0)
)</f>
        <v>0</v>
      </c>
      <c r="FX41" s="152" cm="1">
        <f t="array" ref="FX41">IF($C41="Production",
IFERROR(_xlfn.IFS(AND(DV41&gt;0,DV41+SUM(BT41:BU41)&lt;=$FM$3),DV41,AND(DV41&gt;0,DV41+SUM(BT41:BU41)&gt;$FM$3),$FM$3-SUM(BT41:BU41)),0),
IFERROR(_xlfn.IFS(AND(DV41&gt;0,DV41+BU41&lt;=$FK$3),DV41,AND(DV41&gt;0,DV41+BU41&gt;$FK$3),0),0)
)</f>
        <v>0</v>
      </c>
      <c r="FY41" s="152" cm="1">
        <f t="array" ref="FY41">IF($C41="Production",
IFERROR(_xlfn.IFS(AND(DW41&gt;0,DW41+SUM(BU41:BV41)&lt;=$FM$3),DW41,AND(DW41&gt;0,DW41+SUM(BU41:BV41)&gt;$FM$3),$FM$3-SUM(BU41:BV41)),0),
IFERROR(_xlfn.IFS(AND(DW41&gt;0,DW41+BV41&lt;=$FK$3),DW41,AND(DW41&gt;0,DW41+BV41&gt;$FK$3),0),0)
)</f>
        <v>0</v>
      </c>
      <c r="FZ41" s="152" cm="1">
        <f t="array" ref="FZ41">IF($C41="Production",
IFERROR(_xlfn.IFS(AND(DX41&gt;0,DX41+SUM(BV41:BW41)&lt;=$FM$3),DX41,AND(DX41&gt;0,DX41+SUM(BV41:BW41)&gt;$FM$3),$FM$3-SUM(BV41:BW41)),0),
IFERROR(_xlfn.IFS(AND(DX41&gt;0,DX41+BW41&lt;=$FK$3),DX41,AND(DX41&gt;0,DX41+BW41&gt;$FK$3),0),0)
)</f>
        <v>0</v>
      </c>
      <c r="GA41" s="152" cm="1">
        <f t="array" ref="GA41">IF($C41="Production",
IFERROR(_xlfn.IFS(AND(DY41&gt;0,DY41+SUM(BW41:BX41)&lt;=$FM$3),DY41,AND(DY41&gt;0,DY41+SUM(BW41:BX41)&gt;$FM$3),$FM$3-SUM(BW41:BX41)),0),
IFERROR(_xlfn.IFS(AND(DY41&gt;0,DY41+BX41&lt;=$FK$3),DY41,AND(DY41&gt;0,DY41+BX41&gt;$FK$3),0),0)
)</f>
        <v>0</v>
      </c>
      <c r="GB41" s="152" cm="1">
        <f t="array" ref="GB41">IF($C41="Production",
IFERROR(_xlfn.IFS(AND(DZ41&gt;0,DZ41+SUM(BX41:BY41)&lt;=$FM$3),DZ41,AND(DZ41&gt;0,DZ41+SUM(BX41:BY41)&gt;$FM$3),$FM$3-SUM(BX41:BY41)),0),
IFERROR(_xlfn.IFS(AND(DZ41&gt;0,DZ41+BY41&lt;=$FK$3),DZ41,AND(DZ41&gt;0,DZ41+BY41&gt;$FK$3),0),0)
)</f>
        <v>0</v>
      </c>
      <c r="GC41" s="152" cm="1">
        <f t="array" ref="GC41">IF($C41="Production",
IFERROR(_xlfn.IFS(AND(EA41&gt;0,EA41+SUM(BY41:BZ41)&lt;=$FM$3),EA41,AND(EA41&gt;0,EA41+SUM(BY41:BZ41)&gt;$FM$3),$FM$3-SUM(BY41:BZ41)),0),
IFERROR(_xlfn.IFS(AND(EA41&gt;0,EA41+BZ41&lt;=$FK$3),EA41,AND(EA41&gt;0,EA41+BZ41&gt;$FK$3),0),0)
)</f>
        <v>0</v>
      </c>
      <c r="GD41" s="152" cm="1">
        <f t="array" ref="GD41">IF($C41="Production",
IFERROR(_xlfn.IFS(AND(EB41&gt;0,EB41+SUM(BZ41:CA41)&lt;=$FM$3),EB41,AND(EB41&gt;0,EB41+SUM(BZ41:CA41)&gt;$FM$3),$FM$3-SUM(BZ41:CA41)),0),
IFERROR(_xlfn.IFS(AND(EB41&gt;0,EB41+CA41&lt;=$FK$3),EB41,AND(EB41&gt;0,EB41+CA41&gt;$FK$3),0),0)
)</f>
        <v>0</v>
      </c>
      <c r="GE41" s="152" cm="1">
        <f t="array" ref="GE41">IF($C41="Production",
IFERROR(_xlfn.IFS(AND(EC41&gt;0,EC41+SUM(CA41:CB41)&lt;=$FM$3),EC41,AND(EC41&gt;0,EC41+SUM(CA41:CB41)&gt;$FM$3),$FM$3-SUM(CA41:CB41)),0),
IFERROR(_xlfn.IFS(AND(EC41&gt;0,EC41+CB41&lt;=$FK$3),EC41,AND(EC41&gt;0,EC41+CB41&gt;$FK$3),0),0)
)</f>
        <v>0</v>
      </c>
      <c r="GF41" s="152" cm="1">
        <f t="array" ref="GF41">IF($C41="Production",
IFERROR(_xlfn.IFS(AND(ED41&gt;0,ED41+SUM(CB41:CC41)&lt;=$FM$3),ED41,AND(ED41&gt;0,ED41+SUM(CB41:CC41)&gt;$FM$3),$FM$3-SUM(CB41:CC41)),0),
IFERROR(_xlfn.IFS(AND(ED41&gt;0,ED41+CC41&lt;=$FK$3),ED41,AND(ED41&gt;0,ED41+CC41&gt;$FK$3),0),0)
)</f>
        <v>0</v>
      </c>
      <c r="GG41" s="152" cm="1">
        <f t="array" ref="GG41">IF($C41="Production",
IFERROR(_xlfn.IFS(AND(EE41&gt;0,EE41+SUM(CC41:CD41)&lt;=$FM$3),EE41,AND(EE41&gt;0,EE41+SUM(CC41:CD41)&gt;$FM$3),$FM$3-SUM(CC41:CD41)),0),
IFERROR(_xlfn.IFS(AND(EE41&gt;0,EE41+CD41&lt;=$FK$3),EE41,AND(EE41&gt;0,EE41+CD41&gt;$FK$3),0),0)
)</f>
        <v>0</v>
      </c>
      <c r="GH41" s="152" cm="1">
        <f t="array" ref="GH41">IF($C41="Production",
IFERROR(_xlfn.IFS(AND(EF41&gt;0,EF41+SUM(CD41:CE41)&lt;=$FM$3),EF41,AND(EF41&gt;0,EF41+SUM(CD41:CE41)&gt;$FM$3),$FM$3-SUM(CD41:CE41)),0),
IFERROR(_xlfn.IFS(AND(EF41&gt;0,EF41+CE41&lt;=$FK$3),EF41,AND(EF41&gt;0,EF41+CE41&gt;$FK$3),0),0)
)</f>
        <v>0</v>
      </c>
      <c r="GI41" s="152" cm="1">
        <f t="array" ref="GI41">IF($C41="Production",
IFERROR(_xlfn.IFS(AND(EG41&gt;0,EG41+SUM(CE41:CF41)&lt;=$FM$3),EG41,AND(EG41&gt;0,EG41+SUM(CE41:CF41)&gt;$FM$3),$FM$3-SUM(CE41:CF41)),0),
IFERROR(_xlfn.IFS(AND(EG41&gt;0,EG41+CF41&lt;=$FK$3),EG41,AND(EG41&gt;0,EG41+CF41&gt;$FK$3),0),0)
)</f>
        <v>0</v>
      </c>
      <c r="GJ41" s="152" cm="1">
        <f t="array" ref="GJ41">IF($C41="Production",
IFERROR(_xlfn.IFS(AND(EH41&gt;0,EH41+SUM(CF41:CG41)&lt;=$FM$3),EH41,AND(EH41&gt;0,EH41+SUM(CF41:CG41)&gt;$FM$3),$FM$3-SUM(CF41:CG41)),0),
IFERROR(_xlfn.IFS(AND(EH41&gt;0,EH41+CG41&lt;=$FK$3),EH41,AND(EH41&gt;0,EH41+CG41&gt;$FK$3),0),0)
)</f>
        <v>0</v>
      </c>
      <c r="GK41" s="152" cm="1">
        <f t="array" ref="GK41">IF($C41="Production",
IFERROR(_xlfn.IFS(AND(EI41&gt;0,EI41+SUM(CG41:CH41)&lt;=$FM$3),EI41,AND(EI41&gt;0,EI41+SUM(CG41:CH41)&gt;$FM$3),$FM$3-SUM(CG41:CH41)),0),
IFERROR(_xlfn.IFS(AND(EI41&gt;0,EI41+CH41&lt;=$FK$3),EI41,AND(EI41&gt;0,EI41+CH41&gt;$FK$3),0),0)
)</f>
        <v>0</v>
      </c>
      <c r="GL41" s="152" cm="1">
        <f t="array" ref="GL41">IF($C41="Production",
IFERROR(_xlfn.IFS(AND(EJ41&gt;0,EJ41+SUM(CH41:CI41)&lt;=$FM$3),EJ41,AND(EJ41&gt;0,EJ41+SUM(CH41:CI41)&gt;$FM$3),$FM$3-SUM(CH41:CI41)),0),
IFERROR(_xlfn.IFS(AND(EJ41&gt;0,EJ41+CI41&lt;=$FK$3),EJ41,AND(EJ41&gt;0,EJ41+CI41&gt;$FK$3),0),0)
)</f>
        <v>0</v>
      </c>
      <c r="GM41" s="152" cm="1">
        <f t="array" ref="GM41">IF($C41="Production",
IFERROR(_xlfn.IFS(AND(EK41&gt;0,EK41+SUM(CI41:CJ41)&lt;=$FM$3),EK41,AND(EK41&gt;0,EK41+SUM(CI41:CJ41)&gt;$FM$3),$FM$3-SUM(CI41:CJ41)),0),
IFERROR(_xlfn.IFS(AND(EK41&gt;0,EK41+CJ41&lt;=$FK$3),EK41,AND(EK41&gt;0,EK41+CJ41&gt;$FK$3),0),0)
)</f>
        <v>0</v>
      </c>
      <c r="GN41" s="152" cm="1">
        <f t="array" ref="GN41">IF($C41="Production",
IFERROR(_xlfn.IFS(AND(EL41&gt;0,EL41+SUM(CJ41:CK41)&lt;=$FM$3),EL41,AND(EL41&gt;0,EL41+SUM(CJ41:CK41)&gt;$FM$3),$FM$3-SUM(CJ41:CK41)),0),
IFERROR(_xlfn.IFS(AND(EL41&gt;0,EL41+CK41&lt;=$FK$3),EL41,AND(EL41&gt;0,EL41+CK41&gt;$FK$3),0),0)
)</f>
        <v>0</v>
      </c>
      <c r="GO41" s="152" cm="1">
        <f t="array" ref="GO41">IF($C41="Production",
IFERROR(_xlfn.IFS(AND(EM41&gt;0,EM41+SUM(CK41:CL41)&lt;=$FM$3),EM41,AND(EM41&gt;0,EM41+SUM(CK41:CL41)&gt;$FM$3),$FM$3-SUM(CK41:CL41)),0),
IFERROR(_xlfn.IFS(AND(EM41&gt;0,EM41+CL41&lt;=$FK$3),EM41,AND(EM41&gt;0,EM41+CL41&gt;$FK$3),0),0)
)</f>
        <v>0</v>
      </c>
      <c r="GP41" s="152" cm="1">
        <f t="array" ref="GP41">IF($C41="Production",
IFERROR(_xlfn.IFS(AND(EN41&gt;0,EN41+SUM(CL41:CM41)&lt;=$FM$3),EN41,AND(EN41&gt;0,EN41+SUM(CL41:CM41)&gt;$FM$3),$FM$3-SUM(CL41:CM41)),0),
IFERROR(_xlfn.IFS(AND(EN41&gt;0,EN41+CM41&lt;=$FK$3),EN41,AND(EN41&gt;0,EN41+CM41&gt;$FK$3),0),0)
)</f>
        <v>0</v>
      </c>
      <c r="GQ41" s="152" cm="1">
        <f t="array" ref="GQ41">IF($C41="Production",
IFERROR(_xlfn.IFS(AND(EO41&gt;0,EO41+SUM(CM41:CN41)&lt;=$FM$3),EO41,AND(EO41&gt;0,EO41+SUM(CM41:CN41)&gt;$FM$3),$FM$3-SUM(CM41:CN41)),0),
IFERROR(_xlfn.IFS(AND(EO41&gt;0,EO41+CN41&lt;=$FK$3),EO41,AND(EO41&gt;0,EO41+CN41&gt;$FK$3),0),0)
)</f>
        <v>0</v>
      </c>
      <c r="GR41" s="152" cm="1">
        <f t="array" ref="GR41">IF($C41="Production",
IFERROR(_xlfn.IFS(AND(EP41&gt;0,EP41+SUM(CN41:CO41)&lt;=$FM$3),EP41,AND(EP41&gt;0,EP41+SUM(CN41:CO41)&gt;$FM$3),$FM$3-SUM(CN41:CO41)),0),
IFERROR(_xlfn.IFS(AND(EP41&gt;0,EP41+CO41&lt;=$FK$3),EP41,AND(EP41&gt;0,EP41+CO41&gt;$FK$3),0),0)
)</f>
        <v>0</v>
      </c>
      <c r="GS41" s="152" cm="1">
        <f t="array" ref="GS41">IF($C41="Production",
IFERROR(_xlfn.IFS(AND(EQ41&gt;0,EQ41+SUM(CO41:CP41)&lt;=$FM$3),EQ41,AND(EQ41&gt;0,EQ41+SUM(CO41:CP41)&gt;$FM$3),$FM$3-SUM(CO41:CP41)),0),
IFERROR(_xlfn.IFS(AND(EQ41&gt;0,EQ41+CP41&lt;=$FK$3),EQ41,AND(EQ41&gt;0,EQ41+CP41&gt;$FK$3),0),0)
)</f>
        <v>0</v>
      </c>
      <c r="GT41" s="152" cm="1">
        <f t="array" ref="GT41">IF($C41="Production",
IFERROR(_xlfn.IFS(AND(ER41&gt;0,ER41+SUM(CP41:CQ41)&lt;=$FM$3),ER41,AND(ER41&gt;0,ER41+SUM(CP41:CQ41)&gt;$FM$3),$FM$3-SUM(CP41:CQ41)),0),
IFERROR(_xlfn.IFS(AND(ER41&gt;0,ER41+CQ41&lt;=$FK$3),ER41,AND(ER41&gt;0,ER41+CQ41&gt;$FK$3),0),0)
)</f>
        <v>0</v>
      </c>
      <c r="GU41" s="152" cm="1">
        <f t="array" ref="GU41">IF($C41="Production",
IFERROR(_xlfn.IFS(AND(ES41&gt;0,ES41+SUM(CQ41:CR41)&lt;=$FM$3),ES41,AND(ES41&gt;0,ES41+SUM(CQ41:CR41)&gt;$FM$3),$FM$3-SUM(CQ41:CR41)),0),
IFERROR(_xlfn.IFS(AND(ES41&gt;0,ES41+CR41&lt;=$FK$3),ES41,AND(ES41&gt;0,ES41+CR41&gt;$FK$3),0),0)
)</f>
        <v>0</v>
      </c>
      <c r="GV41" s="152" cm="1">
        <f t="array" ref="GV41">IF($C41="Production",
IFERROR(_xlfn.IFS(AND(ET41&gt;0,ET41+SUM(CR41:CS41)&lt;=$FM$3),ET41,AND(ET41&gt;0,ET41+SUM(CR41:CS41)&gt;$FM$3),$FM$3-SUM(CR41:CS41)),0),
IFERROR(_xlfn.IFS(AND(ET41&gt;0,ET41+CS41&lt;=$FK$3),ET41,AND(ET41&gt;0,ET41+CS41&gt;$FK$3),0),0)
)</f>
        <v>0</v>
      </c>
      <c r="GW41" s="152" cm="1">
        <f t="array" ref="GW41">IF($C41="Production",
IFERROR(_xlfn.IFS(AND(EU41&gt;0,EU41+SUM(CS41:CT41)&lt;=$FM$3),EU41,AND(EU41&gt;0,EU41+SUM(CS41:CT41)&gt;$FM$3),$FM$3-SUM(CS41:CT41)),0),
IFERROR(_xlfn.IFS(AND(EU41&gt;0,EU41+CT41&lt;=$FK$3),EU41,AND(EU41&gt;0,EU41+CT41&gt;$FK$3),0),0)
)</f>
        <v>0</v>
      </c>
      <c r="GX41" s="152" cm="1">
        <f t="array" ref="GX41">IF($C41="Production",
IFERROR(_xlfn.IFS(AND(EV41&gt;0,EV41+SUM(CT41:CU41)&lt;=$FM$3),EV41,AND(EV41&gt;0,EV41+SUM(CT41:CU41)&gt;$FM$3),$FM$3-SUM(CT41:CU41)),0),
IFERROR(_xlfn.IFS(AND(EV41&gt;0,EV41+CU41&lt;=$FK$3),EV41,AND(EV41&gt;0,EV41+CU41&gt;$FK$3),0),0)
)</f>
        <v>0</v>
      </c>
      <c r="GY41" s="152" cm="1">
        <f t="array" ref="GY41">IF($C41="Production",
IFERROR(_xlfn.IFS(AND(EW41&gt;0,EW41+SUM(CU41:CV41)&lt;=$FM$3),EW41,AND(EW41&gt;0,EW41+SUM(CU41:CV41)&gt;$FM$3),$FM$3-SUM(CU41:CV41)),0),
IFERROR(_xlfn.IFS(AND(EW41&gt;0,EW41+CV41&lt;=$FK$3),EW41,AND(EW41&gt;0,EW41+CV41&gt;$FK$3),0),0)
)</f>
        <v>0</v>
      </c>
      <c r="GZ41" s="152" cm="1">
        <f t="array" ref="GZ41">IF($C41="Production",
IFERROR(_xlfn.IFS(AND(EX41&gt;0,EX41+SUM(CV41:CW41)&lt;=$FM$3),EX41,AND(EX41&gt;0,EX41+SUM(CV41:CW41)&gt;$FM$3),$FM$3-SUM(CV41:CW41)),0),
IFERROR(_xlfn.IFS(AND(EX41&gt;0,EX41+CW41&lt;=$FK$3),EX41,AND(EX41&gt;0,EX41+CW41&gt;$FK$3),0),0)
)</f>
        <v>0</v>
      </c>
      <c r="HA41" s="152" cm="1">
        <f t="array" ref="HA41">IF($C41="Production",
IFERROR(_xlfn.IFS(AND(EY41&gt;0,EY41+SUM(CW41:CX41)&lt;=$FM$3),EY41,AND(EY41&gt;0,EY41+SUM(CW41:CX41)&gt;$FM$3),$FM$3-SUM(CW41:CX41)),0),
IFERROR(_xlfn.IFS(AND(EY41&gt;0,EY41+CX41&lt;=$FK$3),EY41,AND(EY41&gt;0,EY41+CX41&gt;$FK$3),0),0)
)</f>
        <v>0</v>
      </c>
      <c r="HB41" s="152" cm="1">
        <f t="array" ref="HB41">IF($C41="Production",
IFERROR(_xlfn.IFS(AND(EZ41&gt;0,EZ41+SUM(CX41:CY41)&lt;=$FM$3),EZ41,AND(EZ41&gt;0,EZ41+SUM(CX41:CY41)&gt;$FM$3),$FM$3-SUM(CX41:CY41)),0),
IFERROR(_xlfn.IFS(AND(EZ41&gt;0,EZ41+CY41&lt;=$FK$3),EZ41,AND(EZ41&gt;0,EZ41+CY41&gt;$FK$3),0),0)
)</f>
        <v>0</v>
      </c>
      <c r="HC41" s="152" cm="1">
        <f t="array" ref="HC41">IF($C41="Production",
IFERROR(_xlfn.IFS(AND(FA41&gt;0,FA41+SUM(CY41:CZ41)&lt;=$FM$3),FA41,AND(FA41&gt;0,FA41+SUM(CY41:CZ41)&gt;$FM$3),$FM$3-SUM(CY41:CZ41)),0),
IFERROR(_xlfn.IFS(AND(FA41&gt;0,FA41+CZ41&lt;=$FK$3),FA41,AND(FA41&gt;0,FA41+CZ41&gt;$FK$3),0),0)
)</f>
        <v>0</v>
      </c>
      <c r="HD41" s="152" cm="1">
        <f t="array" ref="HD41">IF($C41="Production",
IFERROR(_xlfn.IFS(AND(FB41&gt;0,FB41+SUM(CZ41:DA41)&lt;=$FM$3),FB41,AND(FB41&gt;0,FB41+SUM(CZ41:DA41)&gt;$FM$3),$FM$3-SUM(CZ41:DA41)),0),
IFERROR(_xlfn.IFS(AND(FB41&gt;0,FB41+DA41&lt;=$FK$3),FB41,AND(FB41&gt;0,FB41+DA41&gt;$FK$3),0),0)
)</f>
        <v>0</v>
      </c>
      <c r="HE41" s="152" cm="1">
        <f t="array" ref="HE41">IF($C41="Production",
IFERROR(_xlfn.IFS(AND(FC41&gt;0,FC41+SUM(DA41:DB41)&lt;=$FM$3),FC41,AND(FC41&gt;0,FC41+SUM(DA41:DB41)&gt;$FM$3),$FM$3-SUM(DA41:DB41)),0),
IFERROR(_xlfn.IFS(AND(FC41&gt;0,FC41+DB41&lt;=$FK$3),FC41,AND(FC41&gt;0,FC41+DB41&gt;$FK$3),0),0)
)</f>
        <v>0</v>
      </c>
      <c r="HF41" s="152" cm="1">
        <f t="array" ref="HF41">IF($C41="Production",
IFERROR(_xlfn.IFS(AND(FD41&gt;0,FD41+SUM(DB41:DC41)&lt;=$FM$3),FD41,AND(FD41&gt;0,FD41+SUM(DB41:DC41)&gt;$FM$3),$FM$3-SUM(DB41:DC41)),0),
IFERROR(_xlfn.IFS(AND(FD41&gt;0,FD41+DC41&lt;=$FK$3),FD41,AND(FD41&gt;0,FD41+DC41&gt;$FK$3),0),0)
)</f>
        <v>0</v>
      </c>
      <c r="HG41" s="152" cm="1">
        <f t="array" ref="HG41">IF($C41="Production",
IFERROR(_xlfn.IFS(AND(FE41&gt;0,FE41+SUM(DC41:DD41)&lt;=$FM$3),FE41,AND(FE41&gt;0,FE41+SUM(DC41:DD41)&gt;$FM$3),$FM$3-SUM(DC41:DD41)),0),
IFERROR(_xlfn.IFS(AND(FE41&gt;0,FE41+DD41&lt;=$FK$3),FE41,AND(FE41&gt;0,FE41+DD41&gt;$FK$3),0),0)
)</f>
        <v>0</v>
      </c>
      <c r="HH41" s="152" cm="1">
        <f t="array" ref="HH41">IF($C41="Production",
IFERROR(_xlfn.IFS(AND(FF41&gt;0,FF41+SUM(DD41:DE41)&lt;=$FM$3),FF41,AND(FF41&gt;0,FF41+SUM(DD41:DE41)&gt;$FM$3),$FM$3-SUM(DD41:DE41)),0),
IFERROR(_xlfn.IFS(AND(FF41&gt;0,FF41+DE41&lt;=$FK$3),FF41,AND(FF41&gt;0,FF41+DE41&gt;$FK$3),0),0)
)</f>
        <v>0</v>
      </c>
      <c r="HI41" s="156" cm="1">
        <f t="array" ref="HI41">IF($C41="Production",
IFERROR(_xlfn.IFS(AND(FG41&gt;0,FG41+SUM(DE41:DF41)&lt;=$FM$3),FG41,AND(FG41&gt;0,FG41+SUM(DE41:DF41)&gt;$FM$3),$FM$3-SUM(DE41:DF41)),0),
IFERROR(_xlfn.IFS(AND(FG41&gt;0,FG41+DF41&lt;=$FK$3),FG41,AND(FG41&gt;0,FG41+DF41&gt;$FK$3),0),0)
)</f>
        <v>0</v>
      </c>
      <c r="HJ41" s="113">
        <f t="shared" si="110"/>
        <v>0</v>
      </c>
      <c r="HK41" s="80"/>
      <c r="HL41" s="112">
        <f t="shared" si="56"/>
        <v>0</v>
      </c>
      <c r="HM41" s="138">
        <f t="shared" si="57"/>
        <v>0</v>
      </c>
      <c r="HN41" s="138">
        <f t="shared" si="58"/>
        <v>0</v>
      </c>
      <c r="HO41" s="138">
        <f t="shared" si="59"/>
        <v>0</v>
      </c>
      <c r="HP41" s="138">
        <f t="shared" si="60"/>
        <v>0</v>
      </c>
      <c r="HQ41" s="138">
        <f t="shared" si="61"/>
        <v>0</v>
      </c>
      <c r="HR41" s="138">
        <f t="shared" si="62"/>
        <v>0</v>
      </c>
      <c r="HS41" s="138">
        <f t="shared" si="63"/>
        <v>0</v>
      </c>
      <c r="HT41" s="138">
        <f t="shared" si="64"/>
        <v>0</v>
      </c>
      <c r="HU41" s="138">
        <f t="shared" si="65"/>
        <v>0</v>
      </c>
      <c r="HV41" s="138">
        <f t="shared" si="66"/>
        <v>0</v>
      </c>
      <c r="HW41" s="138">
        <f t="shared" si="67"/>
        <v>0</v>
      </c>
      <c r="HX41" s="138">
        <f t="shared" si="68"/>
        <v>0</v>
      </c>
      <c r="HY41" s="138">
        <f t="shared" si="69"/>
        <v>0</v>
      </c>
      <c r="HZ41" s="138">
        <f t="shared" si="70"/>
        <v>0</v>
      </c>
      <c r="IA41" s="138">
        <f t="shared" si="71"/>
        <v>0</v>
      </c>
      <c r="IB41" s="138">
        <f t="shared" si="72"/>
        <v>0</v>
      </c>
      <c r="IC41" s="138">
        <f t="shared" si="73"/>
        <v>0</v>
      </c>
      <c r="ID41" s="138">
        <f t="shared" si="74"/>
        <v>0</v>
      </c>
      <c r="IE41" s="138">
        <f t="shared" si="75"/>
        <v>0</v>
      </c>
      <c r="IF41" s="138">
        <f t="shared" si="76"/>
        <v>0</v>
      </c>
      <c r="IG41" s="138">
        <f t="shared" si="77"/>
        <v>0</v>
      </c>
      <c r="IH41" s="138">
        <f t="shared" si="78"/>
        <v>0</v>
      </c>
      <c r="II41" s="138">
        <f t="shared" si="79"/>
        <v>0</v>
      </c>
      <c r="IJ41" s="138">
        <f t="shared" si="80"/>
        <v>0</v>
      </c>
      <c r="IK41" s="138">
        <f t="shared" si="81"/>
        <v>0</v>
      </c>
      <c r="IL41" s="138">
        <f t="shared" si="82"/>
        <v>0</v>
      </c>
      <c r="IM41" s="138">
        <f t="shared" si="83"/>
        <v>0</v>
      </c>
      <c r="IN41" s="138">
        <f t="shared" si="84"/>
        <v>0</v>
      </c>
      <c r="IO41" s="138">
        <f t="shared" si="85"/>
        <v>0</v>
      </c>
      <c r="IP41" s="138">
        <f t="shared" si="86"/>
        <v>0</v>
      </c>
      <c r="IQ41" s="138">
        <f t="shared" si="87"/>
        <v>0</v>
      </c>
      <c r="IR41" s="138">
        <f t="shared" si="88"/>
        <v>0</v>
      </c>
      <c r="IS41" s="138">
        <f t="shared" si="89"/>
        <v>0</v>
      </c>
      <c r="IT41" s="138">
        <f t="shared" si="90"/>
        <v>0</v>
      </c>
      <c r="IU41" s="138">
        <f t="shared" si="91"/>
        <v>0</v>
      </c>
      <c r="IV41" s="138">
        <f t="shared" si="92"/>
        <v>0</v>
      </c>
      <c r="IW41" s="138">
        <f t="shared" si="93"/>
        <v>0</v>
      </c>
      <c r="IX41" s="138">
        <f t="shared" si="94"/>
        <v>0</v>
      </c>
      <c r="IY41" s="138">
        <f t="shared" si="95"/>
        <v>0</v>
      </c>
      <c r="IZ41" s="138">
        <f t="shared" si="96"/>
        <v>0</v>
      </c>
      <c r="JA41" s="138">
        <f t="shared" si="97"/>
        <v>0</v>
      </c>
      <c r="JB41" s="138">
        <f t="shared" si="98"/>
        <v>0</v>
      </c>
      <c r="JC41" s="138">
        <f t="shared" si="99"/>
        <v>0</v>
      </c>
      <c r="JD41" s="138">
        <f t="shared" si="100"/>
        <v>0</v>
      </c>
      <c r="JE41" s="138">
        <f t="shared" si="101"/>
        <v>0</v>
      </c>
      <c r="JF41" s="138">
        <f t="shared" si="102"/>
        <v>0</v>
      </c>
      <c r="JG41" s="138">
        <f t="shared" si="103"/>
        <v>0</v>
      </c>
      <c r="JH41" s="138">
        <f t="shared" si="104"/>
        <v>0</v>
      </c>
      <c r="JI41" s="138">
        <f t="shared" si="105"/>
        <v>0</v>
      </c>
      <c r="JJ41" s="138">
        <f t="shared" si="106"/>
        <v>0</v>
      </c>
      <c r="JK41" s="138">
        <f t="shared" si="107"/>
        <v>0</v>
      </c>
      <c r="JL41" s="118">
        <f t="shared" si="111"/>
        <v>0</v>
      </c>
      <c r="JO41" s="90">
        <f t="shared" si="112"/>
        <v>0</v>
      </c>
      <c r="JP41" s="79">
        <f t="shared" si="108"/>
        <v>0</v>
      </c>
      <c r="JQ41" s="91">
        <f t="shared" si="2"/>
        <v>0</v>
      </c>
      <c r="JS41" s="123">
        <f t="shared" si="109"/>
        <v>0</v>
      </c>
      <c r="JU41" s="123">
        <f t="shared" si="113"/>
        <v>0</v>
      </c>
    </row>
    <row r="42" spans="2:281" x14ac:dyDescent="0.15">
      <c r="B42" s="82" t="str">
        <f>'MODU 2025'!B45</f>
        <v>TORRES Corinne</v>
      </c>
      <c r="C42" s="82" t="str">
        <f>'MODU 2025'!C45</f>
        <v>Production</v>
      </c>
      <c r="D42" s="82">
        <f>'MODU 2025'!D45</f>
        <v>37</v>
      </c>
      <c r="E42" s="82"/>
      <c r="F42" s="133">
        <f>'MODU 2025'!G45</f>
        <v>41</v>
      </c>
      <c r="G42" s="140">
        <f>'MODU 2025'!H45</f>
        <v>33</v>
      </c>
      <c r="H42" s="140">
        <f>'MODU 2025'!I45</f>
        <v>41</v>
      </c>
      <c r="I42" s="140">
        <f>'MODU 2025'!J45</f>
        <v>40.75</v>
      </c>
      <c r="J42" s="140">
        <f>'MODU 2025'!K45</f>
        <v>41.25</v>
      </c>
      <c r="K42" s="140">
        <f>'MODU 2025'!L45</f>
        <v>33</v>
      </c>
      <c r="L42" s="140">
        <f>'MODU 2025'!M45</f>
        <v>41</v>
      </c>
      <c r="M42" s="140">
        <f>'MODU 2025'!N45</f>
        <v>40.75</v>
      </c>
      <c r="N42" s="140">
        <f>'MODU 2025'!O45</f>
        <v>41</v>
      </c>
      <c r="O42" s="140">
        <f>'MODU 2025'!P45</f>
        <v>33</v>
      </c>
      <c r="P42" s="140">
        <f>'MODU 2025'!Q45</f>
        <v>41</v>
      </c>
      <c r="Q42" s="140">
        <f>'MODU 2025'!R45</f>
        <v>33</v>
      </c>
      <c r="R42" s="140">
        <f>'MODU 2025'!S45</f>
        <v>41</v>
      </c>
      <c r="S42" s="140">
        <f>'MODU 2025'!T45</f>
        <v>33</v>
      </c>
      <c r="T42" s="140">
        <f>'MODU 2025'!U45</f>
        <v>41</v>
      </c>
      <c r="U42" s="140">
        <f>'MODU 2025'!V45</f>
        <v>33</v>
      </c>
      <c r="V42" s="140">
        <f>'MODU 2025'!W45</f>
        <v>41</v>
      </c>
      <c r="W42" s="140">
        <f>'MODU 2025'!X45</f>
        <v>33</v>
      </c>
      <c r="X42" s="140">
        <f>'MODU 2025'!Y45</f>
        <v>41</v>
      </c>
      <c r="Y42" s="140">
        <f>'MODU 2025'!Z45</f>
        <v>33</v>
      </c>
      <c r="Z42" s="140">
        <f>'MODU 2025'!AA45</f>
        <v>41</v>
      </c>
      <c r="AA42" s="140">
        <f>'MODU 2025'!AB45</f>
        <v>33</v>
      </c>
      <c r="AB42" s="140">
        <f>'MODU 2025'!AC45</f>
        <v>41</v>
      </c>
      <c r="AC42" s="140">
        <f>'MODU 2025'!AD45</f>
        <v>33</v>
      </c>
      <c r="AD42" s="140">
        <f>'MODU 2025'!AE45</f>
        <v>41</v>
      </c>
      <c r="AE42" s="140">
        <f>'MODU 2025'!AF45</f>
        <v>33</v>
      </c>
      <c r="AF42" s="140">
        <f>'MODU 2025'!AG45</f>
        <v>41</v>
      </c>
      <c r="AG42" s="140">
        <f>'MODU 2025'!AH45</f>
        <v>33</v>
      </c>
      <c r="AH42" s="140">
        <f>'MODU 2025'!AI45</f>
        <v>41</v>
      </c>
      <c r="AI42" s="140">
        <f>'MODU 2025'!AJ45</f>
        <v>33</v>
      </c>
      <c r="AJ42" s="140">
        <f>'MODU 2025'!AK45</f>
        <v>41</v>
      </c>
      <c r="AK42" s="140">
        <f>'MODU 2025'!AL45</f>
        <v>33</v>
      </c>
      <c r="AL42" s="140">
        <f>'MODU 2025'!AM45</f>
        <v>41</v>
      </c>
      <c r="AM42" s="140">
        <f>'MODU 2025'!AN45</f>
        <v>33</v>
      </c>
      <c r="AN42" s="140">
        <f>'MODU 2025'!AO45</f>
        <v>41</v>
      </c>
      <c r="AO42" s="140">
        <f>'MODU 2025'!AP45</f>
        <v>33</v>
      </c>
      <c r="AP42" s="140">
        <f>'MODU 2025'!AQ45</f>
        <v>41</v>
      </c>
      <c r="AQ42" s="140">
        <f>'MODU 2025'!AR45</f>
        <v>33</v>
      </c>
      <c r="AR42" s="140">
        <f>'MODU 2025'!AS45</f>
        <v>41</v>
      </c>
      <c r="AS42" s="140">
        <f>'MODU 2025'!AT45</f>
        <v>33</v>
      </c>
      <c r="AT42" s="140">
        <f>'MODU 2025'!AU45</f>
        <v>41</v>
      </c>
      <c r="AU42" s="140">
        <f>'MODU 2025'!AV45</f>
        <v>33</v>
      </c>
      <c r="AV42" s="140">
        <f>'MODU 2025'!AW45</f>
        <v>41</v>
      </c>
      <c r="AW42" s="140">
        <f>'MODU 2025'!AX45</f>
        <v>33</v>
      </c>
      <c r="AX42" s="140">
        <f>'MODU 2025'!AY45</f>
        <v>41</v>
      </c>
      <c r="AY42" s="140">
        <f>'MODU 2025'!AZ45</f>
        <v>33</v>
      </c>
      <c r="AZ42" s="140">
        <f>'MODU 2025'!BA45</f>
        <v>41</v>
      </c>
      <c r="BA42" s="140">
        <f>'MODU 2025'!BB45</f>
        <v>33</v>
      </c>
      <c r="BB42" s="140">
        <f>'MODU 2025'!BC45</f>
        <v>41</v>
      </c>
      <c r="BC42" s="140">
        <f>'MODU 2025'!BD45</f>
        <v>33</v>
      </c>
      <c r="BD42" s="140">
        <f>'MODU 2025'!BE45</f>
        <v>41</v>
      </c>
      <c r="BE42" s="134">
        <f>'MODU 2025'!BF45</f>
        <v>33</v>
      </c>
      <c r="BF42" s="82"/>
      <c r="BG42" s="107">
        <v>41</v>
      </c>
      <c r="BH42" s="145">
        <v>33</v>
      </c>
      <c r="BI42" s="145">
        <v>41</v>
      </c>
      <c r="BJ42" s="145">
        <v>33</v>
      </c>
      <c r="BK42" s="145">
        <v>41</v>
      </c>
      <c r="BL42" s="145">
        <v>33</v>
      </c>
      <c r="BM42" s="145">
        <v>41</v>
      </c>
      <c r="BN42" s="145">
        <v>33</v>
      </c>
      <c r="BO42" s="145">
        <v>41</v>
      </c>
      <c r="BP42" s="145">
        <v>33</v>
      </c>
      <c r="BQ42" s="145">
        <v>41</v>
      </c>
      <c r="BR42" s="145">
        <v>33</v>
      </c>
      <c r="BS42" s="145">
        <v>41</v>
      </c>
      <c r="BT42" s="145">
        <v>33</v>
      </c>
      <c r="BU42" s="145">
        <v>41</v>
      </c>
      <c r="BV42" s="145">
        <v>33</v>
      </c>
      <c r="BW42" s="145">
        <v>41</v>
      </c>
      <c r="BX42" s="145">
        <v>33</v>
      </c>
      <c r="BY42" s="145">
        <v>41</v>
      </c>
      <c r="BZ42" s="145">
        <v>33</v>
      </c>
      <c r="CA42" s="145">
        <v>41</v>
      </c>
      <c r="CB42" s="145">
        <v>33</v>
      </c>
      <c r="CC42" s="145">
        <v>41</v>
      </c>
      <c r="CD42" s="145">
        <v>33</v>
      </c>
      <c r="CE42" s="145">
        <v>41</v>
      </c>
      <c r="CF42" s="145">
        <v>33</v>
      </c>
      <c r="CG42" s="145">
        <v>41</v>
      </c>
      <c r="CH42" s="145">
        <v>33</v>
      </c>
      <c r="CI42" s="145">
        <v>41</v>
      </c>
      <c r="CJ42" s="145">
        <v>33</v>
      </c>
      <c r="CK42" s="145">
        <v>41</v>
      </c>
      <c r="CL42" s="145">
        <v>33</v>
      </c>
      <c r="CM42" s="145">
        <v>41</v>
      </c>
      <c r="CN42" s="145">
        <v>33</v>
      </c>
      <c r="CO42" s="145">
        <v>41</v>
      </c>
      <c r="CP42" s="145">
        <v>33</v>
      </c>
      <c r="CQ42" s="145">
        <v>41</v>
      </c>
      <c r="CR42" s="145">
        <v>33</v>
      </c>
      <c r="CS42" s="145">
        <v>41</v>
      </c>
      <c r="CT42" s="145">
        <v>33</v>
      </c>
      <c r="CU42" s="145">
        <v>41</v>
      </c>
      <c r="CV42" s="145">
        <v>33</v>
      </c>
      <c r="CW42" s="145">
        <v>41</v>
      </c>
      <c r="CX42" s="145">
        <v>33</v>
      </c>
      <c r="CY42" s="145">
        <v>41</v>
      </c>
      <c r="CZ42" s="145">
        <v>33</v>
      </c>
      <c r="DA42" s="145">
        <v>41</v>
      </c>
      <c r="DB42" s="145">
        <v>33</v>
      </c>
      <c r="DC42" s="145">
        <v>41</v>
      </c>
      <c r="DD42" s="145">
        <v>33</v>
      </c>
      <c r="DE42" s="145">
        <v>41</v>
      </c>
      <c r="DF42" s="108">
        <v>33</v>
      </c>
      <c r="DG42" s="84"/>
      <c r="DH42" s="112">
        <f t="shared" si="3"/>
        <v>0</v>
      </c>
      <c r="DI42" s="138">
        <f t="shared" si="4"/>
        <v>0</v>
      </c>
      <c r="DJ42" s="138">
        <f t="shared" si="5"/>
        <v>0</v>
      </c>
      <c r="DK42" s="138">
        <f t="shared" si="6"/>
        <v>7.75</v>
      </c>
      <c r="DL42" s="138">
        <f t="shared" si="7"/>
        <v>0</v>
      </c>
      <c r="DM42" s="138">
        <f t="shared" si="8"/>
        <v>0.25</v>
      </c>
      <c r="DN42" s="138">
        <f t="shared" si="9"/>
        <v>0</v>
      </c>
      <c r="DO42" s="138">
        <f t="shared" si="10"/>
        <v>7.75</v>
      </c>
      <c r="DP42" s="138">
        <f t="shared" si="11"/>
        <v>0</v>
      </c>
      <c r="DQ42" s="138">
        <f t="shared" si="12"/>
        <v>0</v>
      </c>
      <c r="DR42" s="138">
        <f t="shared" si="13"/>
        <v>0</v>
      </c>
      <c r="DS42" s="138">
        <f t="shared" si="14"/>
        <v>0</v>
      </c>
      <c r="DT42" s="138">
        <f t="shared" si="15"/>
        <v>0</v>
      </c>
      <c r="DU42" s="138">
        <f t="shared" si="16"/>
        <v>0</v>
      </c>
      <c r="DV42" s="138">
        <f t="shared" si="17"/>
        <v>0</v>
      </c>
      <c r="DW42" s="138">
        <f t="shared" si="18"/>
        <v>0</v>
      </c>
      <c r="DX42" s="138">
        <f t="shared" si="19"/>
        <v>0</v>
      </c>
      <c r="DY42" s="138">
        <f t="shared" si="20"/>
        <v>0</v>
      </c>
      <c r="DZ42" s="138">
        <f t="shared" si="21"/>
        <v>0</v>
      </c>
      <c r="EA42" s="138">
        <f t="shared" si="22"/>
        <v>0</v>
      </c>
      <c r="EB42" s="138">
        <f t="shared" si="23"/>
        <v>0</v>
      </c>
      <c r="EC42" s="138">
        <f t="shared" si="24"/>
        <v>0</v>
      </c>
      <c r="ED42" s="138">
        <f t="shared" si="25"/>
        <v>0</v>
      </c>
      <c r="EE42" s="138">
        <f t="shared" si="26"/>
        <v>0</v>
      </c>
      <c r="EF42" s="138">
        <f t="shared" si="27"/>
        <v>0</v>
      </c>
      <c r="EG42" s="138">
        <f t="shared" si="28"/>
        <v>0</v>
      </c>
      <c r="EH42" s="138">
        <f t="shared" si="29"/>
        <v>0</v>
      </c>
      <c r="EI42" s="138">
        <f t="shared" si="30"/>
        <v>0</v>
      </c>
      <c r="EJ42" s="138">
        <f t="shared" si="31"/>
        <v>0</v>
      </c>
      <c r="EK42" s="138">
        <f t="shared" si="32"/>
        <v>0</v>
      </c>
      <c r="EL42" s="138">
        <f t="shared" si="33"/>
        <v>0</v>
      </c>
      <c r="EM42" s="138">
        <f t="shared" si="34"/>
        <v>0</v>
      </c>
      <c r="EN42" s="138">
        <f t="shared" si="35"/>
        <v>0</v>
      </c>
      <c r="EO42" s="138">
        <f t="shared" si="36"/>
        <v>0</v>
      </c>
      <c r="EP42" s="138">
        <f t="shared" si="37"/>
        <v>0</v>
      </c>
      <c r="EQ42" s="138">
        <f t="shared" si="38"/>
        <v>0</v>
      </c>
      <c r="ER42" s="138">
        <f t="shared" si="39"/>
        <v>0</v>
      </c>
      <c r="ES42" s="138">
        <f t="shared" si="40"/>
        <v>0</v>
      </c>
      <c r="ET42" s="138">
        <f t="shared" si="41"/>
        <v>0</v>
      </c>
      <c r="EU42" s="138">
        <f t="shared" si="42"/>
        <v>0</v>
      </c>
      <c r="EV42" s="138">
        <f t="shared" si="43"/>
        <v>0</v>
      </c>
      <c r="EW42" s="138">
        <f t="shared" si="44"/>
        <v>0</v>
      </c>
      <c r="EX42" s="138">
        <f t="shared" si="45"/>
        <v>0</v>
      </c>
      <c r="EY42" s="138">
        <f t="shared" si="46"/>
        <v>0</v>
      </c>
      <c r="EZ42" s="138">
        <f t="shared" si="47"/>
        <v>0</v>
      </c>
      <c r="FA42" s="138">
        <f t="shared" si="48"/>
        <v>0</v>
      </c>
      <c r="FB42" s="138">
        <f t="shared" si="49"/>
        <v>0</v>
      </c>
      <c r="FC42" s="138">
        <f t="shared" si="50"/>
        <v>0</v>
      </c>
      <c r="FD42" s="138">
        <f t="shared" si="51"/>
        <v>0</v>
      </c>
      <c r="FE42" s="138">
        <f t="shared" si="52"/>
        <v>0</v>
      </c>
      <c r="FF42" s="138">
        <f t="shared" si="53"/>
        <v>0</v>
      </c>
      <c r="FG42" s="113">
        <f t="shared" si="54"/>
        <v>0</v>
      </c>
      <c r="FH42" s="113">
        <f t="shared" si="55"/>
        <v>15.75</v>
      </c>
      <c r="FI42" s="35"/>
      <c r="FJ42" s="151" cm="1">
        <f t="array" ref="FJ42">IF($C42="Production",
IFERROR(_xlfn.IFS(AND(DH42&gt;0,DH42+SUM(BF42:BG42)&lt;=$FM$3),DH42,AND(DH42&gt;0,DH42+SUM(BF42:BG42)&gt;$FM$3),$FM$3-SUM(BF42:BG42)),0),
IFERROR(_xlfn.IFS(AND(DH42&gt;0,DH42+BG42&lt;=$FK$3),DH42,AND(DH42&gt;0,DH42+BG42&gt;$FK$3),0),0)
)</f>
        <v>0</v>
      </c>
      <c r="FK42" s="152" cm="1">
        <f t="array" ref="FK42">IF($C42="Production",
IFERROR(_xlfn.IFS(AND(DI42&gt;0,DI42+SUM(BG42:BH42)&lt;=$FM$3),DI42,AND(DI42&gt;0,DI42+SUM(BG42:BH42)&gt;$FM$3),$FM$3-SUM(BG42:BH42)),0),
IFERROR(_xlfn.IFS(AND(DI42&gt;0,DI42+BH42&lt;=$FK$3),DI42,AND(DI42&gt;0,DI42+BH42&gt;$FK$3),0),0)
)</f>
        <v>0</v>
      </c>
      <c r="FL42" s="152" cm="1">
        <f t="array" ref="FL42">IF($C42="Production",
IFERROR(_xlfn.IFS(AND(DJ42&gt;0,DJ42+SUM(BH42:BI42)&lt;=$FM$3),DJ42,AND(DJ42&gt;0,DJ42+SUM(BH42:BI42)&gt;$FM$3),$FM$3-SUM(BH42:BI42)),0),
IFERROR(_xlfn.IFS(AND(DJ42&gt;0,DJ42+BI42&lt;=$FK$3),DJ42,AND(DJ42&gt;0,DJ42+BI42&gt;$FK$3),0),0)
)</f>
        <v>0</v>
      </c>
      <c r="FM42" s="152" cm="1">
        <f t="array" ref="FM42">IF($C42="Production",
IFERROR(_xlfn.IFS(AND(DK42&gt;0,DK42+SUM(BI42:BJ42)&lt;=$FM$3),DK42,AND(DK42&gt;0,DK42+SUM(BI42:BJ42)&gt;$FM$3),$FM$3-SUM(BI42:BJ42)),0),
IFERROR(_xlfn.IFS(AND(DK42&gt;0,DK42+BJ42&lt;=$FK$3),DK42,AND(DK42&gt;0,DK42+BJ42&gt;$FK$3),0),0)
)</f>
        <v>7.75</v>
      </c>
      <c r="FN42" s="152" cm="1">
        <f t="array" ref="FN42">IF($C42="Production",
IFERROR(_xlfn.IFS(AND(DL42&gt;0,DL42+SUM(BJ42:BK42)&lt;=$FM$3),DL42,AND(DL42&gt;0,DL42+SUM(BJ42:BK42)&gt;$FM$3),$FM$3-SUM(BJ42:BK42)),0),
IFERROR(_xlfn.IFS(AND(DL42&gt;0,DL42+BK42&lt;=$FK$3),DL42,AND(DL42&gt;0,DL42+BK42&gt;$FK$3),0),0)
)</f>
        <v>0</v>
      </c>
      <c r="FO42" s="152" cm="1">
        <f t="array" ref="FO42">IF($C42="Production",
IFERROR(_xlfn.IFS(AND(DM42&gt;0,DM42+SUM(BK42:BL42)&lt;=$FM$3),DM42,AND(DM42&gt;0,DM42+SUM(BK42:BL42)&gt;$FM$3),$FM$3-SUM(BK42:BL42)),0),
IFERROR(_xlfn.IFS(AND(DM42&gt;0,DM42+BL42&lt;=$FK$3),DM42,AND(DM42&gt;0,DM42+BL42&gt;$FK$3),0),0)
)</f>
        <v>0.25</v>
      </c>
      <c r="FP42" s="152" cm="1">
        <f t="array" ref="FP42">IF($C42="Production",
IFERROR(_xlfn.IFS(AND(DN42&gt;0,DN42+SUM(BL42:BM42)&lt;=$FM$3),DN42,AND(DN42&gt;0,DN42+SUM(BL42:BM42)&gt;$FM$3),$FM$3-SUM(BL42:BM42)),0),
IFERROR(_xlfn.IFS(AND(DN42&gt;0,DN42+BM42&lt;=$FK$3),DN42,AND(DN42&gt;0,DN42+BM42&gt;$FK$3),0),0)
)</f>
        <v>0</v>
      </c>
      <c r="FQ42" s="152" cm="1">
        <f t="array" ref="FQ42">IF($C42="Production",
IFERROR(_xlfn.IFS(AND(DO42&gt;0,DO42+SUM(BM42:BN42)&lt;=$FM$3),DO42,AND(DO42&gt;0,DO42+SUM(BM42:BN42)&gt;$FM$3),$FM$3-SUM(BM42:BN42)),0),
IFERROR(_xlfn.IFS(AND(DO42&gt;0,DO42+BN42&lt;=$FK$3),DO42,AND(DO42&gt;0,DO42+BN42&gt;$FK$3),0),0)
)</f>
        <v>7.75</v>
      </c>
      <c r="FR42" s="152" cm="1">
        <f t="array" ref="FR42">IF($C42="Production",
IFERROR(_xlfn.IFS(AND(DP42&gt;0,DP42+SUM(BN42:BO42)&lt;=$FM$3),DP42,AND(DP42&gt;0,DP42+SUM(BN42:BO42)&gt;$FM$3),$FM$3-SUM(BN42:BO42)),0),
IFERROR(_xlfn.IFS(AND(DP42&gt;0,DP42+BO42&lt;=$FK$3),DP42,AND(DP42&gt;0,DP42+BO42&gt;$FK$3),0),0)
)</f>
        <v>0</v>
      </c>
      <c r="FS42" s="152" cm="1">
        <f t="array" ref="FS42">IF($C42="Production",
IFERROR(_xlfn.IFS(AND(DQ42&gt;0,DQ42+SUM(BO42:BP42)&lt;=$FM$3),DQ42,AND(DQ42&gt;0,DQ42+SUM(BO42:BP42)&gt;$FM$3),$FM$3-SUM(BO42:BP42)),0),
IFERROR(_xlfn.IFS(AND(DQ42&gt;0,DQ42+BP42&lt;=$FK$3),DQ42,AND(DQ42&gt;0,DQ42+BP42&gt;$FK$3),0),0)
)</f>
        <v>0</v>
      </c>
      <c r="FT42" s="152" cm="1">
        <f t="array" ref="FT42">IF($C42="Production",
IFERROR(_xlfn.IFS(AND(DR42&gt;0,DR42+SUM(BP42:BQ42)&lt;=$FM$3),DR42,AND(DR42&gt;0,DR42+SUM(BP42:BQ42)&gt;$FM$3),$FM$3-SUM(BP42:BQ42)),0),
IFERROR(_xlfn.IFS(AND(DR42&gt;0,DR42+BQ42&lt;=$FK$3),DR42,AND(DR42&gt;0,DR42+BQ42&gt;$FK$3),0),0)
)</f>
        <v>0</v>
      </c>
      <c r="FU42" s="152" cm="1">
        <f t="array" ref="FU42">IF($C42="Production",
IFERROR(_xlfn.IFS(AND(DS42&gt;0,DS42+SUM(BQ42:BR42)&lt;=$FM$3),DS42,AND(DS42&gt;0,DS42+SUM(BQ42:BR42)&gt;$FM$3),$FM$3-SUM(BQ42:BR42)),0),
IFERROR(_xlfn.IFS(AND(DS42&gt;0,DS42+BR42&lt;=$FK$3),DS42,AND(DS42&gt;0,DS42+BR42&gt;$FK$3),0),0)
)</f>
        <v>0</v>
      </c>
      <c r="FV42" s="152" cm="1">
        <f t="array" ref="FV42">IF($C42="Production",
IFERROR(_xlfn.IFS(AND(DT42&gt;0,DT42+SUM(BR42:BS42)&lt;=$FM$3),DT42,AND(DT42&gt;0,DT42+SUM(BR42:BS42)&gt;$FM$3),$FM$3-SUM(BR42:BS42)),0),
IFERROR(_xlfn.IFS(AND(DT42&gt;0,DT42+BS42&lt;=$FK$3),DT42,AND(DT42&gt;0,DT42+BS42&gt;$FK$3),0),0)
)</f>
        <v>0</v>
      </c>
      <c r="FW42" s="152" cm="1">
        <f t="array" ref="FW42">IF($C42="Production",
IFERROR(_xlfn.IFS(AND(DU42&gt;0,DU42+SUM(BS42:BT42)&lt;=$FM$3),DU42,AND(DU42&gt;0,DU42+SUM(BS42:BT42)&gt;$FM$3),$FM$3-SUM(BS42:BT42)),0),
IFERROR(_xlfn.IFS(AND(DU42&gt;0,DU42+BT42&lt;=$FK$3),DU42,AND(DU42&gt;0,DU42+BT42&gt;$FK$3),0),0)
)</f>
        <v>0</v>
      </c>
      <c r="FX42" s="152" cm="1">
        <f t="array" ref="FX42">IF($C42="Production",
IFERROR(_xlfn.IFS(AND(DV42&gt;0,DV42+SUM(BT42:BU42)&lt;=$FM$3),DV42,AND(DV42&gt;0,DV42+SUM(BT42:BU42)&gt;$FM$3),$FM$3-SUM(BT42:BU42)),0),
IFERROR(_xlfn.IFS(AND(DV42&gt;0,DV42+BU42&lt;=$FK$3),DV42,AND(DV42&gt;0,DV42+BU42&gt;$FK$3),0),0)
)</f>
        <v>0</v>
      </c>
      <c r="FY42" s="152" cm="1">
        <f t="array" ref="FY42">IF($C42="Production",
IFERROR(_xlfn.IFS(AND(DW42&gt;0,DW42+SUM(BU42:BV42)&lt;=$FM$3),DW42,AND(DW42&gt;0,DW42+SUM(BU42:BV42)&gt;$FM$3),$FM$3-SUM(BU42:BV42)),0),
IFERROR(_xlfn.IFS(AND(DW42&gt;0,DW42+BV42&lt;=$FK$3),DW42,AND(DW42&gt;0,DW42+BV42&gt;$FK$3),0),0)
)</f>
        <v>0</v>
      </c>
      <c r="FZ42" s="152" cm="1">
        <f t="array" ref="FZ42">IF($C42="Production",
IFERROR(_xlfn.IFS(AND(DX42&gt;0,DX42+SUM(BV42:BW42)&lt;=$FM$3),DX42,AND(DX42&gt;0,DX42+SUM(BV42:BW42)&gt;$FM$3),$FM$3-SUM(BV42:BW42)),0),
IFERROR(_xlfn.IFS(AND(DX42&gt;0,DX42+BW42&lt;=$FK$3),DX42,AND(DX42&gt;0,DX42+BW42&gt;$FK$3),0),0)
)</f>
        <v>0</v>
      </c>
      <c r="GA42" s="152" cm="1">
        <f t="array" ref="GA42">IF($C42="Production",
IFERROR(_xlfn.IFS(AND(DY42&gt;0,DY42+SUM(BW42:BX42)&lt;=$FM$3),DY42,AND(DY42&gt;0,DY42+SUM(BW42:BX42)&gt;$FM$3),$FM$3-SUM(BW42:BX42)),0),
IFERROR(_xlfn.IFS(AND(DY42&gt;0,DY42+BX42&lt;=$FK$3),DY42,AND(DY42&gt;0,DY42+BX42&gt;$FK$3),0),0)
)</f>
        <v>0</v>
      </c>
      <c r="GB42" s="152" cm="1">
        <f t="array" ref="GB42">IF($C42="Production",
IFERROR(_xlfn.IFS(AND(DZ42&gt;0,DZ42+SUM(BX42:BY42)&lt;=$FM$3),DZ42,AND(DZ42&gt;0,DZ42+SUM(BX42:BY42)&gt;$FM$3),$FM$3-SUM(BX42:BY42)),0),
IFERROR(_xlfn.IFS(AND(DZ42&gt;0,DZ42+BY42&lt;=$FK$3),DZ42,AND(DZ42&gt;0,DZ42+BY42&gt;$FK$3),0),0)
)</f>
        <v>0</v>
      </c>
      <c r="GC42" s="152" cm="1">
        <f t="array" ref="GC42">IF($C42="Production",
IFERROR(_xlfn.IFS(AND(EA42&gt;0,EA42+SUM(BY42:BZ42)&lt;=$FM$3),EA42,AND(EA42&gt;0,EA42+SUM(BY42:BZ42)&gt;$FM$3),$FM$3-SUM(BY42:BZ42)),0),
IFERROR(_xlfn.IFS(AND(EA42&gt;0,EA42+BZ42&lt;=$FK$3),EA42,AND(EA42&gt;0,EA42+BZ42&gt;$FK$3),0),0)
)</f>
        <v>0</v>
      </c>
      <c r="GD42" s="152" cm="1">
        <f t="array" ref="GD42">IF($C42="Production",
IFERROR(_xlfn.IFS(AND(EB42&gt;0,EB42+SUM(BZ42:CA42)&lt;=$FM$3),EB42,AND(EB42&gt;0,EB42+SUM(BZ42:CA42)&gt;$FM$3),$FM$3-SUM(BZ42:CA42)),0),
IFERROR(_xlfn.IFS(AND(EB42&gt;0,EB42+CA42&lt;=$FK$3),EB42,AND(EB42&gt;0,EB42+CA42&gt;$FK$3),0),0)
)</f>
        <v>0</v>
      </c>
      <c r="GE42" s="152" cm="1">
        <f t="array" ref="GE42">IF($C42="Production",
IFERROR(_xlfn.IFS(AND(EC42&gt;0,EC42+SUM(CA42:CB42)&lt;=$FM$3),EC42,AND(EC42&gt;0,EC42+SUM(CA42:CB42)&gt;$FM$3),$FM$3-SUM(CA42:CB42)),0),
IFERROR(_xlfn.IFS(AND(EC42&gt;0,EC42+CB42&lt;=$FK$3),EC42,AND(EC42&gt;0,EC42+CB42&gt;$FK$3),0),0)
)</f>
        <v>0</v>
      </c>
      <c r="GF42" s="152" cm="1">
        <f t="array" ref="GF42">IF($C42="Production",
IFERROR(_xlfn.IFS(AND(ED42&gt;0,ED42+SUM(CB42:CC42)&lt;=$FM$3),ED42,AND(ED42&gt;0,ED42+SUM(CB42:CC42)&gt;$FM$3),$FM$3-SUM(CB42:CC42)),0),
IFERROR(_xlfn.IFS(AND(ED42&gt;0,ED42+CC42&lt;=$FK$3),ED42,AND(ED42&gt;0,ED42+CC42&gt;$FK$3),0),0)
)</f>
        <v>0</v>
      </c>
      <c r="GG42" s="152" cm="1">
        <f t="array" ref="GG42">IF($C42="Production",
IFERROR(_xlfn.IFS(AND(EE42&gt;0,EE42+SUM(CC42:CD42)&lt;=$FM$3),EE42,AND(EE42&gt;0,EE42+SUM(CC42:CD42)&gt;$FM$3),$FM$3-SUM(CC42:CD42)),0),
IFERROR(_xlfn.IFS(AND(EE42&gt;0,EE42+CD42&lt;=$FK$3),EE42,AND(EE42&gt;0,EE42+CD42&gt;$FK$3),0),0)
)</f>
        <v>0</v>
      </c>
      <c r="GH42" s="152" cm="1">
        <f t="array" ref="GH42">IF($C42="Production",
IFERROR(_xlfn.IFS(AND(EF42&gt;0,EF42+SUM(CD42:CE42)&lt;=$FM$3),EF42,AND(EF42&gt;0,EF42+SUM(CD42:CE42)&gt;$FM$3),$FM$3-SUM(CD42:CE42)),0),
IFERROR(_xlfn.IFS(AND(EF42&gt;0,EF42+CE42&lt;=$FK$3),EF42,AND(EF42&gt;0,EF42+CE42&gt;$FK$3),0),0)
)</f>
        <v>0</v>
      </c>
      <c r="GI42" s="152" cm="1">
        <f t="array" ref="GI42">IF($C42="Production",
IFERROR(_xlfn.IFS(AND(EG42&gt;0,EG42+SUM(CE42:CF42)&lt;=$FM$3),EG42,AND(EG42&gt;0,EG42+SUM(CE42:CF42)&gt;$FM$3),$FM$3-SUM(CE42:CF42)),0),
IFERROR(_xlfn.IFS(AND(EG42&gt;0,EG42+CF42&lt;=$FK$3),EG42,AND(EG42&gt;0,EG42+CF42&gt;$FK$3),0),0)
)</f>
        <v>0</v>
      </c>
      <c r="GJ42" s="152" cm="1">
        <f t="array" ref="GJ42">IF($C42="Production",
IFERROR(_xlfn.IFS(AND(EH42&gt;0,EH42+SUM(CF42:CG42)&lt;=$FM$3),EH42,AND(EH42&gt;0,EH42+SUM(CF42:CG42)&gt;$FM$3),$FM$3-SUM(CF42:CG42)),0),
IFERROR(_xlfn.IFS(AND(EH42&gt;0,EH42+CG42&lt;=$FK$3),EH42,AND(EH42&gt;0,EH42+CG42&gt;$FK$3),0),0)
)</f>
        <v>0</v>
      </c>
      <c r="GK42" s="152" cm="1">
        <f t="array" ref="GK42">IF($C42="Production",
IFERROR(_xlfn.IFS(AND(EI42&gt;0,EI42+SUM(CG42:CH42)&lt;=$FM$3),EI42,AND(EI42&gt;0,EI42+SUM(CG42:CH42)&gt;$FM$3),$FM$3-SUM(CG42:CH42)),0),
IFERROR(_xlfn.IFS(AND(EI42&gt;0,EI42+CH42&lt;=$FK$3),EI42,AND(EI42&gt;0,EI42+CH42&gt;$FK$3),0),0)
)</f>
        <v>0</v>
      </c>
      <c r="GL42" s="152" cm="1">
        <f t="array" ref="GL42">IF($C42="Production",
IFERROR(_xlfn.IFS(AND(EJ42&gt;0,EJ42+SUM(CH42:CI42)&lt;=$FM$3),EJ42,AND(EJ42&gt;0,EJ42+SUM(CH42:CI42)&gt;$FM$3),$FM$3-SUM(CH42:CI42)),0),
IFERROR(_xlfn.IFS(AND(EJ42&gt;0,EJ42+CI42&lt;=$FK$3),EJ42,AND(EJ42&gt;0,EJ42+CI42&gt;$FK$3),0),0)
)</f>
        <v>0</v>
      </c>
      <c r="GM42" s="152" cm="1">
        <f t="array" ref="GM42">IF($C42="Production",
IFERROR(_xlfn.IFS(AND(EK42&gt;0,EK42+SUM(CI42:CJ42)&lt;=$FM$3),EK42,AND(EK42&gt;0,EK42+SUM(CI42:CJ42)&gt;$FM$3),$FM$3-SUM(CI42:CJ42)),0),
IFERROR(_xlfn.IFS(AND(EK42&gt;0,EK42+CJ42&lt;=$FK$3),EK42,AND(EK42&gt;0,EK42+CJ42&gt;$FK$3),0),0)
)</f>
        <v>0</v>
      </c>
      <c r="GN42" s="152" cm="1">
        <f t="array" ref="GN42">IF($C42="Production",
IFERROR(_xlfn.IFS(AND(EL42&gt;0,EL42+SUM(CJ42:CK42)&lt;=$FM$3),EL42,AND(EL42&gt;0,EL42+SUM(CJ42:CK42)&gt;$FM$3),$FM$3-SUM(CJ42:CK42)),0),
IFERROR(_xlfn.IFS(AND(EL42&gt;0,EL42+CK42&lt;=$FK$3),EL42,AND(EL42&gt;0,EL42+CK42&gt;$FK$3),0),0)
)</f>
        <v>0</v>
      </c>
      <c r="GO42" s="152" cm="1">
        <f t="array" ref="GO42">IF($C42="Production",
IFERROR(_xlfn.IFS(AND(EM42&gt;0,EM42+SUM(CK42:CL42)&lt;=$FM$3),EM42,AND(EM42&gt;0,EM42+SUM(CK42:CL42)&gt;$FM$3),$FM$3-SUM(CK42:CL42)),0),
IFERROR(_xlfn.IFS(AND(EM42&gt;0,EM42+CL42&lt;=$FK$3),EM42,AND(EM42&gt;0,EM42+CL42&gt;$FK$3),0),0)
)</f>
        <v>0</v>
      </c>
      <c r="GP42" s="152" cm="1">
        <f t="array" ref="GP42">IF($C42="Production",
IFERROR(_xlfn.IFS(AND(EN42&gt;0,EN42+SUM(CL42:CM42)&lt;=$FM$3),EN42,AND(EN42&gt;0,EN42+SUM(CL42:CM42)&gt;$FM$3),$FM$3-SUM(CL42:CM42)),0),
IFERROR(_xlfn.IFS(AND(EN42&gt;0,EN42+CM42&lt;=$FK$3),EN42,AND(EN42&gt;0,EN42+CM42&gt;$FK$3),0),0)
)</f>
        <v>0</v>
      </c>
      <c r="GQ42" s="152" cm="1">
        <f t="array" ref="GQ42">IF($C42="Production",
IFERROR(_xlfn.IFS(AND(EO42&gt;0,EO42+SUM(CM42:CN42)&lt;=$FM$3),EO42,AND(EO42&gt;0,EO42+SUM(CM42:CN42)&gt;$FM$3),$FM$3-SUM(CM42:CN42)),0),
IFERROR(_xlfn.IFS(AND(EO42&gt;0,EO42+CN42&lt;=$FK$3),EO42,AND(EO42&gt;0,EO42+CN42&gt;$FK$3),0),0)
)</f>
        <v>0</v>
      </c>
      <c r="GR42" s="152" cm="1">
        <f t="array" ref="GR42">IF($C42="Production",
IFERROR(_xlfn.IFS(AND(EP42&gt;0,EP42+SUM(CN42:CO42)&lt;=$FM$3),EP42,AND(EP42&gt;0,EP42+SUM(CN42:CO42)&gt;$FM$3),$FM$3-SUM(CN42:CO42)),0),
IFERROR(_xlfn.IFS(AND(EP42&gt;0,EP42+CO42&lt;=$FK$3),EP42,AND(EP42&gt;0,EP42+CO42&gt;$FK$3),0),0)
)</f>
        <v>0</v>
      </c>
      <c r="GS42" s="152" cm="1">
        <f t="array" ref="GS42">IF($C42="Production",
IFERROR(_xlfn.IFS(AND(EQ42&gt;0,EQ42+SUM(CO42:CP42)&lt;=$FM$3),EQ42,AND(EQ42&gt;0,EQ42+SUM(CO42:CP42)&gt;$FM$3),$FM$3-SUM(CO42:CP42)),0),
IFERROR(_xlfn.IFS(AND(EQ42&gt;0,EQ42+CP42&lt;=$FK$3),EQ42,AND(EQ42&gt;0,EQ42+CP42&gt;$FK$3),0),0)
)</f>
        <v>0</v>
      </c>
      <c r="GT42" s="152" cm="1">
        <f t="array" ref="GT42">IF($C42="Production",
IFERROR(_xlfn.IFS(AND(ER42&gt;0,ER42+SUM(CP42:CQ42)&lt;=$FM$3),ER42,AND(ER42&gt;0,ER42+SUM(CP42:CQ42)&gt;$FM$3),$FM$3-SUM(CP42:CQ42)),0),
IFERROR(_xlfn.IFS(AND(ER42&gt;0,ER42+CQ42&lt;=$FK$3),ER42,AND(ER42&gt;0,ER42+CQ42&gt;$FK$3),0),0)
)</f>
        <v>0</v>
      </c>
      <c r="GU42" s="152" cm="1">
        <f t="array" ref="GU42">IF($C42="Production",
IFERROR(_xlfn.IFS(AND(ES42&gt;0,ES42+SUM(CQ42:CR42)&lt;=$FM$3),ES42,AND(ES42&gt;0,ES42+SUM(CQ42:CR42)&gt;$FM$3),$FM$3-SUM(CQ42:CR42)),0),
IFERROR(_xlfn.IFS(AND(ES42&gt;0,ES42+CR42&lt;=$FK$3),ES42,AND(ES42&gt;0,ES42+CR42&gt;$FK$3),0),0)
)</f>
        <v>0</v>
      </c>
      <c r="GV42" s="152" cm="1">
        <f t="array" ref="GV42">IF($C42="Production",
IFERROR(_xlfn.IFS(AND(ET42&gt;0,ET42+SUM(CR42:CS42)&lt;=$FM$3),ET42,AND(ET42&gt;0,ET42+SUM(CR42:CS42)&gt;$FM$3),$FM$3-SUM(CR42:CS42)),0),
IFERROR(_xlfn.IFS(AND(ET42&gt;0,ET42+CS42&lt;=$FK$3),ET42,AND(ET42&gt;0,ET42+CS42&gt;$FK$3),0),0)
)</f>
        <v>0</v>
      </c>
      <c r="GW42" s="152" cm="1">
        <f t="array" ref="GW42">IF($C42="Production",
IFERROR(_xlfn.IFS(AND(EU42&gt;0,EU42+SUM(CS42:CT42)&lt;=$FM$3),EU42,AND(EU42&gt;0,EU42+SUM(CS42:CT42)&gt;$FM$3),$FM$3-SUM(CS42:CT42)),0),
IFERROR(_xlfn.IFS(AND(EU42&gt;0,EU42+CT42&lt;=$FK$3),EU42,AND(EU42&gt;0,EU42+CT42&gt;$FK$3),0),0)
)</f>
        <v>0</v>
      </c>
      <c r="GX42" s="152" cm="1">
        <f t="array" ref="GX42">IF($C42="Production",
IFERROR(_xlfn.IFS(AND(EV42&gt;0,EV42+SUM(CT42:CU42)&lt;=$FM$3),EV42,AND(EV42&gt;0,EV42+SUM(CT42:CU42)&gt;$FM$3),$FM$3-SUM(CT42:CU42)),0),
IFERROR(_xlfn.IFS(AND(EV42&gt;0,EV42+CU42&lt;=$FK$3),EV42,AND(EV42&gt;0,EV42+CU42&gt;$FK$3),0),0)
)</f>
        <v>0</v>
      </c>
      <c r="GY42" s="152" cm="1">
        <f t="array" ref="GY42">IF($C42="Production",
IFERROR(_xlfn.IFS(AND(EW42&gt;0,EW42+SUM(CU42:CV42)&lt;=$FM$3),EW42,AND(EW42&gt;0,EW42+SUM(CU42:CV42)&gt;$FM$3),$FM$3-SUM(CU42:CV42)),0),
IFERROR(_xlfn.IFS(AND(EW42&gt;0,EW42+CV42&lt;=$FK$3),EW42,AND(EW42&gt;0,EW42+CV42&gt;$FK$3),0),0)
)</f>
        <v>0</v>
      </c>
      <c r="GZ42" s="152" cm="1">
        <f t="array" ref="GZ42">IF($C42="Production",
IFERROR(_xlfn.IFS(AND(EX42&gt;0,EX42+SUM(CV42:CW42)&lt;=$FM$3),EX42,AND(EX42&gt;0,EX42+SUM(CV42:CW42)&gt;$FM$3),$FM$3-SUM(CV42:CW42)),0),
IFERROR(_xlfn.IFS(AND(EX42&gt;0,EX42+CW42&lt;=$FK$3),EX42,AND(EX42&gt;0,EX42+CW42&gt;$FK$3),0),0)
)</f>
        <v>0</v>
      </c>
      <c r="HA42" s="152" cm="1">
        <f t="array" ref="HA42">IF($C42="Production",
IFERROR(_xlfn.IFS(AND(EY42&gt;0,EY42+SUM(CW42:CX42)&lt;=$FM$3),EY42,AND(EY42&gt;0,EY42+SUM(CW42:CX42)&gt;$FM$3),$FM$3-SUM(CW42:CX42)),0),
IFERROR(_xlfn.IFS(AND(EY42&gt;0,EY42+CX42&lt;=$FK$3),EY42,AND(EY42&gt;0,EY42+CX42&gt;$FK$3),0),0)
)</f>
        <v>0</v>
      </c>
      <c r="HB42" s="152" cm="1">
        <f t="array" ref="HB42">IF($C42="Production",
IFERROR(_xlfn.IFS(AND(EZ42&gt;0,EZ42+SUM(CX42:CY42)&lt;=$FM$3),EZ42,AND(EZ42&gt;0,EZ42+SUM(CX42:CY42)&gt;$FM$3),$FM$3-SUM(CX42:CY42)),0),
IFERROR(_xlfn.IFS(AND(EZ42&gt;0,EZ42+CY42&lt;=$FK$3),EZ42,AND(EZ42&gt;0,EZ42+CY42&gt;$FK$3),0),0)
)</f>
        <v>0</v>
      </c>
      <c r="HC42" s="152" cm="1">
        <f t="array" ref="HC42">IF($C42="Production",
IFERROR(_xlfn.IFS(AND(FA42&gt;0,FA42+SUM(CY42:CZ42)&lt;=$FM$3),FA42,AND(FA42&gt;0,FA42+SUM(CY42:CZ42)&gt;$FM$3),$FM$3-SUM(CY42:CZ42)),0),
IFERROR(_xlfn.IFS(AND(FA42&gt;0,FA42+CZ42&lt;=$FK$3),FA42,AND(FA42&gt;0,FA42+CZ42&gt;$FK$3),0),0)
)</f>
        <v>0</v>
      </c>
      <c r="HD42" s="152" cm="1">
        <f t="array" ref="HD42">IF($C42="Production",
IFERROR(_xlfn.IFS(AND(FB42&gt;0,FB42+SUM(CZ42:DA42)&lt;=$FM$3),FB42,AND(FB42&gt;0,FB42+SUM(CZ42:DA42)&gt;$FM$3),$FM$3-SUM(CZ42:DA42)),0),
IFERROR(_xlfn.IFS(AND(FB42&gt;0,FB42+DA42&lt;=$FK$3),FB42,AND(FB42&gt;0,FB42+DA42&gt;$FK$3),0),0)
)</f>
        <v>0</v>
      </c>
      <c r="HE42" s="152" cm="1">
        <f t="array" ref="HE42">IF($C42="Production",
IFERROR(_xlfn.IFS(AND(FC42&gt;0,FC42+SUM(DA42:DB42)&lt;=$FM$3),FC42,AND(FC42&gt;0,FC42+SUM(DA42:DB42)&gt;$FM$3),$FM$3-SUM(DA42:DB42)),0),
IFERROR(_xlfn.IFS(AND(FC42&gt;0,FC42+DB42&lt;=$FK$3),FC42,AND(FC42&gt;0,FC42+DB42&gt;$FK$3),0),0)
)</f>
        <v>0</v>
      </c>
      <c r="HF42" s="152" cm="1">
        <f t="array" ref="HF42">IF($C42="Production",
IFERROR(_xlfn.IFS(AND(FD42&gt;0,FD42+SUM(DB42:DC42)&lt;=$FM$3),FD42,AND(FD42&gt;0,FD42+SUM(DB42:DC42)&gt;$FM$3),$FM$3-SUM(DB42:DC42)),0),
IFERROR(_xlfn.IFS(AND(FD42&gt;0,FD42+DC42&lt;=$FK$3),FD42,AND(FD42&gt;0,FD42+DC42&gt;$FK$3),0),0)
)</f>
        <v>0</v>
      </c>
      <c r="HG42" s="152" cm="1">
        <f t="array" ref="HG42">IF($C42="Production",
IFERROR(_xlfn.IFS(AND(FE42&gt;0,FE42+SUM(DC42:DD42)&lt;=$FM$3),FE42,AND(FE42&gt;0,FE42+SUM(DC42:DD42)&gt;$FM$3),$FM$3-SUM(DC42:DD42)),0),
IFERROR(_xlfn.IFS(AND(FE42&gt;0,FE42+DD42&lt;=$FK$3),FE42,AND(FE42&gt;0,FE42+DD42&gt;$FK$3),0),0)
)</f>
        <v>0</v>
      </c>
      <c r="HH42" s="152" cm="1">
        <f t="array" ref="HH42">IF($C42="Production",
IFERROR(_xlfn.IFS(AND(FF42&gt;0,FF42+SUM(DD42:DE42)&lt;=$FM$3),FF42,AND(FF42&gt;0,FF42+SUM(DD42:DE42)&gt;$FM$3),$FM$3-SUM(DD42:DE42)),0),
IFERROR(_xlfn.IFS(AND(FF42&gt;0,FF42+DE42&lt;=$FK$3),FF42,AND(FF42&gt;0,FF42+DE42&gt;$FK$3),0),0)
)</f>
        <v>0</v>
      </c>
      <c r="HI42" s="156" cm="1">
        <f t="array" ref="HI42">IF($C42="Production",
IFERROR(_xlfn.IFS(AND(FG42&gt;0,FG42+SUM(DE42:DF42)&lt;=$FM$3),FG42,AND(FG42&gt;0,FG42+SUM(DE42:DF42)&gt;$FM$3),$FM$3-SUM(DE42:DF42)),0),
IFERROR(_xlfn.IFS(AND(FG42&gt;0,FG42+DF42&lt;=$FK$3),FG42,AND(FG42&gt;0,FG42+DF42&gt;$FK$3),0),0)
)</f>
        <v>0</v>
      </c>
      <c r="HJ42" s="156">
        <f>SUM(FJ42:HI42)</f>
        <v>15.75</v>
      </c>
      <c r="HK42" s="80"/>
      <c r="HL42" s="112">
        <f t="shared" si="56"/>
        <v>0</v>
      </c>
      <c r="HM42" s="138">
        <f t="shared" si="57"/>
        <v>0</v>
      </c>
      <c r="HN42" s="138">
        <f t="shared" si="58"/>
        <v>0</v>
      </c>
      <c r="HO42" s="138">
        <f t="shared" si="59"/>
        <v>0</v>
      </c>
      <c r="HP42" s="138">
        <f t="shared" si="60"/>
        <v>0</v>
      </c>
      <c r="HQ42" s="138">
        <f t="shared" si="61"/>
        <v>0</v>
      </c>
      <c r="HR42" s="138">
        <f t="shared" si="62"/>
        <v>0</v>
      </c>
      <c r="HS42" s="138">
        <f t="shared" si="63"/>
        <v>0</v>
      </c>
      <c r="HT42" s="138">
        <f t="shared" si="64"/>
        <v>0</v>
      </c>
      <c r="HU42" s="138">
        <f t="shared" si="65"/>
        <v>0</v>
      </c>
      <c r="HV42" s="138">
        <f t="shared" si="66"/>
        <v>0</v>
      </c>
      <c r="HW42" s="138">
        <f t="shared" si="67"/>
        <v>0</v>
      </c>
      <c r="HX42" s="138">
        <f t="shared" si="68"/>
        <v>0</v>
      </c>
      <c r="HY42" s="138">
        <f t="shared" si="69"/>
        <v>0</v>
      </c>
      <c r="HZ42" s="138">
        <f t="shared" si="70"/>
        <v>0</v>
      </c>
      <c r="IA42" s="138">
        <f t="shared" si="71"/>
        <v>0</v>
      </c>
      <c r="IB42" s="138">
        <f t="shared" si="72"/>
        <v>0</v>
      </c>
      <c r="IC42" s="138">
        <f t="shared" si="73"/>
        <v>0</v>
      </c>
      <c r="ID42" s="138">
        <f t="shared" si="74"/>
        <v>0</v>
      </c>
      <c r="IE42" s="138">
        <f t="shared" si="75"/>
        <v>0</v>
      </c>
      <c r="IF42" s="138">
        <f t="shared" si="76"/>
        <v>0</v>
      </c>
      <c r="IG42" s="138">
        <f t="shared" si="77"/>
        <v>0</v>
      </c>
      <c r="IH42" s="138">
        <f t="shared" si="78"/>
        <v>0</v>
      </c>
      <c r="II42" s="138">
        <f t="shared" si="79"/>
        <v>0</v>
      </c>
      <c r="IJ42" s="138">
        <f t="shared" si="80"/>
        <v>0</v>
      </c>
      <c r="IK42" s="138">
        <f t="shared" si="81"/>
        <v>0</v>
      </c>
      <c r="IL42" s="138">
        <f t="shared" si="82"/>
        <v>0</v>
      </c>
      <c r="IM42" s="138">
        <f t="shared" si="83"/>
        <v>0</v>
      </c>
      <c r="IN42" s="138">
        <f t="shared" si="84"/>
        <v>0</v>
      </c>
      <c r="IO42" s="138">
        <f t="shared" si="85"/>
        <v>0</v>
      </c>
      <c r="IP42" s="138">
        <f t="shared" si="86"/>
        <v>0</v>
      </c>
      <c r="IQ42" s="138">
        <f t="shared" si="87"/>
        <v>0</v>
      </c>
      <c r="IR42" s="138">
        <f t="shared" si="88"/>
        <v>0</v>
      </c>
      <c r="IS42" s="138">
        <f t="shared" si="89"/>
        <v>0</v>
      </c>
      <c r="IT42" s="138">
        <f t="shared" si="90"/>
        <v>0</v>
      </c>
      <c r="IU42" s="138">
        <f t="shared" si="91"/>
        <v>0</v>
      </c>
      <c r="IV42" s="138">
        <f t="shared" si="92"/>
        <v>0</v>
      </c>
      <c r="IW42" s="138">
        <f t="shared" si="93"/>
        <v>0</v>
      </c>
      <c r="IX42" s="138">
        <f t="shared" si="94"/>
        <v>0</v>
      </c>
      <c r="IY42" s="138">
        <f t="shared" si="95"/>
        <v>0</v>
      </c>
      <c r="IZ42" s="138">
        <f t="shared" si="96"/>
        <v>0</v>
      </c>
      <c r="JA42" s="138">
        <f t="shared" si="97"/>
        <v>0</v>
      </c>
      <c r="JB42" s="138">
        <f t="shared" si="98"/>
        <v>0</v>
      </c>
      <c r="JC42" s="138">
        <f t="shared" si="99"/>
        <v>0</v>
      </c>
      <c r="JD42" s="138">
        <f t="shared" si="100"/>
        <v>0</v>
      </c>
      <c r="JE42" s="138">
        <f t="shared" si="101"/>
        <v>0</v>
      </c>
      <c r="JF42" s="138">
        <f t="shared" si="102"/>
        <v>0</v>
      </c>
      <c r="JG42" s="138">
        <f t="shared" si="103"/>
        <v>0</v>
      </c>
      <c r="JH42" s="138">
        <f t="shared" si="104"/>
        <v>0</v>
      </c>
      <c r="JI42" s="138">
        <f t="shared" si="105"/>
        <v>0</v>
      </c>
      <c r="JJ42" s="138">
        <f t="shared" si="106"/>
        <v>0</v>
      </c>
      <c r="JK42" s="138">
        <f t="shared" si="107"/>
        <v>0</v>
      </c>
      <c r="JL42" s="118">
        <f t="shared" si="111"/>
        <v>0</v>
      </c>
      <c r="JO42" s="90">
        <f t="shared" si="112"/>
        <v>15.75</v>
      </c>
      <c r="JP42" s="79">
        <f t="shared" si="108"/>
        <v>0</v>
      </c>
      <c r="JQ42" s="91">
        <f t="shared" si="2"/>
        <v>19.6875</v>
      </c>
      <c r="JS42" s="123">
        <f t="shared" si="109"/>
        <v>0</v>
      </c>
      <c r="JU42" s="123">
        <f t="shared" si="113"/>
        <v>19.6875</v>
      </c>
    </row>
    <row r="43" spans="2:281" x14ac:dyDescent="0.15">
      <c r="B43" s="82" t="str">
        <f>'MODU 2025'!B46</f>
        <v>TROUDi Abdelhamid</v>
      </c>
      <c r="C43" s="82" t="str">
        <f>'MODU 2025'!C46</f>
        <v>Production</v>
      </c>
      <c r="D43" s="82">
        <f>'MODU 2025'!D46</f>
        <v>37</v>
      </c>
      <c r="E43" s="82"/>
      <c r="F43" s="133">
        <f>'MODU 2025'!G46</f>
        <v>37</v>
      </c>
      <c r="G43" s="140">
        <f>'MODU 2025'!H46</f>
        <v>37</v>
      </c>
      <c r="H43" s="140">
        <f>'MODU 2025'!I46</f>
        <v>37</v>
      </c>
      <c r="I43" s="140">
        <f>'MODU 2025'!J46</f>
        <v>37</v>
      </c>
      <c r="J43" s="140">
        <f>'MODU 2025'!K46</f>
        <v>37</v>
      </c>
      <c r="K43" s="140">
        <f>'MODU 2025'!L46</f>
        <v>37</v>
      </c>
      <c r="L43" s="140">
        <f>'MODU 2025'!M46</f>
        <v>37</v>
      </c>
      <c r="M43" s="140">
        <f>'MODU 2025'!N46</f>
        <v>37</v>
      </c>
      <c r="N43" s="140">
        <f>'MODU 2025'!O46</f>
        <v>37</v>
      </c>
      <c r="O43" s="140">
        <f>'MODU 2025'!P46</f>
        <v>33</v>
      </c>
      <c r="P43" s="140">
        <f>'MODU 2025'!Q46</f>
        <v>41</v>
      </c>
      <c r="Q43" s="140">
        <f>'MODU 2025'!R46</f>
        <v>33</v>
      </c>
      <c r="R43" s="140">
        <f>'MODU 2025'!S46</f>
        <v>41</v>
      </c>
      <c r="S43" s="140">
        <f>'MODU 2025'!T46</f>
        <v>33</v>
      </c>
      <c r="T43" s="140">
        <f>'MODU 2025'!U46</f>
        <v>41</v>
      </c>
      <c r="U43" s="140">
        <f>'MODU 2025'!V46</f>
        <v>33</v>
      </c>
      <c r="V43" s="140">
        <f>'MODU 2025'!W46</f>
        <v>41</v>
      </c>
      <c r="W43" s="140">
        <f>'MODU 2025'!X46</f>
        <v>33</v>
      </c>
      <c r="X43" s="140">
        <f>'MODU 2025'!Y46</f>
        <v>41</v>
      </c>
      <c r="Y43" s="140">
        <f>'MODU 2025'!Z46</f>
        <v>33</v>
      </c>
      <c r="Z43" s="140">
        <f>'MODU 2025'!AA46</f>
        <v>41</v>
      </c>
      <c r="AA43" s="140">
        <f>'MODU 2025'!AB46</f>
        <v>33</v>
      </c>
      <c r="AB43" s="140">
        <f>'MODU 2025'!AC46</f>
        <v>41</v>
      </c>
      <c r="AC43" s="140">
        <f>'MODU 2025'!AD46</f>
        <v>33</v>
      </c>
      <c r="AD43" s="140">
        <f>'MODU 2025'!AE46</f>
        <v>41</v>
      </c>
      <c r="AE43" s="140">
        <f>'MODU 2025'!AF46</f>
        <v>33</v>
      </c>
      <c r="AF43" s="140">
        <f>'MODU 2025'!AG46</f>
        <v>41</v>
      </c>
      <c r="AG43" s="140">
        <f>'MODU 2025'!AH46</f>
        <v>33</v>
      </c>
      <c r="AH43" s="140">
        <f>'MODU 2025'!AI46</f>
        <v>41</v>
      </c>
      <c r="AI43" s="140">
        <f>'MODU 2025'!AJ46</f>
        <v>33</v>
      </c>
      <c r="AJ43" s="140">
        <f>'MODU 2025'!AK46</f>
        <v>41</v>
      </c>
      <c r="AK43" s="140">
        <f>'MODU 2025'!AL46</f>
        <v>33</v>
      </c>
      <c r="AL43" s="140">
        <f>'MODU 2025'!AM46</f>
        <v>41</v>
      </c>
      <c r="AM43" s="140">
        <f>'MODU 2025'!AN46</f>
        <v>33</v>
      </c>
      <c r="AN43" s="140">
        <f>'MODU 2025'!AO46</f>
        <v>41</v>
      </c>
      <c r="AO43" s="140">
        <f>'MODU 2025'!AP46</f>
        <v>33</v>
      </c>
      <c r="AP43" s="140">
        <f>'MODU 2025'!AQ46</f>
        <v>41</v>
      </c>
      <c r="AQ43" s="140">
        <f>'MODU 2025'!AR46</f>
        <v>33</v>
      </c>
      <c r="AR43" s="140">
        <f>'MODU 2025'!AS46</f>
        <v>41</v>
      </c>
      <c r="AS43" s="140">
        <f>'MODU 2025'!AT46</f>
        <v>33</v>
      </c>
      <c r="AT43" s="140">
        <f>'MODU 2025'!AU46</f>
        <v>41</v>
      </c>
      <c r="AU43" s="140">
        <f>'MODU 2025'!AV46</f>
        <v>33</v>
      </c>
      <c r="AV43" s="140">
        <f>'MODU 2025'!AW46</f>
        <v>41</v>
      </c>
      <c r="AW43" s="140">
        <f>'MODU 2025'!AX46</f>
        <v>33</v>
      </c>
      <c r="AX43" s="140">
        <f>'MODU 2025'!AY46</f>
        <v>41</v>
      </c>
      <c r="AY43" s="140">
        <f>'MODU 2025'!AZ46</f>
        <v>33</v>
      </c>
      <c r="AZ43" s="140">
        <f>'MODU 2025'!BA46</f>
        <v>41</v>
      </c>
      <c r="BA43" s="140">
        <f>'MODU 2025'!BB46</f>
        <v>33</v>
      </c>
      <c r="BB43" s="140">
        <f>'MODU 2025'!BC46</f>
        <v>41</v>
      </c>
      <c r="BC43" s="140">
        <f>'MODU 2025'!BD46</f>
        <v>33</v>
      </c>
      <c r="BD43" s="140">
        <f>'MODU 2025'!BE46</f>
        <v>41</v>
      </c>
      <c r="BE43" s="134">
        <f>'MODU 2025'!BF46</f>
        <v>33</v>
      </c>
      <c r="BF43" s="82"/>
      <c r="BG43" s="107">
        <v>33</v>
      </c>
      <c r="BH43" s="145">
        <v>41</v>
      </c>
      <c r="BI43" s="145">
        <v>33</v>
      </c>
      <c r="BJ43" s="145">
        <v>41</v>
      </c>
      <c r="BK43" s="145">
        <v>33</v>
      </c>
      <c r="BL43" s="145">
        <v>41</v>
      </c>
      <c r="BM43" s="145">
        <v>33</v>
      </c>
      <c r="BN43" s="145">
        <v>41</v>
      </c>
      <c r="BO43" s="145">
        <v>33</v>
      </c>
      <c r="BP43" s="145">
        <v>41</v>
      </c>
      <c r="BQ43" s="145">
        <v>33</v>
      </c>
      <c r="BR43" s="145">
        <v>41</v>
      </c>
      <c r="BS43" s="145">
        <v>33</v>
      </c>
      <c r="BT43" s="145">
        <v>41</v>
      </c>
      <c r="BU43" s="145">
        <v>33</v>
      </c>
      <c r="BV43" s="145">
        <v>41</v>
      </c>
      <c r="BW43" s="145">
        <v>33</v>
      </c>
      <c r="BX43" s="145">
        <v>41</v>
      </c>
      <c r="BY43" s="145">
        <v>33</v>
      </c>
      <c r="BZ43" s="145">
        <v>41</v>
      </c>
      <c r="CA43" s="145">
        <v>33</v>
      </c>
      <c r="CB43" s="145">
        <v>41</v>
      </c>
      <c r="CC43" s="145">
        <v>33</v>
      </c>
      <c r="CD43" s="145">
        <v>41</v>
      </c>
      <c r="CE43" s="145">
        <v>33</v>
      </c>
      <c r="CF43" s="145">
        <v>41</v>
      </c>
      <c r="CG43" s="145">
        <v>33</v>
      </c>
      <c r="CH43" s="145">
        <v>41</v>
      </c>
      <c r="CI43" s="145">
        <v>33</v>
      </c>
      <c r="CJ43" s="145">
        <v>41</v>
      </c>
      <c r="CK43" s="145">
        <v>33</v>
      </c>
      <c r="CL43" s="145">
        <v>41</v>
      </c>
      <c r="CM43" s="145">
        <v>33</v>
      </c>
      <c r="CN43" s="145">
        <v>41</v>
      </c>
      <c r="CO43" s="145">
        <v>33</v>
      </c>
      <c r="CP43" s="145">
        <v>41</v>
      </c>
      <c r="CQ43" s="145">
        <v>33</v>
      </c>
      <c r="CR43" s="145">
        <v>41</v>
      </c>
      <c r="CS43" s="145">
        <v>33</v>
      </c>
      <c r="CT43" s="145">
        <v>41</v>
      </c>
      <c r="CU43" s="145">
        <v>33</v>
      </c>
      <c r="CV43" s="145">
        <v>41</v>
      </c>
      <c r="CW43" s="145">
        <v>33</v>
      </c>
      <c r="CX43" s="145">
        <v>41</v>
      </c>
      <c r="CY43" s="145">
        <v>33</v>
      </c>
      <c r="CZ43" s="145">
        <v>41</v>
      </c>
      <c r="DA43" s="145">
        <v>33</v>
      </c>
      <c r="DB43" s="145">
        <v>41</v>
      </c>
      <c r="DC43" s="145">
        <v>33</v>
      </c>
      <c r="DD43" s="145">
        <v>41</v>
      </c>
      <c r="DE43" s="145">
        <v>33</v>
      </c>
      <c r="DF43" s="108">
        <v>41</v>
      </c>
      <c r="DG43" s="84"/>
      <c r="DH43" s="112">
        <f t="shared" si="3"/>
        <v>0</v>
      </c>
      <c r="DI43" s="138">
        <f t="shared" si="4"/>
        <v>0</v>
      </c>
      <c r="DJ43" s="138">
        <f t="shared" si="5"/>
        <v>0</v>
      </c>
      <c r="DK43" s="138">
        <f t="shared" si="6"/>
        <v>0</v>
      </c>
      <c r="DL43" s="138">
        <f t="shared" si="7"/>
        <v>0</v>
      </c>
      <c r="DM43" s="138">
        <f t="shared" si="8"/>
        <v>0</v>
      </c>
      <c r="DN43" s="138">
        <f t="shared" si="9"/>
        <v>0</v>
      </c>
      <c r="DO43" s="138">
        <f t="shared" si="10"/>
        <v>0</v>
      </c>
      <c r="DP43" s="138">
        <f t="shared" si="11"/>
        <v>0</v>
      </c>
      <c r="DQ43" s="138">
        <f t="shared" si="12"/>
        <v>-4</v>
      </c>
      <c r="DR43" s="138">
        <f t="shared" si="13"/>
        <v>0</v>
      </c>
      <c r="DS43" s="138">
        <f t="shared" si="14"/>
        <v>0</v>
      </c>
      <c r="DT43" s="138">
        <f t="shared" si="15"/>
        <v>0</v>
      </c>
      <c r="DU43" s="138">
        <f t="shared" si="16"/>
        <v>0</v>
      </c>
      <c r="DV43" s="138">
        <f t="shared" si="17"/>
        <v>0</v>
      </c>
      <c r="DW43" s="138">
        <f t="shared" si="18"/>
        <v>0</v>
      </c>
      <c r="DX43" s="138">
        <f t="shared" si="19"/>
        <v>0</v>
      </c>
      <c r="DY43" s="138">
        <f t="shared" si="20"/>
        <v>0</v>
      </c>
      <c r="DZ43" s="138">
        <f t="shared" si="21"/>
        <v>0</v>
      </c>
      <c r="EA43" s="138">
        <f t="shared" si="22"/>
        <v>0</v>
      </c>
      <c r="EB43" s="138">
        <f t="shared" si="23"/>
        <v>0</v>
      </c>
      <c r="EC43" s="138">
        <f t="shared" si="24"/>
        <v>0</v>
      </c>
      <c r="ED43" s="138">
        <f t="shared" si="25"/>
        <v>0</v>
      </c>
      <c r="EE43" s="138">
        <f t="shared" si="26"/>
        <v>0</v>
      </c>
      <c r="EF43" s="138">
        <f t="shared" si="27"/>
        <v>0</v>
      </c>
      <c r="EG43" s="138">
        <f t="shared" si="28"/>
        <v>0</v>
      </c>
      <c r="EH43" s="138">
        <f t="shared" si="29"/>
        <v>0</v>
      </c>
      <c r="EI43" s="138">
        <f t="shared" si="30"/>
        <v>0</v>
      </c>
      <c r="EJ43" s="138">
        <f t="shared" si="31"/>
        <v>0</v>
      </c>
      <c r="EK43" s="138">
        <f t="shared" si="32"/>
        <v>0</v>
      </c>
      <c r="EL43" s="138">
        <f t="shared" si="33"/>
        <v>0</v>
      </c>
      <c r="EM43" s="138">
        <f t="shared" si="34"/>
        <v>0</v>
      </c>
      <c r="EN43" s="138">
        <f t="shared" si="35"/>
        <v>0</v>
      </c>
      <c r="EO43" s="138">
        <f t="shared" si="36"/>
        <v>0</v>
      </c>
      <c r="EP43" s="138">
        <f t="shared" si="37"/>
        <v>0</v>
      </c>
      <c r="EQ43" s="138">
        <f t="shared" si="38"/>
        <v>0</v>
      </c>
      <c r="ER43" s="138">
        <f t="shared" si="39"/>
        <v>0</v>
      </c>
      <c r="ES43" s="138">
        <f t="shared" si="40"/>
        <v>0</v>
      </c>
      <c r="ET43" s="138">
        <f t="shared" si="41"/>
        <v>0</v>
      </c>
      <c r="EU43" s="138">
        <f t="shared" si="42"/>
        <v>0</v>
      </c>
      <c r="EV43" s="138">
        <f t="shared" si="43"/>
        <v>0</v>
      </c>
      <c r="EW43" s="138">
        <f t="shared" si="44"/>
        <v>0</v>
      </c>
      <c r="EX43" s="138">
        <f t="shared" si="45"/>
        <v>0</v>
      </c>
      <c r="EY43" s="138">
        <f t="shared" si="46"/>
        <v>0</v>
      </c>
      <c r="EZ43" s="138">
        <f t="shared" si="47"/>
        <v>0</v>
      </c>
      <c r="FA43" s="138">
        <f t="shared" si="48"/>
        <v>0</v>
      </c>
      <c r="FB43" s="138">
        <f t="shared" si="49"/>
        <v>0</v>
      </c>
      <c r="FC43" s="138">
        <f t="shared" si="50"/>
        <v>0</v>
      </c>
      <c r="FD43" s="138">
        <f t="shared" si="51"/>
        <v>0</v>
      </c>
      <c r="FE43" s="138">
        <f t="shared" si="52"/>
        <v>0</v>
      </c>
      <c r="FF43" s="138">
        <f t="shared" si="53"/>
        <v>0</v>
      </c>
      <c r="FG43" s="113">
        <f t="shared" si="54"/>
        <v>0</v>
      </c>
      <c r="FH43" s="113">
        <f t="shared" si="55"/>
        <v>-4</v>
      </c>
      <c r="FI43" s="35"/>
      <c r="FJ43" s="151" cm="1">
        <f t="array" ref="FJ43">IF($C43="Production",
IFERROR(_xlfn.IFS(AND(DH43&gt;0,DH43+SUM(BF43:BG43)&lt;=$FM$3),DH43,AND(DH43&gt;0,DH43+SUM(BF43:BG43)&gt;$FM$3),$FM$3-SUM(BF43:BG43)),0),
IFERROR(_xlfn.IFS(AND(DH43&gt;0,DH43+BG43&lt;=$FK$3),DH43,AND(DH43&gt;0,DH43+BG43&gt;$FK$3),0),0)
)</f>
        <v>0</v>
      </c>
      <c r="FK43" s="152" cm="1">
        <f t="array" ref="FK43">IF($C43="Production",
IFERROR(_xlfn.IFS(AND(DI43&gt;0,DI43+SUM(BG43:BH43)&lt;=$FM$3),DI43,AND(DI43&gt;0,DI43+SUM(BG43:BH43)&gt;$FM$3),$FM$3-SUM(BG43:BH43)),0),
IFERROR(_xlfn.IFS(AND(DI43&gt;0,DI43+BH43&lt;=$FK$3),DI43,AND(DI43&gt;0,DI43+BH43&gt;$FK$3),0),0)
)</f>
        <v>0</v>
      </c>
      <c r="FL43" s="152" cm="1">
        <f t="array" ref="FL43">IF($C43="Production",
IFERROR(_xlfn.IFS(AND(DJ43&gt;0,DJ43+SUM(BH43:BI43)&lt;=$FM$3),DJ43,AND(DJ43&gt;0,DJ43+SUM(BH43:BI43)&gt;$FM$3),$FM$3-SUM(BH43:BI43)),0),
IFERROR(_xlfn.IFS(AND(DJ43&gt;0,DJ43+BI43&lt;=$FK$3),DJ43,AND(DJ43&gt;0,DJ43+BI43&gt;$FK$3),0),0)
)</f>
        <v>0</v>
      </c>
      <c r="FM43" s="152" cm="1">
        <f t="array" ref="FM43">IF($C43="Production",
IFERROR(_xlfn.IFS(AND(DK43&gt;0,DK43+SUM(BI43:BJ43)&lt;=$FM$3),DK43,AND(DK43&gt;0,DK43+SUM(BI43:BJ43)&gt;$FM$3),$FM$3-SUM(BI43:BJ43)),0),
IFERROR(_xlfn.IFS(AND(DK43&gt;0,DK43+BJ43&lt;=$FK$3),DK43,AND(DK43&gt;0,DK43+BJ43&gt;$FK$3),0),0)
)</f>
        <v>0</v>
      </c>
      <c r="FN43" s="152" cm="1">
        <f t="array" ref="FN43">IF($C43="Production",
IFERROR(_xlfn.IFS(AND(DL43&gt;0,DL43+SUM(BJ43:BK43)&lt;=$FM$3),DL43,AND(DL43&gt;0,DL43+SUM(BJ43:BK43)&gt;$FM$3),$FM$3-SUM(BJ43:BK43)),0),
IFERROR(_xlfn.IFS(AND(DL43&gt;0,DL43+BK43&lt;=$FK$3),DL43,AND(DL43&gt;0,DL43+BK43&gt;$FK$3),0),0)
)</f>
        <v>0</v>
      </c>
      <c r="FO43" s="152" cm="1">
        <f t="array" ref="FO43">IF($C43="Production",
IFERROR(_xlfn.IFS(AND(DM43&gt;0,DM43+SUM(BK43:BL43)&lt;=$FM$3),DM43,AND(DM43&gt;0,DM43+SUM(BK43:BL43)&gt;$FM$3),$FM$3-SUM(BK43:BL43)),0),
IFERROR(_xlfn.IFS(AND(DM43&gt;0,DM43+BL43&lt;=$FK$3),DM43,AND(DM43&gt;0,DM43+BL43&gt;$FK$3),0),0)
)</f>
        <v>0</v>
      </c>
      <c r="FP43" s="152" cm="1">
        <f t="array" ref="FP43">IF($C43="Production",
IFERROR(_xlfn.IFS(AND(DN43&gt;0,DN43+SUM(BL43:BM43)&lt;=$FM$3),DN43,AND(DN43&gt;0,DN43+SUM(BL43:BM43)&gt;$FM$3),$FM$3-SUM(BL43:BM43)),0),
IFERROR(_xlfn.IFS(AND(DN43&gt;0,DN43+BM43&lt;=$FK$3),DN43,AND(DN43&gt;0,DN43+BM43&gt;$FK$3),0),0)
)</f>
        <v>0</v>
      </c>
      <c r="FQ43" s="152" cm="1">
        <f t="array" ref="FQ43">IF($C43="Production",
IFERROR(_xlfn.IFS(AND(DO43&gt;0,DO43+SUM(BM43:BN43)&lt;=$FM$3),DO43,AND(DO43&gt;0,DO43+SUM(BM43:BN43)&gt;$FM$3),$FM$3-SUM(BM43:BN43)),0),
IFERROR(_xlfn.IFS(AND(DO43&gt;0,DO43+BN43&lt;=$FK$3),DO43,AND(DO43&gt;0,DO43+BN43&gt;$FK$3),0),0)
)</f>
        <v>0</v>
      </c>
      <c r="FR43" s="152" cm="1">
        <f t="array" ref="FR43">IF($C43="Production",
IFERROR(_xlfn.IFS(AND(DP43&gt;0,DP43+SUM(BN43:BO43)&lt;=$FM$3),DP43,AND(DP43&gt;0,DP43+SUM(BN43:BO43)&gt;$FM$3),$FM$3-SUM(BN43:BO43)),0),
IFERROR(_xlfn.IFS(AND(DP43&gt;0,DP43+BO43&lt;=$FK$3),DP43,AND(DP43&gt;0,DP43+BO43&gt;$FK$3),0),0)
)</f>
        <v>0</v>
      </c>
      <c r="FS43" s="152" cm="1">
        <f t="array" ref="FS43">IF($C43="Production",
IFERROR(_xlfn.IFS(AND(DQ43&gt;0,DQ43+SUM(BO43:BP43)&lt;=$FM$3),DQ43,AND(DQ43&gt;0,DQ43+SUM(BO43:BP43)&gt;$FM$3),$FM$3-SUM(BO43:BP43)),0),
IFERROR(_xlfn.IFS(AND(DQ43&gt;0,DQ43+BP43&lt;=$FK$3),DQ43,AND(DQ43&gt;0,DQ43+BP43&gt;$FK$3),0),0)
)</f>
        <v>0</v>
      </c>
      <c r="FT43" s="152" cm="1">
        <f t="array" ref="FT43">IF($C43="Production",
IFERROR(_xlfn.IFS(AND(DR43&gt;0,DR43+SUM(BP43:BQ43)&lt;=$FM$3),DR43,AND(DR43&gt;0,DR43+SUM(BP43:BQ43)&gt;$FM$3),$FM$3-SUM(BP43:BQ43)),0),
IFERROR(_xlfn.IFS(AND(DR43&gt;0,DR43+BQ43&lt;=$FK$3),DR43,AND(DR43&gt;0,DR43+BQ43&gt;$FK$3),0),0)
)</f>
        <v>0</v>
      </c>
      <c r="FU43" s="152" cm="1">
        <f t="array" ref="FU43">IF($C43="Production",
IFERROR(_xlfn.IFS(AND(DS43&gt;0,DS43+SUM(BQ43:BR43)&lt;=$FM$3),DS43,AND(DS43&gt;0,DS43+SUM(BQ43:BR43)&gt;$FM$3),$FM$3-SUM(BQ43:BR43)),0),
IFERROR(_xlfn.IFS(AND(DS43&gt;0,DS43+BR43&lt;=$FK$3),DS43,AND(DS43&gt;0,DS43+BR43&gt;$FK$3),0),0)
)</f>
        <v>0</v>
      </c>
      <c r="FV43" s="152" cm="1">
        <f t="array" ref="FV43">IF($C43="Production",
IFERROR(_xlfn.IFS(AND(DT43&gt;0,DT43+SUM(BR43:BS43)&lt;=$FM$3),DT43,AND(DT43&gt;0,DT43+SUM(BR43:BS43)&gt;$FM$3),$FM$3-SUM(BR43:BS43)),0),
IFERROR(_xlfn.IFS(AND(DT43&gt;0,DT43+BS43&lt;=$FK$3),DT43,AND(DT43&gt;0,DT43+BS43&gt;$FK$3),0),0)
)</f>
        <v>0</v>
      </c>
      <c r="FW43" s="152" cm="1">
        <f t="array" ref="FW43">IF($C43="Production",
IFERROR(_xlfn.IFS(AND(DU43&gt;0,DU43+SUM(BS43:BT43)&lt;=$FM$3),DU43,AND(DU43&gt;0,DU43+SUM(BS43:BT43)&gt;$FM$3),$FM$3-SUM(BS43:BT43)),0),
IFERROR(_xlfn.IFS(AND(DU43&gt;0,DU43+BT43&lt;=$FK$3),DU43,AND(DU43&gt;0,DU43+BT43&gt;$FK$3),0),0)
)</f>
        <v>0</v>
      </c>
      <c r="FX43" s="152" cm="1">
        <f t="array" ref="FX43">IF($C43="Production",
IFERROR(_xlfn.IFS(AND(DV43&gt;0,DV43+SUM(BT43:BU43)&lt;=$FM$3),DV43,AND(DV43&gt;0,DV43+SUM(BT43:BU43)&gt;$FM$3),$FM$3-SUM(BT43:BU43)),0),
IFERROR(_xlfn.IFS(AND(DV43&gt;0,DV43+BU43&lt;=$FK$3),DV43,AND(DV43&gt;0,DV43+BU43&gt;$FK$3),0),0)
)</f>
        <v>0</v>
      </c>
      <c r="FY43" s="152" cm="1">
        <f t="array" ref="FY43">IF($C43="Production",
IFERROR(_xlfn.IFS(AND(DW43&gt;0,DW43+SUM(BU43:BV43)&lt;=$FM$3),DW43,AND(DW43&gt;0,DW43+SUM(BU43:BV43)&gt;$FM$3),$FM$3-SUM(BU43:BV43)),0),
IFERROR(_xlfn.IFS(AND(DW43&gt;0,DW43+BV43&lt;=$FK$3),DW43,AND(DW43&gt;0,DW43+BV43&gt;$FK$3),0),0)
)</f>
        <v>0</v>
      </c>
      <c r="FZ43" s="152" cm="1">
        <f t="array" ref="FZ43">IF($C43="Production",
IFERROR(_xlfn.IFS(AND(DX43&gt;0,DX43+SUM(BV43:BW43)&lt;=$FM$3),DX43,AND(DX43&gt;0,DX43+SUM(BV43:BW43)&gt;$FM$3),$FM$3-SUM(BV43:BW43)),0),
IFERROR(_xlfn.IFS(AND(DX43&gt;0,DX43+BW43&lt;=$FK$3),DX43,AND(DX43&gt;0,DX43+BW43&gt;$FK$3),0),0)
)</f>
        <v>0</v>
      </c>
      <c r="GA43" s="152" cm="1">
        <f t="array" ref="GA43">IF($C43="Production",
IFERROR(_xlfn.IFS(AND(DY43&gt;0,DY43+SUM(BW43:BX43)&lt;=$FM$3),DY43,AND(DY43&gt;0,DY43+SUM(BW43:BX43)&gt;$FM$3),$FM$3-SUM(BW43:BX43)),0),
IFERROR(_xlfn.IFS(AND(DY43&gt;0,DY43+BX43&lt;=$FK$3),DY43,AND(DY43&gt;0,DY43+BX43&gt;$FK$3),0),0)
)</f>
        <v>0</v>
      </c>
      <c r="GB43" s="152" cm="1">
        <f t="array" ref="GB43">IF($C43="Production",
IFERROR(_xlfn.IFS(AND(DZ43&gt;0,DZ43+SUM(BX43:BY43)&lt;=$FM$3),DZ43,AND(DZ43&gt;0,DZ43+SUM(BX43:BY43)&gt;$FM$3),$FM$3-SUM(BX43:BY43)),0),
IFERROR(_xlfn.IFS(AND(DZ43&gt;0,DZ43+BY43&lt;=$FK$3),DZ43,AND(DZ43&gt;0,DZ43+BY43&gt;$FK$3),0),0)
)</f>
        <v>0</v>
      </c>
      <c r="GC43" s="152" cm="1">
        <f t="array" ref="GC43">IF($C43="Production",
IFERROR(_xlfn.IFS(AND(EA43&gt;0,EA43+SUM(BY43:BZ43)&lt;=$FM$3),EA43,AND(EA43&gt;0,EA43+SUM(BY43:BZ43)&gt;$FM$3),$FM$3-SUM(BY43:BZ43)),0),
IFERROR(_xlfn.IFS(AND(EA43&gt;0,EA43+BZ43&lt;=$FK$3),EA43,AND(EA43&gt;0,EA43+BZ43&gt;$FK$3),0),0)
)</f>
        <v>0</v>
      </c>
      <c r="GD43" s="152" cm="1">
        <f t="array" ref="GD43">IF($C43="Production",
IFERROR(_xlfn.IFS(AND(EB43&gt;0,EB43+SUM(BZ43:CA43)&lt;=$FM$3),EB43,AND(EB43&gt;0,EB43+SUM(BZ43:CA43)&gt;$FM$3),$FM$3-SUM(BZ43:CA43)),0),
IFERROR(_xlfn.IFS(AND(EB43&gt;0,EB43+CA43&lt;=$FK$3),EB43,AND(EB43&gt;0,EB43+CA43&gt;$FK$3),0),0)
)</f>
        <v>0</v>
      </c>
      <c r="GE43" s="152" cm="1">
        <f t="array" ref="GE43">IF($C43="Production",
IFERROR(_xlfn.IFS(AND(EC43&gt;0,EC43+SUM(CA43:CB43)&lt;=$FM$3),EC43,AND(EC43&gt;0,EC43+SUM(CA43:CB43)&gt;$FM$3),$FM$3-SUM(CA43:CB43)),0),
IFERROR(_xlfn.IFS(AND(EC43&gt;0,EC43+CB43&lt;=$FK$3),EC43,AND(EC43&gt;0,EC43+CB43&gt;$FK$3),0),0)
)</f>
        <v>0</v>
      </c>
      <c r="GF43" s="152" cm="1">
        <f t="array" ref="GF43">IF($C43="Production",
IFERROR(_xlfn.IFS(AND(ED43&gt;0,ED43+SUM(CB43:CC43)&lt;=$FM$3),ED43,AND(ED43&gt;0,ED43+SUM(CB43:CC43)&gt;$FM$3),$FM$3-SUM(CB43:CC43)),0),
IFERROR(_xlfn.IFS(AND(ED43&gt;0,ED43+CC43&lt;=$FK$3),ED43,AND(ED43&gt;0,ED43+CC43&gt;$FK$3),0),0)
)</f>
        <v>0</v>
      </c>
      <c r="GG43" s="152" cm="1">
        <f t="array" ref="GG43">IF($C43="Production",
IFERROR(_xlfn.IFS(AND(EE43&gt;0,EE43+SUM(CC43:CD43)&lt;=$FM$3),EE43,AND(EE43&gt;0,EE43+SUM(CC43:CD43)&gt;$FM$3),$FM$3-SUM(CC43:CD43)),0),
IFERROR(_xlfn.IFS(AND(EE43&gt;0,EE43+CD43&lt;=$FK$3),EE43,AND(EE43&gt;0,EE43+CD43&gt;$FK$3),0),0)
)</f>
        <v>0</v>
      </c>
      <c r="GH43" s="152" cm="1">
        <f t="array" ref="GH43">IF($C43="Production",
IFERROR(_xlfn.IFS(AND(EF43&gt;0,EF43+SUM(CD43:CE43)&lt;=$FM$3),EF43,AND(EF43&gt;0,EF43+SUM(CD43:CE43)&gt;$FM$3),$FM$3-SUM(CD43:CE43)),0),
IFERROR(_xlfn.IFS(AND(EF43&gt;0,EF43+CE43&lt;=$FK$3),EF43,AND(EF43&gt;0,EF43+CE43&gt;$FK$3),0),0)
)</f>
        <v>0</v>
      </c>
      <c r="GI43" s="152" cm="1">
        <f t="array" ref="GI43">IF($C43="Production",
IFERROR(_xlfn.IFS(AND(EG43&gt;0,EG43+SUM(CE43:CF43)&lt;=$FM$3),EG43,AND(EG43&gt;0,EG43+SUM(CE43:CF43)&gt;$FM$3),$FM$3-SUM(CE43:CF43)),0),
IFERROR(_xlfn.IFS(AND(EG43&gt;0,EG43+CF43&lt;=$FK$3),EG43,AND(EG43&gt;0,EG43+CF43&gt;$FK$3),0),0)
)</f>
        <v>0</v>
      </c>
      <c r="GJ43" s="152" cm="1">
        <f t="array" ref="GJ43">IF($C43="Production",
IFERROR(_xlfn.IFS(AND(EH43&gt;0,EH43+SUM(CF43:CG43)&lt;=$FM$3),EH43,AND(EH43&gt;0,EH43+SUM(CF43:CG43)&gt;$FM$3),$FM$3-SUM(CF43:CG43)),0),
IFERROR(_xlfn.IFS(AND(EH43&gt;0,EH43+CG43&lt;=$FK$3),EH43,AND(EH43&gt;0,EH43+CG43&gt;$FK$3),0),0)
)</f>
        <v>0</v>
      </c>
      <c r="GK43" s="152" cm="1">
        <f t="array" ref="GK43">IF($C43="Production",
IFERROR(_xlfn.IFS(AND(EI43&gt;0,EI43+SUM(CG43:CH43)&lt;=$FM$3),EI43,AND(EI43&gt;0,EI43+SUM(CG43:CH43)&gt;$FM$3),$FM$3-SUM(CG43:CH43)),0),
IFERROR(_xlfn.IFS(AND(EI43&gt;0,EI43+CH43&lt;=$FK$3),EI43,AND(EI43&gt;0,EI43+CH43&gt;$FK$3),0),0)
)</f>
        <v>0</v>
      </c>
      <c r="GL43" s="152" cm="1">
        <f t="array" ref="GL43">IF($C43="Production",
IFERROR(_xlfn.IFS(AND(EJ43&gt;0,EJ43+SUM(CH43:CI43)&lt;=$FM$3),EJ43,AND(EJ43&gt;0,EJ43+SUM(CH43:CI43)&gt;$FM$3),$FM$3-SUM(CH43:CI43)),0),
IFERROR(_xlfn.IFS(AND(EJ43&gt;0,EJ43+CI43&lt;=$FK$3),EJ43,AND(EJ43&gt;0,EJ43+CI43&gt;$FK$3),0),0)
)</f>
        <v>0</v>
      </c>
      <c r="GM43" s="152" cm="1">
        <f t="array" ref="GM43">IF($C43="Production",
IFERROR(_xlfn.IFS(AND(EK43&gt;0,EK43+SUM(CI43:CJ43)&lt;=$FM$3),EK43,AND(EK43&gt;0,EK43+SUM(CI43:CJ43)&gt;$FM$3),$FM$3-SUM(CI43:CJ43)),0),
IFERROR(_xlfn.IFS(AND(EK43&gt;0,EK43+CJ43&lt;=$FK$3),EK43,AND(EK43&gt;0,EK43+CJ43&gt;$FK$3),0),0)
)</f>
        <v>0</v>
      </c>
      <c r="GN43" s="152" cm="1">
        <f t="array" ref="GN43">IF($C43="Production",
IFERROR(_xlfn.IFS(AND(EL43&gt;0,EL43+SUM(CJ43:CK43)&lt;=$FM$3),EL43,AND(EL43&gt;0,EL43+SUM(CJ43:CK43)&gt;$FM$3),$FM$3-SUM(CJ43:CK43)),0),
IFERROR(_xlfn.IFS(AND(EL43&gt;0,EL43+CK43&lt;=$FK$3),EL43,AND(EL43&gt;0,EL43+CK43&gt;$FK$3),0),0)
)</f>
        <v>0</v>
      </c>
      <c r="GO43" s="152" cm="1">
        <f t="array" ref="GO43">IF($C43="Production",
IFERROR(_xlfn.IFS(AND(EM43&gt;0,EM43+SUM(CK43:CL43)&lt;=$FM$3),EM43,AND(EM43&gt;0,EM43+SUM(CK43:CL43)&gt;$FM$3),$FM$3-SUM(CK43:CL43)),0),
IFERROR(_xlfn.IFS(AND(EM43&gt;0,EM43+CL43&lt;=$FK$3),EM43,AND(EM43&gt;0,EM43+CL43&gt;$FK$3),0),0)
)</f>
        <v>0</v>
      </c>
      <c r="GP43" s="152" cm="1">
        <f t="array" ref="GP43">IF($C43="Production",
IFERROR(_xlfn.IFS(AND(EN43&gt;0,EN43+SUM(CL43:CM43)&lt;=$FM$3),EN43,AND(EN43&gt;0,EN43+SUM(CL43:CM43)&gt;$FM$3),$FM$3-SUM(CL43:CM43)),0),
IFERROR(_xlfn.IFS(AND(EN43&gt;0,EN43+CM43&lt;=$FK$3),EN43,AND(EN43&gt;0,EN43+CM43&gt;$FK$3),0),0)
)</f>
        <v>0</v>
      </c>
      <c r="GQ43" s="152" cm="1">
        <f t="array" ref="GQ43">IF($C43="Production",
IFERROR(_xlfn.IFS(AND(EO43&gt;0,EO43+SUM(CM43:CN43)&lt;=$FM$3),EO43,AND(EO43&gt;0,EO43+SUM(CM43:CN43)&gt;$FM$3),$FM$3-SUM(CM43:CN43)),0),
IFERROR(_xlfn.IFS(AND(EO43&gt;0,EO43+CN43&lt;=$FK$3),EO43,AND(EO43&gt;0,EO43+CN43&gt;$FK$3),0),0)
)</f>
        <v>0</v>
      </c>
      <c r="GR43" s="152" cm="1">
        <f t="array" ref="GR43">IF($C43="Production",
IFERROR(_xlfn.IFS(AND(EP43&gt;0,EP43+SUM(CN43:CO43)&lt;=$FM$3),EP43,AND(EP43&gt;0,EP43+SUM(CN43:CO43)&gt;$FM$3),$FM$3-SUM(CN43:CO43)),0),
IFERROR(_xlfn.IFS(AND(EP43&gt;0,EP43+CO43&lt;=$FK$3),EP43,AND(EP43&gt;0,EP43+CO43&gt;$FK$3),0),0)
)</f>
        <v>0</v>
      </c>
      <c r="GS43" s="152" cm="1">
        <f t="array" ref="GS43">IF($C43="Production",
IFERROR(_xlfn.IFS(AND(EQ43&gt;0,EQ43+SUM(CO43:CP43)&lt;=$FM$3),EQ43,AND(EQ43&gt;0,EQ43+SUM(CO43:CP43)&gt;$FM$3),$FM$3-SUM(CO43:CP43)),0),
IFERROR(_xlfn.IFS(AND(EQ43&gt;0,EQ43+CP43&lt;=$FK$3),EQ43,AND(EQ43&gt;0,EQ43+CP43&gt;$FK$3),0),0)
)</f>
        <v>0</v>
      </c>
      <c r="GT43" s="152" cm="1">
        <f t="array" ref="GT43">IF($C43="Production",
IFERROR(_xlfn.IFS(AND(ER43&gt;0,ER43+SUM(CP43:CQ43)&lt;=$FM$3),ER43,AND(ER43&gt;0,ER43+SUM(CP43:CQ43)&gt;$FM$3),$FM$3-SUM(CP43:CQ43)),0),
IFERROR(_xlfn.IFS(AND(ER43&gt;0,ER43+CQ43&lt;=$FK$3),ER43,AND(ER43&gt;0,ER43+CQ43&gt;$FK$3),0),0)
)</f>
        <v>0</v>
      </c>
      <c r="GU43" s="152" cm="1">
        <f t="array" ref="GU43">IF($C43="Production",
IFERROR(_xlfn.IFS(AND(ES43&gt;0,ES43+SUM(CQ43:CR43)&lt;=$FM$3),ES43,AND(ES43&gt;0,ES43+SUM(CQ43:CR43)&gt;$FM$3),$FM$3-SUM(CQ43:CR43)),0),
IFERROR(_xlfn.IFS(AND(ES43&gt;0,ES43+CR43&lt;=$FK$3),ES43,AND(ES43&gt;0,ES43+CR43&gt;$FK$3),0),0)
)</f>
        <v>0</v>
      </c>
      <c r="GV43" s="152" cm="1">
        <f t="array" ref="GV43">IF($C43="Production",
IFERROR(_xlfn.IFS(AND(ET43&gt;0,ET43+SUM(CR43:CS43)&lt;=$FM$3),ET43,AND(ET43&gt;0,ET43+SUM(CR43:CS43)&gt;$FM$3),$FM$3-SUM(CR43:CS43)),0),
IFERROR(_xlfn.IFS(AND(ET43&gt;0,ET43+CS43&lt;=$FK$3),ET43,AND(ET43&gt;0,ET43+CS43&gt;$FK$3),0),0)
)</f>
        <v>0</v>
      </c>
      <c r="GW43" s="152" cm="1">
        <f t="array" ref="GW43">IF($C43="Production",
IFERROR(_xlfn.IFS(AND(EU43&gt;0,EU43+SUM(CS43:CT43)&lt;=$FM$3),EU43,AND(EU43&gt;0,EU43+SUM(CS43:CT43)&gt;$FM$3),$FM$3-SUM(CS43:CT43)),0),
IFERROR(_xlfn.IFS(AND(EU43&gt;0,EU43+CT43&lt;=$FK$3),EU43,AND(EU43&gt;0,EU43+CT43&gt;$FK$3),0),0)
)</f>
        <v>0</v>
      </c>
      <c r="GX43" s="152" cm="1">
        <f t="array" ref="GX43">IF($C43="Production",
IFERROR(_xlfn.IFS(AND(EV43&gt;0,EV43+SUM(CT43:CU43)&lt;=$FM$3),EV43,AND(EV43&gt;0,EV43+SUM(CT43:CU43)&gt;$FM$3),$FM$3-SUM(CT43:CU43)),0),
IFERROR(_xlfn.IFS(AND(EV43&gt;0,EV43+CU43&lt;=$FK$3),EV43,AND(EV43&gt;0,EV43+CU43&gt;$FK$3),0),0)
)</f>
        <v>0</v>
      </c>
      <c r="GY43" s="152" cm="1">
        <f t="array" ref="GY43">IF($C43="Production",
IFERROR(_xlfn.IFS(AND(EW43&gt;0,EW43+SUM(CU43:CV43)&lt;=$FM$3),EW43,AND(EW43&gt;0,EW43+SUM(CU43:CV43)&gt;$FM$3),$FM$3-SUM(CU43:CV43)),0),
IFERROR(_xlfn.IFS(AND(EW43&gt;0,EW43+CV43&lt;=$FK$3),EW43,AND(EW43&gt;0,EW43+CV43&gt;$FK$3),0),0)
)</f>
        <v>0</v>
      </c>
      <c r="GZ43" s="152" cm="1">
        <f t="array" ref="GZ43">IF($C43="Production",
IFERROR(_xlfn.IFS(AND(EX43&gt;0,EX43+SUM(CV43:CW43)&lt;=$FM$3),EX43,AND(EX43&gt;0,EX43+SUM(CV43:CW43)&gt;$FM$3),$FM$3-SUM(CV43:CW43)),0),
IFERROR(_xlfn.IFS(AND(EX43&gt;0,EX43+CW43&lt;=$FK$3),EX43,AND(EX43&gt;0,EX43+CW43&gt;$FK$3),0),0)
)</f>
        <v>0</v>
      </c>
      <c r="HA43" s="152" cm="1">
        <f t="array" ref="HA43">IF($C43="Production",
IFERROR(_xlfn.IFS(AND(EY43&gt;0,EY43+SUM(CW43:CX43)&lt;=$FM$3),EY43,AND(EY43&gt;0,EY43+SUM(CW43:CX43)&gt;$FM$3),$FM$3-SUM(CW43:CX43)),0),
IFERROR(_xlfn.IFS(AND(EY43&gt;0,EY43+CX43&lt;=$FK$3),EY43,AND(EY43&gt;0,EY43+CX43&gt;$FK$3),0),0)
)</f>
        <v>0</v>
      </c>
      <c r="HB43" s="152" cm="1">
        <f t="array" ref="HB43">IF($C43="Production",
IFERROR(_xlfn.IFS(AND(EZ43&gt;0,EZ43+SUM(CX43:CY43)&lt;=$FM$3),EZ43,AND(EZ43&gt;0,EZ43+SUM(CX43:CY43)&gt;$FM$3),$FM$3-SUM(CX43:CY43)),0),
IFERROR(_xlfn.IFS(AND(EZ43&gt;0,EZ43+CY43&lt;=$FK$3),EZ43,AND(EZ43&gt;0,EZ43+CY43&gt;$FK$3),0),0)
)</f>
        <v>0</v>
      </c>
      <c r="HC43" s="152" cm="1">
        <f t="array" ref="HC43">IF($C43="Production",
IFERROR(_xlfn.IFS(AND(FA43&gt;0,FA43+SUM(CY43:CZ43)&lt;=$FM$3),FA43,AND(FA43&gt;0,FA43+SUM(CY43:CZ43)&gt;$FM$3),$FM$3-SUM(CY43:CZ43)),0),
IFERROR(_xlfn.IFS(AND(FA43&gt;0,FA43+CZ43&lt;=$FK$3),FA43,AND(FA43&gt;0,FA43+CZ43&gt;$FK$3),0),0)
)</f>
        <v>0</v>
      </c>
      <c r="HD43" s="152" cm="1">
        <f t="array" ref="HD43">IF($C43="Production",
IFERROR(_xlfn.IFS(AND(FB43&gt;0,FB43+SUM(CZ43:DA43)&lt;=$FM$3),FB43,AND(FB43&gt;0,FB43+SUM(CZ43:DA43)&gt;$FM$3),$FM$3-SUM(CZ43:DA43)),0),
IFERROR(_xlfn.IFS(AND(FB43&gt;0,FB43+DA43&lt;=$FK$3),FB43,AND(FB43&gt;0,FB43+DA43&gt;$FK$3),0),0)
)</f>
        <v>0</v>
      </c>
      <c r="HE43" s="152" cm="1">
        <f t="array" ref="HE43">IF($C43="Production",
IFERROR(_xlfn.IFS(AND(FC43&gt;0,FC43+SUM(DA43:DB43)&lt;=$FM$3),FC43,AND(FC43&gt;0,FC43+SUM(DA43:DB43)&gt;$FM$3),$FM$3-SUM(DA43:DB43)),0),
IFERROR(_xlfn.IFS(AND(FC43&gt;0,FC43+DB43&lt;=$FK$3),FC43,AND(FC43&gt;0,FC43+DB43&gt;$FK$3),0),0)
)</f>
        <v>0</v>
      </c>
      <c r="HF43" s="152" cm="1">
        <f t="array" ref="HF43">IF($C43="Production",
IFERROR(_xlfn.IFS(AND(FD43&gt;0,FD43+SUM(DB43:DC43)&lt;=$FM$3),FD43,AND(FD43&gt;0,FD43+SUM(DB43:DC43)&gt;$FM$3),$FM$3-SUM(DB43:DC43)),0),
IFERROR(_xlfn.IFS(AND(FD43&gt;0,FD43+DC43&lt;=$FK$3),FD43,AND(FD43&gt;0,FD43+DC43&gt;$FK$3),0),0)
)</f>
        <v>0</v>
      </c>
      <c r="HG43" s="152" cm="1">
        <f t="array" ref="HG43">IF($C43="Production",
IFERROR(_xlfn.IFS(AND(FE43&gt;0,FE43+SUM(DC43:DD43)&lt;=$FM$3),FE43,AND(FE43&gt;0,FE43+SUM(DC43:DD43)&gt;$FM$3),$FM$3-SUM(DC43:DD43)),0),
IFERROR(_xlfn.IFS(AND(FE43&gt;0,FE43+DD43&lt;=$FK$3),FE43,AND(FE43&gt;0,FE43+DD43&gt;$FK$3),0),0)
)</f>
        <v>0</v>
      </c>
      <c r="HH43" s="152" cm="1">
        <f t="array" ref="HH43">IF($C43="Production",
IFERROR(_xlfn.IFS(AND(FF43&gt;0,FF43+SUM(DD43:DE43)&lt;=$FM$3),FF43,AND(FF43&gt;0,FF43+SUM(DD43:DE43)&gt;$FM$3),$FM$3-SUM(DD43:DE43)),0),
IFERROR(_xlfn.IFS(AND(FF43&gt;0,FF43+DE43&lt;=$FK$3),FF43,AND(FF43&gt;0,FF43+DE43&gt;$FK$3),0),0)
)</f>
        <v>0</v>
      </c>
      <c r="HI43" s="156" cm="1">
        <f t="array" ref="HI43">IF($C43="Production",
IFERROR(_xlfn.IFS(AND(FG43&gt;0,FG43+SUM(DE43:DF43)&lt;=$FM$3),FG43,AND(FG43&gt;0,FG43+SUM(DE43:DF43)&gt;$FM$3),$FM$3-SUM(DE43:DF43)),0),
IFERROR(_xlfn.IFS(AND(FG43&gt;0,FG43+DF43&lt;=$FK$3),FG43,AND(FG43&gt;0,FG43+DF43&gt;$FK$3),0),0)
)</f>
        <v>0</v>
      </c>
      <c r="HJ43" s="113">
        <f t="shared" si="110"/>
        <v>0</v>
      </c>
      <c r="HK43" s="80"/>
      <c r="HL43" s="112">
        <f t="shared" si="56"/>
        <v>0</v>
      </c>
      <c r="HM43" s="138">
        <f t="shared" si="57"/>
        <v>0</v>
      </c>
      <c r="HN43" s="138">
        <f t="shared" si="58"/>
        <v>0</v>
      </c>
      <c r="HO43" s="138">
        <f t="shared" si="59"/>
        <v>0</v>
      </c>
      <c r="HP43" s="138">
        <f t="shared" si="60"/>
        <v>0</v>
      </c>
      <c r="HQ43" s="138">
        <f t="shared" si="61"/>
        <v>0</v>
      </c>
      <c r="HR43" s="138">
        <f t="shared" si="62"/>
        <v>0</v>
      </c>
      <c r="HS43" s="138">
        <f t="shared" si="63"/>
        <v>0</v>
      </c>
      <c r="HT43" s="138">
        <f t="shared" si="64"/>
        <v>0</v>
      </c>
      <c r="HU43" s="138">
        <f t="shared" si="65"/>
        <v>0</v>
      </c>
      <c r="HV43" s="138">
        <f t="shared" si="66"/>
        <v>0</v>
      </c>
      <c r="HW43" s="138">
        <f t="shared" si="67"/>
        <v>0</v>
      </c>
      <c r="HX43" s="138">
        <f t="shared" si="68"/>
        <v>0</v>
      </c>
      <c r="HY43" s="138">
        <f t="shared" si="69"/>
        <v>0</v>
      </c>
      <c r="HZ43" s="138">
        <f t="shared" si="70"/>
        <v>0</v>
      </c>
      <c r="IA43" s="138">
        <f t="shared" si="71"/>
        <v>0</v>
      </c>
      <c r="IB43" s="138">
        <f t="shared" si="72"/>
        <v>0</v>
      </c>
      <c r="IC43" s="138">
        <f t="shared" si="73"/>
        <v>0</v>
      </c>
      <c r="ID43" s="138">
        <f t="shared" si="74"/>
        <v>0</v>
      </c>
      <c r="IE43" s="138">
        <f t="shared" si="75"/>
        <v>0</v>
      </c>
      <c r="IF43" s="138">
        <f t="shared" si="76"/>
        <v>0</v>
      </c>
      <c r="IG43" s="138">
        <f t="shared" si="77"/>
        <v>0</v>
      </c>
      <c r="IH43" s="138">
        <f t="shared" si="78"/>
        <v>0</v>
      </c>
      <c r="II43" s="138">
        <f t="shared" si="79"/>
        <v>0</v>
      </c>
      <c r="IJ43" s="138">
        <f t="shared" si="80"/>
        <v>0</v>
      </c>
      <c r="IK43" s="138">
        <f t="shared" si="81"/>
        <v>0</v>
      </c>
      <c r="IL43" s="138">
        <f t="shared" si="82"/>
        <v>0</v>
      </c>
      <c r="IM43" s="138">
        <f t="shared" si="83"/>
        <v>0</v>
      </c>
      <c r="IN43" s="138">
        <f t="shared" si="84"/>
        <v>0</v>
      </c>
      <c r="IO43" s="138">
        <f t="shared" si="85"/>
        <v>0</v>
      </c>
      <c r="IP43" s="138">
        <f t="shared" si="86"/>
        <v>0</v>
      </c>
      <c r="IQ43" s="138">
        <f t="shared" si="87"/>
        <v>0</v>
      </c>
      <c r="IR43" s="138">
        <f t="shared" si="88"/>
        <v>0</v>
      </c>
      <c r="IS43" s="138">
        <f t="shared" si="89"/>
        <v>0</v>
      </c>
      <c r="IT43" s="138">
        <f t="shared" si="90"/>
        <v>0</v>
      </c>
      <c r="IU43" s="138">
        <f t="shared" si="91"/>
        <v>0</v>
      </c>
      <c r="IV43" s="138">
        <f t="shared" si="92"/>
        <v>0</v>
      </c>
      <c r="IW43" s="138">
        <f t="shared" si="93"/>
        <v>0</v>
      </c>
      <c r="IX43" s="138">
        <f t="shared" si="94"/>
        <v>0</v>
      </c>
      <c r="IY43" s="138">
        <f t="shared" si="95"/>
        <v>0</v>
      </c>
      <c r="IZ43" s="138">
        <f t="shared" si="96"/>
        <v>0</v>
      </c>
      <c r="JA43" s="138">
        <f t="shared" si="97"/>
        <v>0</v>
      </c>
      <c r="JB43" s="138">
        <f t="shared" si="98"/>
        <v>0</v>
      </c>
      <c r="JC43" s="138">
        <f t="shared" si="99"/>
        <v>0</v>
      </c>
      <c r="JD43" s="138">
        <f t="shared" si="100"/>
        <v>0</v>
      </c>
      <c r="JE43" s="138">
        <f t="shared" si="101"/>
        <v>0</v>
      </c>
      <c r="JF43" s="138">
        <f t="shared" si="102"/>
        <v>0</v>
      </c>
      <c r="JG43" s="138">
        <f t="shared" si="103"/>
        <v>0</v>
      </c>
      <c r="JH43" s="138">
        <f t="shared" si="104"/>
        <v>0</v>
      </c>
      <c r="JI43" s="138">
        <f t="shared" si="105"/>
        <v>0</v>
      </c>
      <c r="JJ43" s="138">
        <f t="shared" si="106"/>
        <v>0</v>
      </c>
      <c r="JK43" s="138">
        <f t="shared" si="107"/>
        <v>0</v>
      </c>
      <c r="JL43" s="118">
        <f t="shared" si="111"/>
        <v>0</v>
      </c>
      <c r="JO43" s="90">
        <f t="shared" si="112"/>
        <v>0</v>
      </c>
      <c r="JP43" s="79">
        <f t="shared" si="108"/>
        <v>0</v>
      </c>
      <c r="JQ43" s="91">
        <f t="shared" si="2"/>
        <v>0</v>
      </c>
      <c r="JS43" s="123">
        <f t="shared" si="109"/>
        <v>-4</v>
      </c>
      <c r="JU43" s="123">
        <f t="shared" si="113"/>
        <v>-4</v>
      </c>
    </row>
    <row r="44" spans="2:281" x14ac:dyDescent="0.15">
      <c r="B44" s="82" t="str">
        <f>'MODU 2025'!B47</f>
        <v>VALENTI Dorian</v>
      </c>
      <c r="C44" s="82" t="str">
        <f>'MODU 2025'!C47</f>
        <v>Production</v>
      </c>
      <c r="D44" s="82">
        <f>'MODU 2025'!D47</f>
        <v>37</v>
      </c>
      <c r="E44" s="82"/>
      <c r="F44" s="133">
        <f>'MODU 2025'!G47</f>
        <v>38</v>
      </c>
      <c r="G44" s="140">
        <f>'MODU 2025'!H47</f>
        <v>38</v>
      </c>
      <c r="H44" s="140">
        <f>'MODU 2025'!I47</f>
        <v>33</v>
      </c>
      <c r="I44" s="140">
        <f>'MODU 2025'!J47</f>
        <v>41</v>
      </c>
      <c r="J44" s="140">
        <f>'MODU 2025'!K47</f>
        <v>33</v>
      </c>
      <c r="K44" s="140">
        <f>'MODU 2025'!L47</f>
        <v>41</v>
      </c>
      <c r="L44" s="140">
        <f>'MODU 2025'!M47</f>
        <v>37.5</v>
      </c>
      <c r="M44" s="140">
        <f>'MODU 2025'!N47</f>
        <v>41</v>
      </c>
      <c r="N44" s="140">
        <f>'MODU 2025'!O47</f>
        <v>37.5</v>
      </c>
      <c r="O44" s="140">
        <f>'MODU 2025'!P47</f>
        <v>41</v>
      </c>
      <c r="P44" s="140">
        <f>'MODU 2025'!Q47</f>
        <v>33</v>
      </c>
      <c r="Q44" s="140">
        <f>'MODU 2025'!R47</f>
        <v>41</v>
      </c>
      <c r="R44" s="140">
        <f>'MODU 2025'!S47</f>
        <v>33</v>
      </c>
      <c r="S44" s="140">
        <f>'MODU 2025'!T47</f>
        <v>41</v>
      </c>
      <c r="T44" s="140">
        <f>'MODU 2025'!U47</f>
        <v>33</v>
      </c>
      <c r="U44" s="140">
        <f>'MODU 2025'!V47</f>
        <v>41</v>
      </c>
      <c r="V44" s="140">
        <f>'MODU 2025'!W47</f>
        <v>33</v>
      </c>
      <c r="W44" s="140">
        <f>'MODU 2025'!X47</f>
        <v>41</v>
      </c>
      <c r="X44" s="140">
        <f>'MODU 2025'!Y47</f>
        <v>33</v>
      </c>
      <c r="Y44" s="140">
        <f>'MODU 2025'!Z47</f>
        <v>41</v>
      </c>
      <c r="Z44" s="140">
        <f>'MODU 2025'!AA47</f>
        <v>33</v>
      </c>
      <c r="AA44" s="140">
        <f>'MODU 2025'!AB47</f>
        <v>41</v>
      </c>
      <c r="AB44" s="140">
        <f>'MODU 2025'!AC47</f>
        <v>33</v>
      </c>
      <c r="AC44" s="140">
        <f>'MODU 2025'!AD47</f>
        <v>41</v>
      </c>
      <c r="AD44" s="140">
        <f>'MODU 2025'!AE47</f>
        <v>33</v>
      </c>
      <c r="AE44" s="140">
        <f>'MODU 2025'!AF47</f>
        <v>41</v>
      </c>
      <c r="AF44" s="140">
        <f>'MODU 2025'!AG47</f>
        <v>33</v>
      </c>
      <c r="AG44" s="140">
        <f>'MODU 2025'!AH47</f>
        <v>41</v>
      </c>
      <c r="AH44" s="140">
        <f>'MODU 2025'!AI47</f>
        <v>33</v>
      </c>
      <c r="AI44" s="140">
        <f>'MODU 2025'!AJ47</f>
        <v>41</v>
      </c>
      <c r="AJ44" s="140">
        <f>'MODU 2025'!AK47</f>
        <v>33</v>
      </c>
      <c r="AK44" s="140">
        <f>'MODU 2025'!AL47</f>
        <v>41</v>
      </c>
      <c r="AL44" s="140">
        <f>'MODU 2025'!AM47</f>
        <v>33</v>
      </c>
      <c r="AM44" s="140">
        <f>'MODU 2025'!AN47</f>
        <v>41</v>
      </c>
      <c r="AN44" s="140">
        <f>'MODU 2025'!AO47</f>
        <v>33</v>
      </c>
      <c r="AO44" s="140">
        <f>'MODU 2025'!AP47</f>
        <v>41</v>
      </c>
      <c r="AP44" s="140">
        <f>'MODU 2025'!AQ47</f>
        <v>33</v>
      </c>
      <c r="AQ44" s="140">
        <f>'MODU 2025'!AR47</f>
        <v>41</v>
      </c>
      <c r="AR44" s="140">
        <f>'MODU 2025'!AS47</f>
        <v>33</v>
      </c>
      <c r="AS44" s="140">
        <f>'MODU 2025'!AT47</f>
        <v>41</v>
      </c>
      <c r="AT44" s="140">
        <f>'MODU 2025'!AU47</f>
        <v>33</v>
      </c>
      <c r="AU44" s="140">
        <f>'MODU 2025'!AV47</f>
        <v>41</v>
      </c>
      <c r="AV44" s="140">
        <f>'MODU 2025'!AW47</f>
        <v>33</v>
      </c>
      <c r="AW44" s="140">
        <f>'MODU 2025'!AX47</f>
        <v>41</v>
      </c>
      <c r="AX44" s="140">
        <f>'MODU 2025'!AY47</f>
        <v>33</v>
      </c>
      <c r="AY44" s="140">
        <f>'MODU 2025'!AZ47</f>
        <v>41</v>
      </c>
      <c r="AZ44" s="140">
        <f>'MODU 2025'!BA47</f>
        <v>33</v>
      </c>
      <c r="BA44" s="140">
        <f>'MODU 2025'!BB47</f>
        <v>41</v>
      </c>
      <c r="BB44" s="140">
        <f>'MODU 2025'!BC47</f>
        <v>33</v>
      </c>
      <c r="BC44" s="140">
        <f>'MODU 2025'!BD47</f>
        <v>41</v>
      </c>
      <c r="BD44" s="140">
        <f>'MODU 2025'!BE47</f>
        <v>33</v>
      </c>
      <c r="BE44" s="134">
        <f>'MODU 2025'!BF47</f>
        <v>41</v>
      </c>
      <c r="BF44" s="82"/>
      <c r="BG44" s="107">
        <v>33</v>
      </c>
      <c r="BH44" s="145">
        <v>41</v>
      </c>
      <c r="BI44" s="145">
        <v>33</v>
      </c>
      <c r="BJ44" s="145">
        <v>41</v>
      </c>
      <c r="BK44" s="145">
        <v>33</v>
      </c>
      <c r="BL44" s="145">
        <v>41</v>
      </c>
      <c r="BM44" s="145">
        <v>33</v>
      </c>
      <c r="BN44" s="145">
        <v>41</v>
      </c>
      <c r="BO44" s="145">
        <v>33</v>
      </c>
      <c r="BP44" s="145">
        <v>41</v>
      </c>
      <c r="BQ44" s="145">
        <v>33</v>
      </c>
      <c r="BR44" s="145">
        <v>41</v>
      </c>
      <c r="BS44" s="145">
        <v>33</v>
      </c>
      <c r="BT44" s="145">
        <v>41</v>
      </c>
      <c r="BU44" s="145">
        <v>33</v>
      </c>
      <c r="BV44" s="145">
        <v>41</v>
      </c>
      <c r="BW44" s="145">
        <v>33</v>
      </c>
      <c r="BX44" s="145">
        <v>41</v>
      </c>
      <c r="BY44" s="145">
        <v>33</v>
      </c>
      <c r="BZ44" s="145">
        <v>41</v>
      </c>
      <c r="CA44" s="145">
        <v>33</v>
      </c>
      <c r="CB44" s="145">
        <v>41</v>
      </c>
      <c r="CC44" s="145">
        <v>33</v>
      </c>
      <c r="CD44" s="145">
        <v>41</v>
      </c>
      <c r="CE44" s="145">
        <v>33</v>
      </c>
      <c r="CF44" s="145">
        <v>41</v>
      </c>
      <c r="CG44" s="145">
        <v>33</v>
      </c>
      <c r="CH44" s="145">
        <v>41</v>
      </c>
      <c r="CI44" s="145">
        <v>33</v>
      </c>
      <c r="CJ44" s="145">
        <v>41</v>
      </c>
      <c r="CK44" s="145">
        <v>33</v>
      </c>
      <c r="CL44" s="145">
        <v>41</v>
      </c>
      <c r="CM44" s="145">
        <v>33</v>
      </c>
      <c r="CN44" s="145">
        <v>41</v>
      </c>
      <c r="CO44" s="145">
        <v>33</v>
      </c>
      <c r="CP44" s="145">
        <v>41</v>
      </c>
      <c r="CQ44" s="145">
        <v>33</v>
      </c>
      <c r="CR44" s="145">
        <v>41</v>
      </c>
      <c r="CS44" s="145">
        <v>33</v>
      </c>
      <c r="CT44" s="145">
        <v>41</v>
      </c>
      <c r="CU44" s="145">
        <v>33</v>
      </c>
      <c r="CV44" s="145">
        <v>41</v>
      </c>
      <c r="CW44" s="145">
        <v>33</v>
      </c>
      <c r="CX44" s="145">
        <v>41</v>
      </c>
      <c r="CY44" s="145">
        <v>33</v>
      </c>
      <c r="CZ44" s="145">
        <v>41</v>
      </c>
      <c r="DA44" s="145">
        <v>33</v>
      </c>
      <c r="DB44" s="145">
        <v>41</v>
      </c>
      <c r="DC44" s="145">
        <v>33</v>
      </c>
      <c r="DD44" s="145">
        <v>41</v>
      </c>
      <c r="DE44" s="145">
        <v>33</v>
      </c>
      <c r="DF44" s="108">
        <v>41</v>
      </c>
      <c r="DG44" s="84"/>
      <c r="DH44" s="112">
        <f t="shared" si="3"/>
        <v>0</v>
      </c>
      <c r="DI44" s="138">
        <f t="shared" si="4"/>
        <v>2</v>
      </c>
      <c r="DJ44" s="138">
        <f t="shared" si="5"/>
        <v>0</v>
      </c>
      <c r="DK44" s="138">
        <f t="shared" si="6"/>
        <v>0</v>
      </c>
      <c r="DL44" s="138">
        <f t="shared" si="7"/>
        <v>0</v>
      </c>
      <c r="DM44" s="138">
        <f t="shared" si="8"/>
        <v>0</v>
      </c>
      <c r="DN44" s="138">
        <f t="shared" si="9"/>
        <v>0</v>
      </c>
      <c r="DO44" s="138">
        <f t="shared" si="10"/>
        <v>4.5</v>
      </c>
      <c r="DP44" s="138">
        <f t="shared" si="11"/>
        <v>0</v>
      </c>
      <c r="DQ44" s="138">
        <f t="shared" si="12"/>
        <v>4.5</v>
      </c>
      <c r="DR44" s="138">
        <f t="shared" si="13"/>
        <v>0</v>
      </c>
      <c r="DS44" s="138">
        <f t="shared" si="14"/>
        <v>0</v>
      </c>
      <c r="DT44" s="138">
        <f t="shared" si="15"/>
        <v>0</v>
      </c>
      <c r="DU44" s="138">
        <f t="shared" si="16"/>
        <v>0</v>
      </c>
      <c r="DV44" s="138">
        <f t="shared" si="17"/>
        <v>0</v>
      </c>
      <c r="DW44" s="138">
        <f t="shared" si="18"/>
        <v>0</v>
      </c>
      <c r="DX44" s="138">
        <f t="shared" si="19"/>
        <v>0</v>
      </c>
      <c r="DY44" s="138">
        <f t="shared" si="20"/>
        <v>0</v>
      </c>
      <c r="DZ44" s="138">
        <f t="shared" si="21"/>
        <v>0</v>
      </c>
      <c r="EA44" s="138">
        <f t="shared" si="22"/>
        <v>0</v>
      </c>
      <c r="EB44" s="138">
        <f t="shared" si="23"/>
        <v>0</v>
      </c>
      <c r="EC44" s="138">
        <f t="shared" si="24"/>
        <v>0</v>
      </c>
      <c r="ED44" s="138">
        <f t="shared" si="25"/>
        <v>0</v>
      </c>
      <c r="EE44" s="138">
        <f t="shared" si="26"/>
        <v>0</v>
      </c>
      <c r="EF44" s="138">
        <f t="shared" si="27"/>
        <v>0</v>
      </c>
      <c r="EG44" s="138">
        <f t="shared" si="28"/>
        <v>0</v>
      </c>
      <c r="EH44" s="138">
        <f t="shared" si="29"/>
        <v>0</v>
      </c>
      <c r="EI44" s="138">
        <f t="shared" si="30"/>
        <v>0</v>
      </c>
      <c r="EJ44" s="138">
        <f t="shared" si="31"/>
        <v>0</v>
      </c>
      <c r="EK44" s="138">
        <f t="shared" si="32"/>
        <v>0</v>
      </c>
      <c r="EL44" s="138">
        <f t="shared" si="33"/>
        <v>0</v>
      </c>
      <c r="EM44" s="138">
        <f t="shared" si="34"/>
        <v>0</v>
      </c>
      <c r="EN44" s="138">
        <f t="shared" si="35"/>
        <v>0</v>
      </c>
      <c r="EO44" s="138">
        <f t="shared" si="36"/>
        <v>0</v>
      </c>
      <c r="EP44" s="138">
        <f t="shared" si="37"/>
        <v>0</v>
      </c>
      <c r="EQ44" s="138">
        <f t="shared" si="38"/>
        <v>0</v>
      </c>
      <c r="ER44" s="138">
        <f t="shared" si="39"/>
        <v>0</v>
      </c>
      <c r="ES44" s="138">
        <f t="shared" si="40"/>
        <v>0</v>
      </c>
      <c r="ET44" s="138">
        <f t="shared" si="41"/>
        <v>0</v>
      </c>
      <c r="EU44" s="138">
        <f t="shared" si="42"/>
        <v>0</v>
      </c>
      <c r="EV44" s="138">
        <f t="shared" si="43"/>
        <v>0</v>
      </c>
      <c r="EW44" s="138">
        <f t="shared" si="44"/>
        <v>0</v>
      </c>
      <c r="EX44" s="138">
        <f t="shared" si="45"/>
        <v>0</v>
      </c>
      <c r="EY44" s="138">
        <f t="shared" si="46"/>
        <v>0</v>
      </c>
      <c r="EZ44" s="138">
        <f t="shared" si="47"/>
        <v>0</v>
      </c>
      <c r="FA44" s="138">
        <f t="shared" si="48"/>
        <v>0</v>
      </c>
      <c r="FB44" s="138">
        <f t="shared" si="49"/>
        <v>0</v>
      </c>
      <c r="FC44" s="138">
        <f t="shared" si="50"/>
        <v>0</v>
      </c>
      <c r="FD44" s="138">
        <f t="shared" si="51"/>
        <v>0</v>
      </c>
      <c r="FE44" s="138">
        <f t="shared" si="52"/>
        <v>0</v>
      </c>
      <c r="FF44" s="138">
        <f t="shared" si="53"/>
        <v>0</v>
      </c>
      <c r="FG44" s="113">
        <f t="shared" si="54"/>
        <v>0</v>
      </c>
      <c r="FH44" s="113">
        <f t="shared" si="55"/>
        <v>11</v>
      </c>
      <c r="FI44" s="35"/>
      <c r="FJ44" s="151" cm="1">
        <f t="array" ref="FJ44">IF($C44="Production",
IFERROR(_xlfn.IFS(AND(DH44&gt;0,DH44+SUM(BF44:BG44)&lt;=$FM$3),DH44,AND(DH44&gt;0,DH44+SUM(BF44:BG44)&gt;$FM$3),$FM$3-SUM(BF44:BG44)),0),
IFERROR(_xlfn.IFS(AND(DH44&gt;0,DH44+BG44&lt;=$FK$3),DH44,AND(DH44&gt;0,DH44+BG44&gt;$FK$3),0),0)
)</f>
        <v>0</v>
      </c>
      <c r="FK44" s="152" cm="1">
        <f t="array" ref="FK44">IF($C44="Production",
IFERROR(_xlfn.IFS(AND(DI44&gt;0,DI44+SUM(BG44:BH44)&lt;=$FM$3),DI44,AND(DI44&gt;0,DI44+SUM(BG44:BH44)&gt;$FM$3),$FM$3-SUM(BG44:BH44)),0),
IFERROR(_xlfn.IFS(AND(DI44&gt;0,DI44+BH44&lt;=$FK$3),DI44,AND(DI44&gt;0,DI44+BH44&gt;$FK$3),0),0)
)</f>
        <v>2</v>
      </c>
      <c r="FL44" s="152" cm="1">
        <f t="array" ref="FL44">IF($C44="Production",
IFERROR(_xlfn.IFS(AND(DJ44&gt;0,DJ44+SUM(BH44:BI44)&lt;=$FM$3),DJ44,AND(DJ44&gt;0,DJ44+SUM(BH44:BI44)&gt;$FM$3),$FM$3-SUM(BH44:BI44)),0),
IFERROR(_xlfn.IFS(AND(DJ44&gt;0,DJ44+BI44&lt;=$FK$3),DJ44,AND(DJ44&gt;0,DJ44+BI44&gt;$FK$3),0),0)
)</f>
        <v>0</v>
      </c>
      <c r="FM44" s="152" cm="1">
        <f t="array" ref="FM44">IF($C44="Production",
IFERROR(_xlfn.IFS(AND(DK44&gt;0,DK44+SUM(BI44:BJ44)&lt;=$FM$3),DK44,AND(DK44&gt;0,DK44+SUM(BI44:BJ44)&gt;$FM$3),$FM$3-SUM(BI44:BJ44)),0),
IFERROR(_xlfn.IFS(AND(DK44&gt;0,DK44+BJ44&lt;=$FK$3),DK44,AND(DK44&gt;0,DK44+BJ44&gt;$FK$3),0),0)
)</f>
        <v>0</v>
      </c>
      <c r="FN44" s="152" cm="1">
        <f t="array" ref="FN44">IF($C44="Production",
IFERROR(_xlfn.IFS(AND(DL44&gt;0,DL44+SUM(BJ44:BK44)&lt;=$FM$3),DL44,AND(DL44&gt;0,DL44+SUM(BJ44:BK44)&gt;$FM$3),$FM$3-SUM(BJ44:BK44)),0),
IFERROR(_xlfn.IFS(AND(DL44&gt;0,DL44+BK44&lt;=$FK$3),DL44,AND(DL44&gt;0,DL44+BK44&gt;$FK$3),0),0)
)</f>
        <v>0</v>
      </c>
      <c r="FO44" s="152" cm="1">
        <f t="array" ref="FO44">IF($C44="Production",
IFERROR(_xlfn.IFS(AND(DM44&gt;0,DM44+SUM(BK44:BL44)&lt;=$FM$3),DM44,AND(DM44&gt;0,DM44+SUM(BK44:BL44)&gt;$FM$3),$FM$3-SUM(BK44:BL44)),0),
IFERROR(_xlfn.IFS(AND(DM44&gt;0,DM44+BL44&lt;=$FK$3),DM44,AND(DM44&gt;0,DM44+BL44&gt;$FK$3),0),0)
)</f>
        <v>0</v>
      </c>
      <c r="FP44" s="152" cm="1">
        <f t="array" ref="FP44">IF($C44="Production",
IFERROR(_xlfn.IFS(AND(DN44&gt;0,DN44+SUM(BL44:BM44)&lt;=$FM$3),DN44,AND(DN44&gt;0,DN44+SUM(BL44:BM44)&gt;$FM$3),$FM$3-SUM(BL44:BM44)),0),
IFERROR(_xlfn.IFS(AND(DN44&gt;0,DN44+BM44&lt;=$FK$3),DN44,AND(DN44&gt;0,DN44+BM44&gt;$FK$3),0),0)
)</f>
        <v>0</v>
      </c>
      <c r="FQ44" s="152" cm="1">
        <f t="array" ref="FQ44">IF($C44="Production",
IFERROR(_xlfn.IFS(AND(DO44&gt;0,DO44+SUM(BM44:BN44)&lt;=$FM$3),DO44,AND(DO44&gt;0,DO44+SUM(BM44:BN44)&gt;$FM$3),$FM$3-SUM(BM44:BN44)),0),
IFERROR(_xlfn.IFS(AND(DO44&gt;0,DO44+BN44&lt;=$FK$3),DO44,AND(DO44&gt;0,DO44+BN44&gt;$FK$3),0),0)
)</f>
        <v>4.5</v>
      </c>
      <c r="FR44" s="152" cm="1">
        <f t="array" ref="FR44">IF($C44="Production",
IFERROR(_xlfn.IFS(AND(DP44&gt;0,DP44+SUM(BN44:BO44)&lt;=$FM$3),DP44,AND(DP44&gt;0,DP44+SUM(BN44:BO44)&gt;$FM$3),$FM$3-SUM(BN44:BO44)),0),
IFERROR(_xlfn.IFS(AND(DP44&gt;0,DP44+BO44&lt;=$FK$3),DP44,AND(DP44&gt;0,DP44+BO44&gt;$FK$3),0),0)
)</f>
        <v>0</v>
      </c>
      <c r="FS44" s="152" cm="1">
        <f t="array" ref="FS44">IF($C44="Production",
IFERROR(_xlfn.IFS(AND(DQ44&gt;0,DQ44+SUM(BO44:BP44)&lt;=$FM$3),DQ44,AND(DQ44&gt;0,DQ44+SUM(BO44:BP44)&gt;$FM$3),$FM$3-SUM(BO44:BP44)),0),
IFERROR(_xlfn.IFS(AND(DQ44&gt;0,DQ44+BP44&lt;=$FK$3),DQ44,AND(DQ44&gt;0,DQ44+BP44&gt;$FK$3),0),0)
)</f>
        <v>4.5</v>
      </c>
      <c r="FT44" s="152" cm="1">
        <f t="array" ref="FT44">IF($C44="Production",
IFERROR(_xlfn.IFS(AND(DR44&gt;0,DR44+SUM(BP44:BQ44)&lt;=$FM$3),DR44,AND(DR44&gt;0,DR44+SUM(BP44:BQ44)&gt;$FM$3),$FM$3-SUM(BP44:BQ44)),0),
IFERROR(_xlfn.IFS(AND(DR44&gt;0,DR44+BQ44&lt;=$FK$3),DR44,AND(DR44&gt;0,DR44+BQ44&gt;$FK$3),0),0)
)</f>
        <v>0</v>
      </c>
      <c r="FU44" s="152" cm="1">
        <f t="array" ref="FU44">IF($C44="Production",
IFERROR(_xlfn.IFS(AND(DS44&gt;0,DS44+SUM(BQ44:BR44)&lt;=$FM$3),DS44,AND(DS44&gt;0,DS44+SUM(BQ44:BR44)&gt;$FM$3),$FM$3-SUM(BQ44:BR44)),0),
IFERROR(_xlfn.IFS(AND(DS44&gt;0,DS44+BR44&lt;=$FK$3),DS44,AND(DS44&gt;0,DS44+BR44&gt;$FK$3),0),0)
)</f>
        <v>0</v>
      </c>
      <c r="FV44" s="152" cm="1">
        <f t="array" ref="FV44">IF($C44="Production",
IFERROR(_xlfn.IFS(AND(DT44&gt;0,DT44+SUM(BR44:BS44)&lt;=$FM$3),DT44,AND(DT44&gt;0,DT44+SUM(BR44:BS44)&gt;$FM$3),$FM$3-SUM(BR44:BS44)),0),
IFERROR(_xlfn.IFS(AND(DT44&gt;0,DT44+BS44&lt;=$FK$3),DT44,AND(DT44&gt;0,DT44+BS44&gt;$FK$3),0),0)
)</f>
        <v>0</v>
      </c>
      <c r="FW44" s="152" cm="1">
        <f t="array" ref="FW44">IF($C44="Production",
IFERROR(_xlfn.IFS(AND(DU44&gt;0,DU44+SUM(BS44:BT44)&lt;=$FM$3),DU44,AND(DU44&gt;0,DU44+SUM(BS44:BT44)&gt;$FM$3),$FM$3-SUM(BS44:BT44)),0),
IFERROR(_xlfn.IFS(AND(DU44&gt;0,DU44+BT44&lt;=$FK$3),DU44,AND(DU44&gt;0,DU44+BT44&gt;$FK$3),0),0)
)</f>
        <v>0</v>
      </c>
      <c r="FX44" s="152" cm="1">
        <f t="array" ref="FX44">IF($C44="Production",
IFERROR(_xlfn.IFS(AND(DV44&gt;0,DV44+SUM(BT44:BU44)&lt;=$FM$3),DV44,AND(DV44&gt;0,DV44+SUM(BT44:BU44)&gt;$FM$3),$FM$3-SUM(BT44:BU44)),0),
IFERROR(_xlfn.IFS(AND(DV44&gt;0,DV44+BU44&lt;=$FK$3),DV44,AND(DV44&gt;0,DV44+BU44&gt;$FK$3),0),0)
)</f>
        <v>0</v>
      </c>
      <c r="FY44" s="152" cm="1">
        <f t="array" ref="FY44">IF($C44="Production",
IFERROR(_xlfn.IFS(AND(DW44&gt;0,DW44+SUM(BU44:BV44)&lt;=$FM$3),DW44,AND(DW44&gt;0,DW44+SUM(BU44:BV44)&gt;$FM$3),$FM$3-SUM(BU44:BV44)),0),
IFERROR(_xlfn.IFS(AND(DW44&gt;0,DW44+BV44&lt;=$FK$3),DW44,AND(DW44&gt;0,DW44+BV44&gt;$FK$3),0),0)
)</f>
        <v>0</v>
      </c>
      <c r="FZ44" s="152" cm="1">
        <f t="array" ref="FZ44">IF($C44="Production",
IFERROR(_xlfn.IFS(AND(DX44&gt;0,DX44+SUM(BV44:BW44)&lt;=$FM$3),DX44,AND(DX44&gt;0,DX44+SUM(BV44:BW44)&gt;$FM$3),$FM$3-SUM(BV44:BW44)),0),
IFERROR(_xlfn.IFS(AND(DX44&gt;0,DX44+BW44&lt;=$FK$3),DX44,AND(DX44&gt;0,DX44+BW44&gt;$FK$3),0),0)
)</f>
        <v>0</v>
      </c>
      <c r="GA44" s="152" cm="1">
        <f t="array" ref="GA44">IF($C44="Production",
IFERROR(_xlfn.IFS(AND(DY44&gt;0,DY44+SUM(BW44:BX44)&lt;=$FM$3),DY44,AND(DY44&gt;0,DY44+SUM(BW44:BX44)&gt;$FM$3),$FM$3-SUM(BW44:BX44)),0),
IFERROR(_xlfn.IFS(AND(DY44&gt;0,DY44+BX44&lt;=$FK$3),DY44,AND(DY44&gt;0,DY44+BX44&gt;$FK$3),0),0)
)</f>
        <v>0</v>
      </c>
      <c r="GB44" s="152" cm="1">
        <f t="array" ref="GB44">IF($C44="Production",
IFERROR(_xlfn.IFS(AND(DZ44&gt;0,DZ44+SUM(BX44:BY44)&lt;=$FM$3),DZ44,AND(DZ44&gt;0,DZ44+SUM(BX44:BY44)&gt;$FM$3),$FM$3-SUM(BX44:BY44)),0),
IFERROR(_xlfn.IFS(AND(DZ44&gt;0,DZ44+BY44&lt;=$FK$3),DZ44,AND(DZ44&gt;0,DZ44+BY44&gt;$FK$3),0),0)
)</f>
        <v>0</v>
      </c>
      <c r="GC44" s="152" cm="1">
        <f t="array" ref="GC44">IF($C44="Production",
IFERROR(_xlfn.IFS(AND(EA44&gt;0,EA44+SUM(BY44:BZ44)&lt;=$FM$3),EA44,AND(EA44&gt;0,EA44+SUM(BY44:BZ44)&gt;$FM$3),$FM$3-SUM(BY44:BZ44)),0),
IFERROR(_xlfn.IFS(AND(EA44&gt;0,EA44+BZ44&lt;=$FK$3),EA44,AND(EA44&gt;0,EA44+BZ44&gt;$FK$3),0),0)
)</f>
        <v>0</v>
      </c>
      <c r="GD44" s="152" cm="1">
        <f t="array" ref="GD44">IF($C44="Production",
IFERROR(_xlfn.IFS(AND(EB44&gt;0,EB44+SUM(BZ44:CA44)&lt;=$FM$3),EB44,AND(EB44&gt;0,EB44+SUM(BZ44:CA44)&gt;$FM$3),$FM$3-SUM(BZ44:CA44)),0),
IFERROR(_xlfn.IFS(AND(EB44&gt;0,EB44+CA44&lt;=$FK$3),EB44,AND(EB44&gt;0,EB44+CA44&gt;$FK$3),0),0)
)</f>
        <v>0</v>
      </c>
      <c r="GE44" s="152" cm="1">
        <f t="array" ref="GE44">IF($C44="Production",
IFERROR(_xlfn.IFS(AND(EC44&gt;0,EC44+SUM(CA44:CB44)&lt;=$FM$3),EC44,AND(EC44&gt;0,EC44+SUM(CA44:CB44)&gt;$FM$3),$FM$3-SUM(CA44:CB44)),0),
IFERROR(_xlfn.IFS(AND(EC44&gt;0,EC44+CB44&lt;=$FK$3),EC44,AND(EC44&gt;0,EC44+CB44&gt;$FK$3),0),0)
)</f>
        <v>0</v>
      </c>
      <c r="GF44" s="152" cm="1">
        <f t="array" ref="GF44">IF($C44="Production",
IFERROR(_xlfn.IFS(AND(ED44&gt;0,ED44+SUM(CB44:CC44)&lt;=$FM$3),ED44,AND(ED44&gt;0,ED44+SUM(CB44:CC44)&gt;$FM$3),$FM$3-SUM(CB44:CC44)),0),
IFERROR(_xlfn.IFS(AND(ED44&gt;0,ED44+CC44&lt;=$FK$3),ED44,AND(ED44&gt;0,ED44+CC44&gt;$FK$3),0),0)
)</f>
        <v>0</v>
      </c>
      <c r="GG44" s="152" cm="1">
        <f t="array" ref="GG44">IF($C44="Production",
IFERROR(_xlfn.IFS(AND(EE44&gt;0,EE44+SUM(CC44:CD44)&lt;=$FM$3),EE44,AND(EE44&gt;0,EE44+SUM(CC44:CD44)&gt;$FM$3),$FM$3-SUM(CC44:CD44)),0),
IFERROR(_xlfn.IFS(AND(EE44&gt;0,EE44+CD44&lt;=$FK$3),EE44,AND(EE44&gt;0,EE44+CD44&gt;$FK$3),0),0)
)</f>
        <v>0</v>
      </c>
      <c r="GH44" s="152" cm="1">
        <f t="array" ref="GH44">IF($C44="Production",
IFERROR(_xlfn.IFS(AND(EF44&gt;0,EF44+SUM(CD44:CE44)&lt;=$FM$3),EF44,AND(EF44&gt;0,EF44+SUM(CD44:CE44)&gt;$FM$3),$FM$3-SUM(CD44:CE44)),0),
IFERROR(_xlfn.IFS(AND(EF44&gt;0,EF44+CE44&lt;=$FK$3),EF44,AND(EF44&gt;0,EF44+CE44&gt;$FK$3),0),0)
)</f>
        <v>0</v>
      </c>
      <c r="GI44" s="152" cm="1">
        <f t="array" ref="GI44">IF($C44="Production",
IFERROR(_xlfn.IFS(AND(EG44&gt;0,EG44+SUM(CE44:CF44)&lt;=$FM$3),EG44,AND(EG44&gt;0,EG44+SUM(CE44:CF44)&gt;$FM$3),$FM$3-SUM(CE44:CF44)),0),
IFERROR(_xlfn.IFS(AND(EG44&gt;0,EG44+CF44&lt;=$FK$3),EG44,AND(EG44&gt;0,EG44+CF44&gt;$FK$3),0),0)
)</f>
        <v>0</v>
      </c>
      <c r="GJ44" s="152" cm="1">
        <f t="array" ref="GJ44">IF($C44="Production",
IFERROR(_xlfn.IFS(AND(EH44&gt;0,EH44+SUM(CF44:CG44)&lt;=$FM$3),EH44,AND(EH44&gt;0,EH44+SUM(CF44:CG44)&gt;$FM$3),$FM$3-SUM(CF44:CG44)),0),
IFERROR(_xlfn.IFS(AND(EH44&gt;0,EH44+CG44&lt;=$FK$3),EH44,AND(EH44&gt;0,EH44+CG44&gt;$FK$3),0),0)
)</f>
        <v>0</v>
      </c>
      <c r="GK44" s="152" cm="1">
        <f t="array" ref="GK44">IF($C44="Production",
IFERROR(_xlfn.IFS(AND(EI44&gt;0,EI44+SUM(CG44:CH44)&lt;=$FM$3),EI44,AND(EI44&gt;0,EI44+SUM(CG44:CH44)&gt;$FM$3),$FM$3-SUM(CG44:CH44)),0),
IFERROR(_xlfn.IFS(AND(EI44&gt;0,EI44+CH44&lt;=$FK$3),EI44,AND(EI44&gt;0,EI44+CH44&gt;$FK$3),0),0)
)</f>
        <v>0</v>
      </c>
      <c r="GL44" s="152" cm="1">
        <f t="array" ref="GL44">IF($C44="Production",
IFERROR(_xlfn.IFS(AND(EJ44&gt;0,EJ44+SUM(CH44:CI44)&lt;=$FM$3),EJ44,AND(EJ44&gt;0,EJ44+SUM(CH44:CI44)&gt;$FM$3),$FM$3-SUM(CH44:CI44)),0),
IFERROR(_xlfn.IFS(AND(EJ44&gt;0,EJ44+CI44&lt;=$FK$3),EJ44,AND(EJ44&gt;0,EJ44+CI44&gt;$FK$3),0),0)
)</f>
        <v>0</v>
      </c>
      <c r="GM44" s="152" cm="1">
        <f t="array" ref="GM44">IF($C44="Production",
IFERROR(_xlfn.IFS(AND(EK44&gt;0,EK44+SUM(CI44:CJ44)&lt;=$FM$3),EK44,AND(EK44&gt;0,EK44+SUM(CI44:CJ44)&gt;$FM$3),$FM$3-SUM(CI44:CJ44)),0),
IFERROR(_xlfn.IFS(AND(EK44&gt;0,EK44+CJ44&lt;=$FK$3),EK44,AND(EK44&gt;0,EK44+CJ44&gt;$FK$3),0),0)
)</f>
        <v>0</v>
      </c>
      <c r="GN44" s="152" cm="1">
        <f t="array" ref="GN44">IF($C44="Production",
IFERROR(_xlfn.IFS(AND(EL44&gt;0,EL44+SUM(CJ44:CK44)&lt;=$FM$3),EL44,AND(EL44&gt;0,EL44+SUM(CJ44:CK44)&gt;$FM$3),$FM$3-SUM(CJ44:CK44)),0),
IFERROR(_xlfn.IFS(AND(EL44&gt;0,EL44+CK44&lt;=$FK$3),EL44,AND(EL44&gt;0,EL44+CK44&gt;$FK$3),0),0)
)</f>
        <v>0</v>
      </c>
      <c r="GO44" s="152" cm="1">
        <f t="array" ref="GO44">IF($C44="Production",
IFERROR(_xlfn.IFS(AND(EM44&gt;0,EM44+SUM(CK44:CL44)&lt;=$FM$3),EM44,AND(EM44&gt;0,EM44+SUM(CK44:CL44)&gt;$FM$3),$FM$3-SUM(CK44:CL44)),0),
IFERROR(_xlfn.IFS(AND(EM44&gt;0,EM44+CL44&lt;=$FK$3),EM44,AND(EM44&gt;0,EM44+CL44&gt;$FK$3),0),0)
)</f>
        <v>0</v>
      </c>
      <c r="GP44" s="152" cm="1">
        <f t="array" ref="GP44">IF($C44="Production",
IFERROR(_xlfn.IFS(AND(EN44&gt;0,EN44+SUM(CL44:CM44)&lt;=$FM$3),EN44,AND(EN44&gt;0,EN44+SUM(CL44:CM44)&gt;$FM$3),$FM$3-SUM(CL44:CM44)),0),
IFERROR(_xlfn.IFS(AND(EN44&gt;0,EN44+CM44&lt;=$FK$3),EN44,AND(EN44&gt;0,EN44+CM44&gt;$FK$3),0),0)
)</f>
        <v>0</v>
      </c>
      <c r="GQ44" s="152" cm="1">
        <f t="array" ref="GQ44">IF($C44="Production",
IFERROR(_xlfn.IFS(AND(EO44&gt;0,EO44+SUM(CM44:CN44)&lt;=$FM$3),EO44,AND(EO44&gt;0,EO44+SUM(CM44:CN44)&gt;$FM$3),$FM$3-SUM(CM44:CN44)),0),
IFERROR(_xlfn.IFS(AND(EO44&gt;0,EO44+CN44&lt;=$FK$3),EO44,AND(EO44&gt;0,EO44+CN44&gt;$FK$3),0),0)
)</f>
        <v>0</v>
      </c>
      <c r="GR44" s="152" cm="1">
        <f t="array" ref="GR44">IF($C44="Production",
IFERROR(_xlfn.IFS(AND(EP44&gt;0,EP44+SUM(CN44:CO44)&lt;=$FM$3),EP44,AND(EP44&gt;0,EP44+SUM(CN44:CO44)&gt;$FM$3),$FM$3-SUM(CN44:CO44)),0),
IFERROR(_xlfn.IFS(AND(EP44&gt;0,EP44+CO44&lt;=$FK$3),EP44,AND(EP44&gt;0,EP44+CO44&gt;$FK$3),0),0)
)</f>
        <v>0</v>
      </c>
      <c r="GS44" s="152" cm="1">
        <f t="array" ref="GS44">IF($C44="Production",
IFERROR(_xlfn.IFS(AND(EQ44&gt;0,EQ44+SUM(CO44:CP44)&lt;=$FM$3),EQ44,AND(EQ44&gt;0,EQ44+SUM(CO44:CP44)&gt;$FM$3),$FM$3-SUM(CO44:CP44)),0),
IFERROR(_xlfn.IFS(AND(EQ44&gt;0,EQ44+CP44&lt;=$FK$3),EQ44,AND(EQ44&gt;0,EQ44+CP44&gt;$FK$3),0),0)
)</f>
        <v>0</v>
      </c>
      <c r="GT44" s="152" cm="1">
        <f t="array" ref="GT44">IF($C44="Production",
IFERROR(_xlfn.IFS(AND(ER44&gt;0,ER44+SUM(CP44:CQ44)&lt;=$FM$3),ER44,AND(ER44&gt;0,ER44+SUM(CP44:CQ44)&gt;$FM$3),$FM$3-SUM(CP44:CQ44)),0),
IFERROR(_xlfn.IFS(AND(ER44&gt;0,ER44+CQ44&lt;=$FK$3),ER44,AND(ER44&gt;0,ER44+CQ44&gt;$FK$3),0),0)
)</f>
        <v>0</v>
      </c>
      <c r="GU44" s="152" cm="1">
        <f t="array" ref="GU44">IF($C44="Production",
IFERROR(_xlfn.IFS(AND(ES44&gt;0,ES44+SUM(CQ44:CR44)&lt;=$FM$3),ES44,AND(ES44&gt;0,ES44+SUM(CQ44:CR44)&gt;$FM$3),$FM$3-SUM(CQ44:CR44)),0),
IFERROR(_xlfn.IFS(AND(ES44&gt;0,ES44+CR44&lt;=$FK$3),ES44,AND(ES44&gt;0,ES44+CR44&gt;$FK$3),0),0)
)</f>
        <v>0</v>
      </c>
      <c r="GV44" s="152" cm="1">
        <f t="array" ref="GV44">IF($C44="Production",
IFERROR(_xlfn.IFS(AND(ET44&gt;0,ET44+SUM(CR44:CS44)&lt;=$FM$3),ET44,AND(ET44&gt;0,ET44+SUM(CR44:CS44)&gt;$FM$3),$FM$3-SUM(CR44:CS44)),0),
IFERROR(_xlfn.IFS(AND(ET44&gt;0,ET44+CS44&lt;=$FK$3),ET44,AND(ET44&gt;0,ET44+CS44&gt;$FK$3),0),0)
)</f>
        <v>0</v>
      </c>
      <c r="GW44" s="152" cm="1">
        <f t="array" ref="GW44">IF($C44="Production",
IFERROR(_xlfn.IFS(AND(EU44&gt;0,EU44+SUM(CS44:CT44)&lt;=$FM$3),EU44,AND(EU44&gt;0,EU44+SUM(CS44:CT44)&gt;$FM$3),$FM$3-SUM(CS44:CT44)),0),
IFERROR(_xlfn.IFS(AND(EU44&gt;0,EU44+CT44&lt;=$FK$3),EU44,AND(EU44&gt;0,EU44+CT44&gt;$FK$3),0),0)
)</f>
        <v>0</v>
      </c>
      <c r="GX44" s="152" cm="1">
        <f t="array" ref="GX44">IF($C44="Production",
IFERROR(_xlfn.IFS(AND(EV44&gt;0,EV44+SUM(CT44:CU44)&lt;=$FM$3),EV44,AND(EV44&gt;0,EV44+SUM(CT44:CU44)&gt;$FM$3),$FM$3-SUM(CT44:CU44)),0),
IFERROR(_xlfn.IFS(AND(EV44&gt;0,EV44+CU44&lt;=$FK$3),EV44,AND(EV44&gt;0,EV44+CU44&gt;$FK$3),0),0)
)</f>
        <v>0</v>
      </c>
      <c r="GY44" s="152" cm="1">
        <f t="array" ref="GY44">IF($C44="Production",
IFERROR(_xlfn.IFS(AND(EW44&gt;0,EW44+SUM(CU44:CV44)&lt;=$FM$3),EW44,AND(EW44&gt;0,EW44+SUM(CU44:CV44)&gt;$FM$3),$FM$3-SUM(CU44:CV44)),0),
IFERROR(_xlfn.IFS(AND(EW44&gt;0,EW44+CV44&lt;=$FK$3),EW44,AND(EW44&gt;0,EW44+CV44&gt;$FK$3),0),0)
)</f>
        <v>0</v>
      </c>
      <c r="GZ44" s="152" cm="1">
        <f t="array" ref="GZ44">IF($C44="Production",
IFERROR(_xlfn.IFS(AND(EX44&gt;0,EX44+SUM(CV44:CW44)&lt;=$FM$3),EX44,AND(EX44&gt;0,EX44+SUM(CV44:CW44)&gt;$FM$3),$FM$3-SUM(CV44:CW44)),0),
IFERROR(_xlfn.IFS(AND(EX44&gt;0,EX44+CW44&lt;=$FK$3),EX44,AND(EX44&gt;0,EX44+CW44&gt;$FK$3),0),0)
)</f>
        <v>0</v>
      </c>
      <c r="HA44" s="152" cm="1">
        <f t="array" ref="HA44">IF($C44="Production",
IFERROR(_xlfn.IFS(AND(EY44&gt;0,EY44+SUM(CW44:CX44)&lt;=$FM$3),EY44,AND(EY44&gt;0,EY44+SUM(CW44:CX44)&gt;$FM$3),$FM$3-SUM(CW44:CX44)),0),
IFERROR(_xlfn.IFS(AND(EY44&gt;0,EY44+CX44&lt;=$FK$3),EY44,AND(EY44&gt;0,EY44+CX44&gt;$FK$3),0),0)
)</f>
        <v>0</v>
      </c>
      <c r="HB44" s="152" cm="1">
        <f t="array" ref="HB44">IF($C44="Production",
IFERROR(_xlfn.IFS(AND(EZ44&gt;0,EZ44+SUM(CX44:CY44)&lt;=$FM$3),EZ44,AND(EZ44&gt;0,EZ44+SUM(CX44:CY44)&gt;$FM$3),$FM$3-SUM(CX44:CY44)),0),
IFERROR(_xlfn.IFS(AND(EZ44&gt;0,EZ44+CY44&lt;=$FK$3),EZ44,AND(EZ44&gt;0,EZ44+CY44&gt;$FK$3),0),0)
)</f>
        <v>0</v>
      </c>
      <c r="HC44" s="152" cm="1">
        <f t="array" ref="HC44">IF($C44="Production",
IFERROR(_xlfn.IFS(AND(FA44&gt;0,FA44+SUM(CY44:CZ44)&lt;=$FM$3),FA44,AND(FA44&gt;0,FA44+SUM(CY44:CZ44)&gt;$FM$3),$FM$3-SUM(CY44:CZ44)),0),
IFERROR(_xlfn.IFS(AND(FA44&gt;0,FA44+CZ44&lt;=$FK$3),FA44,AND(FA44&gt;0,FA44+CZ44&gt;$FK$3),0),0)
)</f>
        <v>0</v>
      </c>
      <c r="HD44" s="152" cm="1">
        <f t="array" ref="HD44">IF($C44="Production",
IFERROR(_xlfn.IFS(AND(FB44&gt;0,FB44+SUM(CZ44:DA44)&lt;=$FM$3),FB44,AND(FB44&gt;0,FB44+SUM(CZ44:DA44)&gt;$FM$3),$FM$3-SUM(CZ44:DA44)),0),
IFERROR(_xlfn.IFS(AND(FB44&gt;0,FB44+DA44&lt;=$FK$3),FB44,AND(FB44&gt;0,FB44+DA44&gt;$FK$3),0),0)
)</f>
        <v>0</v>
      </c>
      <c r="HE44" s="152" cm="1">
        <f t="array" ref="HE44">IF($C44="Production",
IFERROR(_xlfn.IFS(AND(FC44&gt;0,FC44+SUM(DA44:DB44)&lt;=$FM$3),FC44,AND(FC44&gt;0,FC44+SUM(DA44:DB44)&gt;$FM$3),$FM$3-SUM(DA44:DB44)),0),
IFERROR(_xlfn.IFS(AND(FC44&gt;0,FC44+DB44&lt;=$FK$3),FC44,AND(FC44&gt;0,FC44+DB44&gt;$FK$3),0),0)
)</f>
        <v>0</v>
      </c>
      <c r="HF44" s="152" cm="1">
        <f t="array" ref="HF44">IF($C44="Production",
IFERROR(_xlfn.IFS(AND(FD44&gt;0,FD44+SUM(DB44:DC44)&lt;=$FM$3),FD44,AND(FD44&gt;0,FD44+SUM(DB44:DC44)&gt;$FM$3),$FM$3-SUM(DB44:DC44)),0),
IFERROR(_xlfn.IFS(AND(FD44&gt;0,FD44+DC44&lt;=$FK$3),FD44,AND(FD44&gt;0,FD44+DC44&gt;$FK$3),0),0)
)</f>
        <v>0</v>
      </c>
      <c r="HG44" s="152" cm="1">
        <f t="array" ref="HG44">IF($C44="Production",
IFERROR(_xlfn.IFS(AND(FE44&gt;0,FE44+SUM(DC44:DD44)&lt;=$FM$3),FE44,AND(FE44&gt;0,FE44+SUM(DC44:DD44)&gt;$FM$3),$FM$3-SUM(DC44:DD44)),0),
IFERROR(_xlfn.IFS(AND(FE44&gt;0,FE44+DD44&lt;=$FK$3),FE44,AND(FE44&gt;0,FE44+DD44&gt;$FK$3),0),0)
)</f>
        <v>0</v>
      </c>
      <c r="HH44" s="152" cm="1">
        <f t="array" ref="HH44">IF($C44="Production",
IFERROR(_xlfn.IFS(AND(FF44&gt;0,FF44+SUM(DD44:DE44)&lt;=$FM$3),FF44,AND(FF44&gt;0,FF44+SUM(DD44:DE44)&gt;$FM$3),$FM$3-SUM(DD44:DE44)),0),
IFERROR(_xlfn.IFS(AND(FF44&gt;0,FF44+DE44&lt;=$FK$3),FF44,AND(FF44&gt;0,FF44+DE44&gt;$FK$3),0),0)
)</f>
        <v>0</v>
      </c>
      <c r="HI44" s="156" cm="1">
        <f t="array" ref="HI44">IF($C44="Production",
IFERROR(_xlfn.IFS(AND(FG44&gt;0,FG44+SUM(DE44:DF44)&lt;=$FM$3),FG44,AND(FG44&gt;0,FG44+SUM(DE44:DF44)&gt;$FM$3),$FM$3-SUM(DE44:DF44)),0),
IFERROR(_xlfn.IFS(AND(FG44&gt;0,FG44+DF44&lt;=$FK$3),FG44,AND(FG44&gt;0,FG44+DF44&gt;$FK$3),0),0)
)</f>
        <v>0</v>
      </c>
      <c r="HJ44" s="113">
        <f t="shared" si="110"/>
        <v>11</v>
      </c>
      <c r="HK44" s="80"/>
      <c r="HL44" s="112">
        <f t="shared" si="56"/>
        <v>0</v>
      </c>
      <c r="HM44" s="138">
        <f t="shared" si="57"/>
        <v>0</v>
      </c>
      <c r="HN44" s="138">
        <f t="shared" si="58"/>
        <v>0</v>
      </c>
      <c r="HO44" s="138">
        <f t="shared" si="59"/>
        <v>0</v>
      </c>
      <c r="HP44" s="138">
        <f t="shared" si="60"/>
        <v>0</v>
      </c>
      <c r="HQ44" s="138">
        <f t="shared" si="61"/>
        <v>0</v>
      </c>
      <c r="HR44" s="138">
        <f t="shared" si="62"/>
        <v>0</v>
      </c>
      <c r="HS44" s="138">
        <f t="shared" si="63"/>
        <v>0</v>
      </c>
      <c r="HT44" s="138">
        <f t="shared" si="64"/>
        <v>0</v>
      </c>
      <c r="HU44" s="138">
        <f t="shared" si="65"/>
        <v>0</v>
      </c>
      <c r="HV44" s="138">
        <f t="shared" si="66"/>
        <v>0</v>
      </c>
      <c r="HW44" s="138">
        <f t="shared" si="67"/>
        <v>0</v>
      </c>
      <c r="HX44" s="138">
        <f t="shared" si="68"/>
        <v>0</v>
      </c>
      <c r="HY44" s="138">
        <f t="shared" si="69"/>
        <v>0</v>
      </c>
      <c r="HZ44" s="138">
        <f t="shared" si="70"/>
        <v>0</v>
      </c>
      <c r="IA44" s="138">
        <f t="shared" si="71"/>
        <v>0</v>
      </c>
      <c r="IB44" s="138">
        <f t="shared" si="72"/>
        <v>0</v>
      </c>
      <c r="IC44" s="138">
        <f t="shared" si="73"/>
        <v>0</v>
      </c>
      <c r="ID44" s="138">
        <f t="shared" si="74"/>
        <v>0</v>
      </c>
      <c r="IE44" s="138">
        <f t="shared" si="75"/>
        <v>0</v>
      </c>
      <c r="IF44" s="138">
        <f t="shared" si="76"/>
        <v>0</v>
      </c>
      <c r="IG44" s="138">
        <f t="shared" si="77"/>
        <v>0</v>
      </c>
      <c r="IH44" s="138">
        <f t="shared" si="78"/>
        <v>0</v>
      </c>
      <c r="II44" s="138">
        <f t="shared" si="79"/>
        <v>0</v>
      </c>
      <c r="IJ44" s="138">
        <f t="shared" si="80"/>
        <v>0</v>
      </c>
      <c r="IK44" s="138">
        <f t="shared" si="81"/>
        <v>0</v>
      </c>
      <c r="IL44" s="138">
        <f t="shared" si="82"/>
        <v>0</v>
      </c>
      <c r="IM44" s="138">
        <f t="shared" si="83"/>
        <v>0</v>
      </c>
      <c r="IN44" s="138">
        <f t="shared" si="84"/>
        <v>0</v>
      </c>
      <c r="IO44" s="138">
        <f t="shared" si="85"/>
        <v>0</v>
      </c>
      <c r="IP44" s="138">
        <f t="shared" si="86"/>
        <v>0</v>
      </c>
      <c r="IQ44" s="138">
        <f t="shared" si="87"/>
        <v>0</v>
      </c>
      <c r="IR44" s="138">
        <f t="shared" si="88"/>
        <v>0</v>
      </c>
      <c r="IS44" s="138">
        <f t="shared" si="89"/>
        <v>0</v>
      </c>
      <c r="IT44" s="138">
        <f t="shared" si="90"/>
        <v>0</v>
      </c>
      <c r="IU44" s="138">
        <f t="shared" si="91"/>
        <v>0</v>
      </c>
      <c r="IV44" s="138">
        <f t="shared" si="92"/>
        <v>0</v>
      </c>
      <c r="IW44" s="138">
        <f t="shared" si="93"/>
        <v>0</v>
      </c>
      <c r="IX44" s="138">
        <f t="shared" si="94"/>
        <v>0</v>
      </c>
      <c r="IY44" s="138">
        <f t="shared" si="95"/>
        <v>0</v>
      </c>
      <c r="IZ44" s="138">
        <f t="shared" si="96"/>
        <v>0</v>
      </c>
      <c r="JA44" s="138">
        <f t="shared" si="97"/>
        <v>0</v>
      </c>
      <c r="JB44" s="138">
        <f t="shared" si="98"/>
        <v>0</v>
      </c>
      <c r="JC44" s="138">
        <f t="shared" si="99"/>
        <v>0</v>
      </c>
      <c r="JD44" s="138">
        <f t="shared" si="100"/>
        <v>0</v>
      </c>
      <c r="JE44" s="138">
        <f t="shared" si="101"/>
        <v>0</v>
      </c>
      <c r="JF44" s="138">
        <f t="shared" si="102"/>
        <v>0</v>
      </c>
      <c r="JG44" s="138">
        <f t="shared" si="103"/>
        <v>0</v>
      </c>
      <c r="JH44" s="138">
        <f t="shared" si="104"/>
        <v>0</v>
      </c>
      <c r="JI44" s="138">
        <f t="shared" si="105"/>
        <v>0</v>
      </c>
      <c r="JJ44" s="138">
        <f t="shared" si="106"/>
        <v>0</v>
      </c>
      <c r="JK44" s="138">
        <f t="shared" si="107"/>
        <v>0</v>
      </c>
      <c r="JL44" s="118">
        <f t="shared" si="111"/>
        <v>0</v>
      </c>
      <c r="JO44" s="90">
        <f t="shared" si="112"/>
        <v>11</v>
      </c>
      <c r="JP44" s="79">
        <f t="shared" si="108"/>
        <v>0</v>
      </c>
      <c r="JQ44" s="91">
        <f t="shared" si="2"/>
        <v>13.75</v>
      </c>
      <c r="JS44" s="123">
        <f t="shared" si="109"/>
        <v>0</v>
      </c>
      <c r="JU44" s="123">
        <f t="shared" si="113"/>
        <v>13.75</v>
      </c>
    </row>
    <row r="45" spans="2:281" x14ac:dyDescent="0.15">
      <c r="B45" s="82" t="str">
        <f>'MODU 2025'!B48</f>
        <v>WALCH Vanessa </v>
      </c>
      <c r="C45" s="82" t="str">
        <f>'MODU 2025'!C48</f>
        <v>Production</v>
      </c>
      <c r="D45" s="82">
        <f>'MODU 2025'!D48</f>
        <v>37</v>
      </c>
      <c r="E45" s="82"/>
      <c r="F45" s="133">
        <f>'MODU 2025'!G48</f>
        <v>33</v>
      </c>
      <c r="G45" s="140">
        <f>'MODU 2025'!H48</f>
        <v>41</v>
      </c>
      <c r="H45" s="140">
        <f>'MODU 2025'!I48</f>
        <v>33</v>
      </c>
      <c r="I45" s="140">
        <f>'MODU 2025'!J48</f>
        <v>41.25</v>
      </c>
      <c r="J45" s="140">
        <f>'MODU 2025'!K48</f>
        <v>40.75</v>
      </c>
      <c r="K45" s="140">
        <f>'MODU 2025'!L48</f>
        <v>41.25</v>
      </c>
      <c r="L45" s="140">
        <f>'MODU 2025'!M48</f>
        <v>40.75</v>
      </c>
      <c r="M45" s="140">
        <f>'MODU 2025'!N48</f>
        <v>41.25</v>
      </c>
      <c r="N45" s="140">
        <f>'MODU 2025'!O48</f>
        <v>40.75</v>
      </c>
      <c r="O45" s="140">
        <f>'MODU 2025'!P48</f>
        <v>41.25</v>
      </c>
      <c r="P45" s="140">
        <f>'MODU 2025'!Q48</f>
        <v>33</v>
      </c>
      <c r="Q45" s="140">
        <f>'MODU 2025'!R48</f>
        <v>41</v>
      </c>
      <c r="R45" s="140">
        <f>'MODU 2025'!S48</f>
        <v>33</v>
      </c>
      <c r="S45" s="140">
        <f>'MODU 2025'!T48</f>
        <v>41</v>
      </c>
      <c r="T45" s="140">
        <f>'MODU 2025'!U48</f>
        <v>33</v>
      </c>
      <c r="U45" s="140">
        <f>'MODU 2025'!V48</f>
        <v>41</v>
      </c>
      <c r="V45" s="140">
        <f>'MODU 2025'!W48</f>
        <v>33</v>
      </c>
      <c r="W45" s="140">
        <f>'MODU 2025'!X48</f>
        <v>41</v>
      </c>
      <c r="X45" s="140">
        <f>'MODU 2025'!Y48</f>
        <v>33</v>
      </c>
      <c r="Y45" s="140">
        <f>'MODU 2025'!Z48</f>
        <v>41</v>
      </c>
      <c r="Z45" s="140">
        <f>'MODU 2025'!AA48</f>
        <v>33</v>
      </c>
      <c r="AA45" s="140">
        <f>'MODU 2025'!AB48</f>
        <v>41</v>
      </c>
      <c r="AB45" s="140">
        <f>'MODU 2025'!AC48</f>
        <v>33</v>
      </c>
      <c r="AC45" s="140">
        <f>'MODU 2025'!AD48</f>
        <v>41</v>
      </c>
      <c r="AD45" s="140">
        <f>'MODU 2025'!AE48</f>
        <v>33</v>
      </c>
      <c r="AE45" s="140">
        <f>'MODU 2025'!AF48</f>
        <v>41</v>
      </c>
      <c r="AF45" s="140">
        <f>'MODU 2025'!AG48</f>
        <v>33</v>
      </c>
      <c r="AG45" s="140">
        <f>'MODU 2025'!AH48</f>
        <v>41</v>
      </c>
      <c r="AH45" s="140">
        <f>'MODU 2025'!AI48</f>
        <v>33</v>
      </c>
      <c r="AI45" s="140">
        <f>'MODU 2025'!AJ48</f>
        <v>41</v>
      </c>
      <c r="AJ45" s="140">
        <f>'MODU 2025'!AK48</f>
        <v>33</v>
      </c>
      <c r="AK45" s="140">
        <f>'MODU 2025'!AL48</f>
        <v>41</v>
      </c>
      <c r="AL45" s="140">
        <f>'MODU 2025'!AM48</f>
        <v>33</v>
      </c>
      <c r="AM45" s="140">
        <f>'MODU 2025'!AN48</f>
        <v>41</v>
      </c>
      <c r="AN45" s="140">
        <f>'MODU 2025'!AO48</f>
        <v>33</v>
      </c>
      <c r="AO45" s="140">
        <f>'MODU 2025'!AP48</f>
        <v>41</v>
      </c>
      <c r="AP45" s="140">
        <f>'MODU 2025'!AQ48</f>
        <v>33</v>
      </c>
      <c r="AQ45" s="140">
        <f>'MODU 2025'!AR48</f>
        <v>41</v>
      </c>
      <c r="AR45" s="140">
        <f>'MODU 2025'!AS48</f>
        <v>33</v>
      </c>
      <c r="AS45" s="140">
        <f>'MODU 2025'!AT48</f>
        <v>41</v>
      </c>
      <c r="AT45" s="140">
        <f>'MODU 2025'!AU48</f>
        <v>33</v>
      </c>
      <c r="AU45" s="140">
        <f>'MODU 2025'!AV48</f>
        <v>41</v>
      </c>
      <c r="AV45" s="140">
        <f>'MODU 2025'!AW48</f>
        <v>33</v>
      </c>
      <c r="AW45" s="140">
        <f>'MODU 2025'!AX48</f>
        <v>41</v>
      </c>
      <c r="AX45" s="140">
        <f>'MODU 2025'!AY48</f>
        <v>33</v>
      </c>
      <c r="AY45" s="140">
        <f>'MODU 2025'!AZ48</f>
        <v>41</v>
      </c>
      <c r="AZ45" s="140">
        <f>'MODU 2025'!BA48</f>
        <v>33</v>
      </c>
      <c r="BA45" s="140">
        <f>'MODU 2025'!BB48</f>
        <v>41</v>
      </c>
      <c r="BB45" s="140">
        <f>'MODU 2025'!BC48</f>
        <v>33</v>
      </c>
      <c r="BC45" s="140">
        <f>'MODU 2025'!BD48</f>
        <v>41</v>
      </c>
      <c r="BD45" s="140">
        <f>'MODU 2025'!BE48</f>
        <v>33</v>
      </c>
      <c r="BE45" s="134">
        <f>'MODU 2025'!BF48</f>
        <v>41</v>
      </c>
      <c r="BF45" s="82"/>
      <c r="BG45" s="107">
        <v>33</v>
      </c>
      <c r="BH45" s="145">
        <v>41</v>
      </c>
      <c r="BI45" s="145">
        <v>33</v>
      </c>
      <c r="BJ45" s="145">
        <v>41</v>
      </c>
      <c r="BK45" s="145">
        <v>33</v>
      </c>
      <c r="BL45" s="145">
        <v>41</v>
      </c>
      <c r="BM45" s="145">
        <v>33</v>
      </c>
      <c r="BN45" s="145">
        <v>41</v>
      </c>
      <c r="BO45" s="145">
        <v>33</v>
      </c>
      <c r="BP45" s="145">
        <v>41</v>
      </c>
      <c r="BQ45" s="145">
        <v>33</v>
      </c>
      <c r="BR45" s="145">
        <v>41</v>
      </c>
      <c r="BS45" s="145">
        <v>33</v>
      </c>
      <c r="BT45" s="145">
        <v>41</v>
      </c>
      <c r="BU45" s="145">
        <v>33</v>
      </c>
      <c r="BV45" s="145">
        <v>41</v>
      </c>
      <c r="BW45" s="145">
        <v>33</v>
      </c>
      <c r="BX45" s="145">
        <v>41</v>
      </c>
      <c r="BY45" s="145">
        <v>33</v>
      </c>
      <c r="BZ45" s="145">
        <v>41</v>
      </c>
      <c r="CA45" s="145">
        <v>33</v>
      </c>
      <c r="CB45" s="145">
        <v>41</v>
      </c>
      <c r="CC45" s="145">
        <v>33</v>
      </c>
      <c r="CD45" s="145">
        <v>41</v>
      </c>
      <c r="CE45" s="145">
        <v>33</v>
      </c>
      <c r="CF45" s="145">
        <v>41</v>
      </c>
      <c r="CG45" s="145">
        <v>33</v>
      </c>
      <c r="CH45" s="145">
        <v>41</v>
      </c>
      <c r="CI45" s="145">
        <v>33</v>
      </c>
      <c r="CJ45" s="145">
        <v>41</v>
      </c>
      <c r="CK45" s="145">
        <v>33</v>
      </c>
      <c r="CL45" s="145">
        <v>41</v>
      </c>
      <c r="CM45" s="145">
        <v>33</v>
      </c>
      <c r="CN45" s="145">
        <v>41</v>
      </c>
      <c r="CO45" s="145">
        <v>33</v>
      </c>
      <c r="CP45" s="145">
        <v>41</v>
      </c>
      <c r="CQ45" s="145">
        <v>33</v>
      </c>
      <c r="CR45" s="145">
        <v>41</v>
      </c>
      <c r="CS45" s="145">
        <v>33</v>
      </c>
      <c r="CT45" s="145">
        <v>41</v>
      </c>
      <c r="CU45" s="145">
        <v>33</v>
      </c>
      <c r="CV45" s="145">
        <v>41</v>
      </c>
      <c r="CW45" s="145">
        <v>33</v>
      </c>
      <c r="CX45" s="145">
        <v>41</v>
      </c>
      <c r="CY45" s="145">
        <v>33</v>
      </c>
      <c r="CZ45" s="145">
        <v>41</v>
      </c>
      <c r="DA45" s="145">
        <v>33</v>
      </c>
      <c r="DB45" s="145">
        <v>41</v>
      </c>
      <c r="DC45" s="145">
        <v>33</v>
      </c>
      <c r="DD45" s="145">
        <v>41</v>
      </c>
      <c r="DE45" s="145">
        <v>33</v>
      </c>
      <c r="DF45" s="108">
        <v>41</v>
      </c>
      <c r="DG45" s="84"/>
      <c r="DH45" s="112">
        <f t="shared" si="3"/>
        <v>0</v>
      </c>
      <c r="DI45" s="138">
        <f t="shared" si="4"/>
        <v>0</v>
      </c>
      <c r="DJ45" s="138">
        <f t="shared" si="5"/>
        <v>0</v>
      </c>
      <c r="DK45" s="138">
        <f t="shared" si="6"/>
        <v>0.25</v>
      </c>
      <c r="DL45" s="138">
        <f t="shared" si="7"/>
        <v>0</v>
      </c>
      <c r="DM45" s="138">
        <f t="shared" si="8"/>
        <v>8</v>
      </c>
      <c r="DN45" s="138">
        <f t="shared" si="9"/>
        <v>0</v>
      </c>
      <c r="DO45" s="138">
        <f t="shared" si="10"/>
        <v>8</v>
      </c>
      <c r="DP45" s="138">
        <f t="shared" si="11"/>
        <v>0</v>
      </c>
      <c r="DQ45" s="138">
        <f t="shared" si="12"/>
        <v>8</v>
      </c>
      <c r="DR45" s="138">
        <f t="shared" si="13"/>
        <v>0</v>
      </c>
      <c r="DS45" s="138">
        <f t="shared" si="14"/>
        <v>0</v>
      </c>
      <c r="DT45" s="138">
        <f t="shared" si="15"/>
        <v>0</v>
      </c>
      <c r="DU45" s="138">
        <f t="shared" si="16"/>
        <v>0</v>
      </c>
      <c r="DV45" s="138">
        <f t="shared" si="17"/>
        <v>0</v>
      </c>
      <c r="DW45" s="138">
        <f t="shared" si="18"/>
        <v>0</v>
      </c>
      <c r="DX45" s="138">
        <f t="shared" si="19"/>
        <v>0</v>
      </c>
      <c r="DY45" s="138">
        <f t="shared" si="20"/>
        <v>0</v>
      </c>
      <c r="DZ45" s="138">
        <f t="shared" si="21"/>
        <v>0</v>
      </c>
      <c r="EA45" s="138">
        <f t="shared" si="22"/>
        <v>0</v>
      </c>
      <c r="EB45" s="138">
        <f t="shared" si="23"/>
        <v>0</v>
      </c>
      <c r="EC45" s="138">
        <f t="shared" si="24"/>
        <v>0</v>
      </c>
      <c r="ED45" s="138">
        <f t="shared" si="25"/>
        <v>0</v>
      </c>
      <c r="EE45" s="138">
        <f t="shared" si="26"/>
        <v>0</v>
      </c>
      <c r="EF45" s="138">
        <f t="shared" si="27"/>
        <v>0</v>
      </c>
      <c r="EG45" s="138">
        <f t="shared" si="28"/>
        <v>0</v>
      </c>
      <c r="EH45" s="138">
        <f t="shared" si="29"/>
        <v>0</v>
      </c>
      <c r="EI45" s="138">
        <f t="shared" si="30"/>
        <v>0</v>
      </c>
      <c r="EJ45" s="138">
        <f t="shared" si="31"/>
        <v>0</v>
      </c>
      <c r="EK45" s="138">
        <f t="shared" si="32"/>
        <v>0</v>
      </c>
      <c r="EL45" s="138">
        <f t="shared" si="33"/>
        <v>0</v>
      </c>
      <c r="EM45" s="138">
        <f t="shared" si="34"/>
        <v>0</v>
      </c>
      <c r="EN45" s="138">
        <f t="shared" si="35"/>
        <v>0</v>
      </c>
      <c r="EO45" s="138">
        <f t="shared" si="36"/>
        <v>0</v>
      </c>
      <c r="EP45" s="138">
        <f t="shared" si="37"/>
        <v>0</v>
      </c>
      <c r="EQ45" s="138">
        <f t="shared" si="38"/>
        <v>0</v>
      </c>
      <c r="ER45" s="138">
        <f t="shared" si="39"/>
        <v>0</v>
      </c>
      <c r="ES45" s="138">
        <f t="shared" si="40"/>
        <v>0</v>
      </c>
      <c r="ET45" s="138">
        <f t="shared" si="41"/>
        <v>0</v>
      </c>
      <c r="EU45" s="138">
        <f t="shared" si="42"/>
        <v>0</v>
      </c>
      <c r="EV45" s="138">
        <f t="shared" si="43"/>
        <v>0</v>
      </c>
      <c r="EW45" s="138">
        <f t="shared" si="44"/>
        <v>0</v>
      </c>
      <c r="EX45" s="138">
        <f t="shared" si="45"/>
        <v>0</v>
      </c>
      <c r="EY45" s="138">
        <f t="shared" si="46"/>
        <v>0</v>
      </c>
      <c r="EZ45" s="138">
        <f t="shared" si="47"/>
        <v>0</v>
      </c>
      <c r="FA45" s="138">
        <f t="shared" si="48"/>
        <v>0</v>
      </c>
      <c r="FB45" s="138">
        <f t="shared" si="49"/>
        <v>0</v>
      </c>
      <c r="FC45" s="138">
        <f t="shared" si="50"/>
        <v>0</v>
      </c>
      <c r="FD45" s="138">
        <f t="shared" si="51"/>
        <v>0</v>
      </c>
      <c r="FE45" s="138">
        <f t="shared" si="52"/>
        <v>0</v>
      </c>
      <c r="FF45" s="138">
        <f t="shared" si="53"/>
        <v>0</v>
      </c>
      <c r="FG45" s="113">
        <f t="shared" si="54"/>
        <v>0</v>
      </c>
      <c r="FH45" s="113">
        <f t="shared" si="55"/>
        <v>24.25</v>
      </c>
      <c r="FI45" s="35"/>
      <c r="FJ45" s="151" cm="1">
        <f t="array" ref="FJ45">IF($C45="Production",
IFERROR(_xlfn.IFS(AND(DH45&gt;0,DH45+SUM(BF45:BG45)&lt;=$FM$3),DH45,AND(DH45&gt;0,DH45+SUM(BF45:BG45)&gt;$FM$3),$FM$3-SUM(BF45:BG45)),0),
IFERROR(_xlfn.IFS(AND(DH45&gt;0,DH45+BG45&lt;=$FK$3),DH45,AND(DH45&gt;0,DH45+BG45&gt;$FK$3),0),0)
)</f>
        <v>0</v>
      </c>
      <c r="FK45" s="152" cm="1">
        <f t="array" ref="FK45">IF($C45="Production",
IFERROR(_xlfn.IFS(AND(DI45&gt;0,DI45+SUM(BG45:BH45)&lt;=$FM$3),DI45,AND(DI45&gt;0,DI45+SUM(BG45:BH45)&gt;$FM$3),$FM$3-SUM(BG45:BH45)),0),
IFERROR(_xlfn.IFS(AND(DI45&gt;0,DI45+BH45&lt;=$FK$3),DI45,AND(DI45&gt;0,DI45+BH45&gt;$FK$3),0),0)
)</f>
        <v>0</v>
      </c>
      <c r="FL45" s="152" cm="1">
        <f t="array" ref="FL45">IF($C45="Production",
IFERROR(_xlfn.IFS(AND(DJ45&gt;0,DJ45+SUM(BH45:BI45)&lt;=$FM$3),DJ45,AND(DJ45&gt;0,DJ45+SUM(BH45:BI45)&gt;$FM$3),$FM$3-SUM(BH45:BI45)),0),
IFERROR(_xlfn.IFS(AND(DJ45&gt;0,DJ45+BI45&lt;=$FK$3),DJ45,AND(DJ45&gt;0,DJ45+BI45&gt;$FK$3),0),0)
)</f>
        <v>0</v>
      </c>
      <c r="FM45" s="152" cm="1">
        <f t="array" ref="FM45">IF($C45="Production",
IFERROR(_xlfn.IFS(AND(DK45&gt;0,DK45+SUM(BI45:BJ45)&lt;=$FM$3),DK45,AND(DK45&gt;0,DK45+SUM(BI45:BJ45)&gt;$FM$3),$FM$3-SUM(BI45:BJ45)),0),
IFERROR(_xlfn.IFS(AND(DK45&gt;0,DK45+BJ45&lt;=$FK$3),DK45,AND(DK45&gt;0,DK45+BJ45&gt;$FK$3),0),0)
)</f>
        <v>0.25</v>
      </c>
      <c r="FN45" s="152" cm="1">
        <f t="array" ref="FN45">IF($C45="Production",
IFERROR(_xlfn.IFS(AND(DL45&gt;0,DL45+SUM(BJ45:BK45)&lt;=$FM$3),DL45,AND(DL45&gt;0,DL45+SUM(BJ45:BK45)&gt;$FM$3),$FM$3-SUM(BJ45:BK45)),0),
IFERROR(_xlfn.IFS(AND(DL45&gt;0,DL45+BK45&lt;=$FK$3),DL45,AND(DL45&gt;0,DL45+BK45&gt;$FK$3),0),0)
)</f>
        <v>0</v>
      </c>
      <c r="FO45" s="152" cm="1">
        <f t="array" ref="FO45">IF($C45="Production",
IFERROR(_xlfn.IFS(AND(DM45&gt;0,DM45+SUM(BK45:BL45)&lt;=$FM$3),DM45,AND(DM45&gt;0,DM45+SUM(BK45:BL45)&gt;$FM$3),$FM$3-SUM(BK45:BL45)),0),
IFERROR(_xlfn.IFS(AND(DM45&gt;0,DM45+BL45&lt;=$FK$3),DM45,AND(DM45&gt;0,DM45+BL45&gt;$FK$3),0),0)
)</f>
        <v>8</v>
      </c>
      <c r="FP45" s="152" cm="1">
        <f t="array" ref="FP45">IF($C45="Production",
IFERROR(_xlfn.IFS(AND(DN45&gt;0,DN45+SUM(BL45:BM45)&lt;=$FM$3),DN45,AND(DN45&gt;0,DN45+SUM(BL45:BM45)&gt;$FM$3),$FM$3-SUM(BL45:BM45)),0),
IFERROR(_xlfn.IFS(AND(DN45&gt;0,DN45+BM45&lt;=$FK$3),DN45,AND(DN45&gt;0,DN45+BM45&gt;$FK$3),0),0)
)</f>
        <v>0</v>
      </c>
      <c r="FQ45" s="152" cm="1">
        <f t="array" ref="FQ45">IF($C45="Production",
IFERROR(_xlfn.IFS(AND(DO45&gt;0,DO45+SUM(BM45:BN45)&lt;=$FM$3),DO45,AND(DO45&gt;0,DO45+SUM(BM45:BN45)&gt;$FM$3),$FM$3-SUM(BM45:BN45)),0),
IFERROR(_xlfn.IFS(AND(DO45&gt;0,DO45+BN45&lt;=$FK$3),DO45,AND(DO45&gt;0,DO45+BN45&gt;$FK$3),0),0)
)</f>
        <v>8</v>
      </c>
      <c r="FR45" s="152" cm="1">
        <f t="array" ref="FR45">IF($C45="Production",
IFERROR(_xlfn.IFS(AND(DP45&gt;0,DP45+SUM(BN45:BO45)&lt;=$FM$3),DP45,AND(DP45&gt;0,DP45+SUM(BN45:BO45)&gt;$FM$3),$FM$3-SUM(BN45:BO45)),0),
IFERROR(_xlfn.IFS(AND(DP45&gt;0,DP45+BO45&lt;=$FK$3),DP45,AND(DP45&gt;0,DP45+BO45&gt;$FK$3),0),0)
)</f>
        <v>0</v>
      </c>
      <c r="FS45" s="152" cm="1">
        <f t="array" ref="FS45">IF($C45="Production",
IFERROR(_xlfn.IFS(AND(DQ45&gt;0,DQ45+SUM(BO45:BP45)&lt;=$FM$3),DQ45,AND(DQ45&gt;0,DQ45+SUM(BO45:BP45)&gt;$FM$3),$FM$3-SUM(BO45:BP45)),0),
IFERROR(_xlfn.IFS(AND(DQ45&gt;0,DQ45+BP45&lt;=$FK$3),DQ45,AND(DQ45&gt;0,DQ45+BP45&gt;$FK$3),0),0)
)</f>
        <v>8</v>
      </c>
      <c r="FT45" s="152" cm="1">
        <f t="array" ref="FT45">IF($C45="Production",
IFERROR(_xlfn.IFS(AND(DR45&gt;0,DR45+SUM(BP45:BQ45)&lt;=$FM$3),DR45,AND(DR45&gt;0,DR45+SUM(BP45:BQ45)&gt;$FM$3),$FM$3-SUM(BP45:BQ45)),0),
IFERROR(_xlfn.IFS(AND(DR45&gt;0,DR45+BQ45&lt;=$FK$3),DR45,AND(DR45&gt;0,DR45+BQ45&gt;$FK$3),0),0)
)</f>
        <v>0</v>
      </c>
      <c r="FU45" s="152" cm="1">
        <f t="array" ref="FU45">IF($C45="Production",
IFERROR(_xlfn.IFS(AND(DS45&gt;0,DS45+SUM(BQ45:BR45)&lt;=$FM$3),DS45,AND(DS45&gt;0,DS45+SUM(BQ45:BR45)&gt;$FM$3),$FM$3-SUM(BQ45:BR45)),0),
IFERROR(_xlfn.IFS(AND(DS45&gt;0,DS45+BR45&lt;=$FK$3),DS45,AND(DS45&gt;0,DS45+BR45&gt;$FK$3),0),0)
)</f>
        <v>0</v>
      </c>
      <c r="FV45" s="152" cm="1">
        <f t="array" ref="FV45">IF($C45="Production",
IFERROR(_xlfn.IFS(AND(DT45&gt;0,DT45+SUM(BR45:BS45)&lt;=$FM$3),DT45,AND(DT45&gt;0,DT45+SUM(BR45:BS45)&gt;$FM$3),$FM$3-SUM(BR45:BS45)),0),
IFERROR(_xlfn.IFS(AND(DT45&gt;0,DT45+BS45&lt;=$FK$3),DT45,AND(DT45&gt;0,DT45+BS45&gt;$FK$3),0),0)
)</f>
        <v>0</v>
      </c>
      <c r="FW45" s="152" cm="1">
        <f t="array" ref="FW45">IF($C45="Production",
IFERROR(_xlfn.IFS(AND(DU45&gt;0,DU45+SUM(BS45:BT45)&lt;=$FM$3),DU45,AND(DU45&gt;0,DU45+SUM(BS45:BT45)&gt;$FM$3),$FM$3-SUM(BS45:BT45)),0),
IFERROR(_xlfn.IFS(AND(DU45&gt;0,DU45+BT45&lt;=$FK$3),DU45,AND(DU45&gt;0,DU45+BT45&gt;$FK$3),0),0)
)</f>
        <v>0</v>
      </c>
      <c r="FX45" s="152" cm="1">
        <f t="array" ref="FX45">IF($C45="Production",
IFERROR(_xlfn.IFS(AND(DV45&gt;0,DV45+SUM(BT45:BU45)&lt;=$FM$3),DV45,AND(DV45&gt;0,DV45+SUM(BT45:BU45)&gt;$FM$3),$FM$3-SUM(BT45:BU45)),0),
IFERROR(_xlfn.IFS(AND(DV45&gt;0,DV45+BU45&lt;=$FK$3),DV45,AND(DV45&gt;0,DV45+BU45&gt;$FK$3),0),0)
)</f>
        <v>0</v>
      </c>
      <c r="FY45" s="152" cm="1">
        <f t="array" ref="FY45">IF($C45="Production",
IFERROR(_xlfn.IFS(AND(DW45&gt;0,DW45+SUM(BU45:BV45)&lt;=$FM$3),DW45,AND(DW45&gt;0,DW45+SUM(BU45:BV45)&gt;$FM$3),$FM$3-SUM(BU45:BV45)),0),
IFERROR(_xlfn.IFS(AND(DW45&gt;0,DW45+BV45&lt;=$FK$3),DW45,AND(DW45&gt;0,DW45+BV45&gt;$FK$3),0),0)
)</f>
        <v>0</v>
      </c>
      <c r="FZ45" s="152" cm="1">
        <f t="array" ref="FZ45">IF($C45="Production",
IFERROR(_xlfn.IFS(AND(DX45&gt;0,DX45+SUM(BV45:BW45)&lt;=$FM$3),DX45,AND(DX45&gt;0,DX45+SUM(BV45:BW45)&gt;$FM$3),$FM$3-SUM(BV45:BW45)),0),
IFERROR(_xlfn.IFS(AND(DX45&gt;0,DX45+BW45&lt;=$FK$3),DX45,AND(DX45&gt;0,DX45+BW45&gt;$FK$3),0),0)
)</f>
        <v>0</v>
      </c>
      <c r="GA45" s="152" cm="1">
        <f t="array" ref="GA45">IF($C45="Production",
IFERROR(_xlfn.IFS(AND(DY45&gt;0,DY45+SUM(BW45:BX45)&lt;=$FM$3),DY45,AND(DY45&gt;0,DY45+SUM(BW45:BX45)&gt;$FM$3),$FM$3-SUM(BW45:BX45)),0),
IFERROR(_xlfn.IFS(AND(DY45&gt;0,DY45+BX45&lt;=$FK$3),DY45,AND(DY45&gt;0,DY45+BX45&gt;$FK$3),0),0)
)</f>
        <v>0</v>
      </c>
      <c r="GB45" s="152" cm="1">
        <f t="array" ref="GB45">IF($C45="Production",
IFERROR(_xlfn.IFS(AND(DZ45&gt;0,DZ45+SUM(BX45:BY45)&lt;=$FM$3),DZ45,AND(DZ45&gt;0,DZ45+SUM(BX45:BY45)&gt;$FM$3),$FM$3-SUM(BX45:BY45)),0),
IFERROR(_xlfn.IFS(AND(DZ45&gt;0,DZ45+BY45&lt;=$FK$3),DZ45,AND(DZ45&gt;0,DZ45+BY45&gt;$FK$3),0),0)
)</f>
        <v>0</v>
      </c>
      <c r="GC45" s="152" cm="1">
        <f t="array" ref="GC45">IF($C45="Production",
IFERROR(_xlfn.IFS(AND(EA45&gt;0,EA45+SUM(BY45:BZ45)&lt;=$FM$3),EA45,AND(EA45&gt;0,EA45+SUM(BY45:BZ45)&gt;$FM$3),$FM$3-SUM(BY45:BZ45)),0),
IFERROR(_xlfn.IFS(AND(EA45&gt;0,EA45+BZ45&lt;=$FK$3),EA45,AND(EA45&gt;0,EA45+BZ45&gt;$FK$3),0),0)
)</f>
        <v>0</v>
      </c>
      <c r="GD45" s="152" cm="1">
        <f t="array" ref="GD45">IF($C45="Production",
IFERROR(_xlfn.IFS(AND(EB45&gt;0,EB45+SUM(BZ45:CA45)&lt;=$FM$3),EB45,AND(EB45&gt;0,EB45+SUM(BZ45:CA45)&gt;$FM$3),$FM$3-SUM(BZ45:CA45)),0),
IFERROR(_xlfn.IFS(AND(EB45&gt;0,EB45+CA45&lt;=$FK$3),EB45,AND(EB45&gt;0,EB45+CA45&gt;$FK$3),0),0)
)</f>
        <v>0</v>
      </c>
      <c r="GE45" s="152" cm="1">
        <f t="array" ref="GE45">IF($C45="Production",
IFERROR(_xlfn.IFS(AND(EC45&gt;0,EC45+SUM(CA45:CB45)&lt;=$FM$3),EC45,AND(EC45&gt;0,EC45+SUM(CA45:CB45)&gt;$FM$3),$FM$3-SUM(CA45:CB45)),0),
IFERROR(_xlfn.IFS(AND(EC45&gt;0,EC45+CB45&lt;=$FK$3),EC45,AND(EC45&gt;0,EC45+CB45&gt;$FK$3),0),0)
)</f>
        <v>0</v>
      </c>
      <c r="GF45" s="152" cm="1">
        <f t="array" ref="GF45">IF($C45="Production",
IFERROR(_xlfn.IFS(AND(ED45&gt;0,ED45+SUM(CB45:CC45)&lt;=$FM$3),ED45,AND(ED45&gt;0,ED45+SUM(CB45:CC45)&gt;$FM$3),$FM$3-SUM(CB45:CC45)),0),
IFERROR(_xlfn.IFS(AND(ED45&gt;0,ED45+CC45&lt;=$FK$3),ED45,AND(ED45&gt;0,ED45+CC45&gt;$FK$3),0),0)
)</f>
        <v>0</v>
      </c>
      <c r="GG45" s="152" cm="1">
        <f t="array" ref="GG45">IF($C45="Production",
IFERROR(_xlfn.IFS(AND(EE45&gt;0,EE45+SUM(CC45:CD45)&lt;=$FM$3),EE45,AND(EE45&gt;0,EE45+SUM(CC45:CD45)&gt;$FM$3),$FM$3-SUM(CC45:CD45)),0),
IFERROR(_xlfn.IFS(AND(EE45&gt;0,EE45+CD45&lt;=$FK$3),EE45,AND(EE45&gt;0,EE45+CD45&gt;$FK$3),0),0)
)</f>
        <v>0</v>
      </c>
      <c r="GH45" s="152" cm="1">
        <f t="array" ref="GH45">IF($C45="Production",
IFERROR(_xlfn.IFS(AND(EF45&gt;0,EF45+SUM(CD45:CE45)&lt;=$FM$3),EF45,AND(EF45&gt;0,EF45+SUM(CD45:CE45)&gt;$FM$3),$FM$3-SUM(CD45:CE45)),0),
IFERROR(_xlfn.IFS(AND(EF45&gt;0,EF45+CE45&lt;=$FK$3),EF45,AND(EF45&gt;0,EF45+CE45&gt;$FK$3),0),0)
)</f>
        <v>0</v>
      </c>
      <c r="GI45" s="152" cm="1">
        <f t="array" ref="GI45">IF($C45="Production",
IFERROR(_xlfn.IFS(AND(EG45&gt;0,EG45+SUM(CE45:CF45)&lt;=$FM$3),EG45,AND(EG45&gt;0,EG45+SUM(CE45:CF45)&gt;$FM$3),$FM$3-SUM(CE45:CF45)),0),
IFERROR(_xlfn.IFS(AND(EG45&gt;0,EG45+CF45&lt;=$FK$3),EG45,AND(EG45&gt;0,EG45+CF45&gt;$FK$3),0),0)
)</f>
        <v>0</v>
      </c>
      <c r="GJ45" s="152" cm="1">
        <f t="array" ref="GJ45">IF($C45="Production",
IFERROR(_xlfn.IFS(AND(EH45&gt;0,EH45+SUM(CF45:CG45)&lt;=$FM$3),EH45,AND(EH45&gt;0,EH45+SUM(CF45:CG45)&gt;$FM$3),$FM$3-SUM(CF45:CG45)),0),
IFERROR(_xlfn.IFS(AND(EH45&gt;0,EH45+CG45&lt;=$FK$3),EH45,AND(EH45&gt;0,EH45+CG45&gt;$FK$3),0),0)
)</f>
        <v>0</v>
      </c>
      <c r="GK45" s="152" cm="1">
        <f t="array" ref="GK45">IF($C45="Production",
IFERROR(_xlfn.IFS(AND(EI45&gt;0,EI45+SUM(CG45:CH45)&lt;=$FM$3),EI45,AND(EI45&gt;0,EI45+SUM(CG45:CH45)&gt;$FM$3),$FM$3-SUM(CG45:CH45)),0),
IFERROR(_xlfn.IFS(AND(EI45&gt;0,EI45+CH45&lt;=$FK$3),EI45,AND(EI45&gt;0,EI45+CH45&gt;$FK$3),0),0)
)</f>
        <v>0</v>
      </c>
      <c r="GL45" s="152" cm="1">
        <f t="array" ref="GL45">IF($C45="Production",
IFERROR(_xlfn.IFS(AND(EJ45&gt;0,EJ45+SUM(CH45:CI45)&lt;=$FM$3),EJ45,AND(EJ45&gt;0,EJ45+SUM(CH45:CI45)&gt;$FM$3),$FM$3-SUM(CH45:CI45)),0),
IFERROR(_xlfn.IFS(AND(EJ45&gt;0,EJ45+CI45&lt;=$FK$3),EJ45,AND(EJ45&gt;0,EJ45+CI45&gt;$FK$3),0),0)
)</f>
        <v>0</v>
      </c>
      <c r="GM45" s="152" cm="1">
        <f t="array" ref="GM45">IF($C45="Production",
IFERROR(_xlfn.IFS(AND(EK45&gt;0,EK45+SUM(CI45:CJ45)&lt;=$FM$3),EK45,AND(EK45&gt;0,EK45+SUM(CI45:CJ45)&gt;$FM$3),$FM$3-SUM(CI45:CJ45)),0),
IFERROR(_xlfn.IFS(AND(EK45&gt;0,EK45+CJ45&lt;=$FK$3),EK45,AND(EK45&gt;0,EK45+CJ45&gt;$FK$3),0),0)
)</f>
        <v>0</v>
      </c>
      <c r="GN45" s="152" cm="1">
        <f t="array" ref="GN45">IF($C45="Production",
IFERROR(_xlfn.IFS(AND(EL45&gt;0,EL45+SUM(CJ45:CK45)&lt;=$FM$3),EL45,AND(EL45&gt;0,EL45+SUM(CJ45:CK45)&gt;$FM$3),$FM$3-SUM(CJ45:CK45)),0),
IFERROR(_xlfn.IFS(AND(EL45&gt;0,EL45+CK45&lt;=$FK$3),EL45,AND(EL45&gt;0,EL45+CK45&gt;$FK$3),0),0)
)</f>
        <v>0</v>
      </c>
      <c r="GO45" s="152" cm="1">
        <f t="array" ref="GO45">IF($C45="Production",
IFERROR(_xlfn.IFS(AND(EM45&gt;0,EM45+SUM(CK45:CL45)&lt;=$FM$3),EM45,AND(EM45&gt;0,EM45+SUM(CK45:CL45)&gt;$FM$3),$FM$3-SUM(CK45:CL45)),0),
IFERROR(_xlfn.IFS(AND(EM45&gt;0,EM45+CL45&lt;=$FK$3),EM45,AND(EM45&gt;0,EM45+CL45&gt;$FK$3),0),0)
)</f>
        <v>0</v>
      </c>
      <c r="GP45" s="152" cm="1">
        <f t="array" ref="GP45">IF($C45="Production",
IFERROR(_xlfn.IFS(AND(EN45&gt;0,EN45+SUM(CL45:CM45)&lt;=$FM$3),EN45,AND(EN45&gt;0,EN45+SUM(CL45:CM45)&gt;$FM$3),$FM$3-SUM(CL45:CM45)),0),
IFERROR(_xlfn.IFS(AND(EN45&gt;0,EN45+CM45&lt;=$FK$3),EN45,AND(EN45&gt;0,EN45+CM45&gt;$FK$3),0),0)
)</f>
        <v>0</v>
      </c>
      <c r="GQ45" s="152" cm="1">
        <f t="array" ref="GQ45">IF($C45="Production",
IFERROR(_xlfn.IFS(AND(EO45&gt;0,EO45+SUM(CM45:CN45)&lt;=$FM$3),EO45,AND(EO45&gt;0,EO45+SUM(CM45:CN45)&gt;$FM$3),$FM$3-SUM(CM45:CN45)),0),
IFERROR(_xlfn.IFS(AND(EO45&gt;0,EO45+CN45&lt;=$FK$3),EO45,AND(EO45&gt;0,EO45+CN45&gt;$FK$3),0),0)
)</f>
        <v>0</v>
      </c>
      <c r="GR45" s="152" cm="1">
        <f t="array" ref="GR45">IF($C45="Production",
IFERROR(_xlfn.IFS(AND(EP45&gt;0,EP45+SUM(CN45:CO45)&lt;=$FM$3),EP45,AND(EP45&gt;0,EP45+SUM(CN45:CO45)&gt;$FM$3),$FM$3-SUM(CN45:CO45)),0),
IFERROR(_xlfn.IFS(AND(EP45&gt;0,EP45+CO45&lt;=$FK$3),EP45,AND(EP45&gt;0,EP45+CO45&gt;$FK$3),0),0)
)</f>
        <v>0</v>
      </c>
      <c r="GS45" s="152" cm="1">
        <f t="array" ref="GS45">IF($C45="Production",
IFERROR(_xlfn.IFS(AND(EQ45&gt;0,EQ45+SUM(CO45:CP45)&lt;=$FM$3),EQ45,AND(EQ45&gt;0,EQ45+SUM(CO45:CP45)&gt;$FM$3),$FM$3-SUM(CO45:CP45)),0),
IFERROR(_xlfn.IFS(AND(EQ45&gt;0,EQ45+CP45&lt;=$FK$3),EQ45,AND(EQ45&gt;0,EQ45+CP45&gt;$FK$3),0),0)
)</f>
        <v>0</v>
      </c>
      <c r="GT45" s="152" cm="1">
        <f t="array" ref="GT45">IF($C45="Production",
IFERROR(_xlfn.IFS(AND(ER45&gt;0,ER45+SUM(CP45:CQ45)&lt;=$FM$3),ER45,AND(ER45&gt;0,ER45+SUM(CP45:CQ45)&gt;$FM$3),$FM$3-SUM(CP45:CQ45)),0),
IFERROR(_xlfn.IFS(AND(ER45&gt;0,ER45+CQ45&lt;=$FK$3),ER45,AND(ER45&gt;0,ER45+CQ45&gt;$FK$3),0),0)
)</f>
        <v>0</v>
      </c>
      <c r="GU45" s="152" cm="1">
        <f t="array" ref="GU45">IF($C45="Production",
IFERROR(_xlfn.IFS(AND(ES45&gt;0,ES45+SUM(CQ45:CR45)&lt;=$FM$3),ES45,AND(ES45&gt;0,ES45+SUM(CQ45:CR45)&gt;$FM$3),$FM$3-SUM(CQ45:CR45)),0),
IFERROR(_xlfn.IFS(AND(ES45&gt;0,ES45+CR45&lt;=$FK$3),ES45,AND(ES45&gt;0,ES45+CR45&gt;$FK$3),0),0)
)</f>
        <v>0</v>
      </c>
      <c r="GV45" s="152" cm="1">
        <f t="array" ref="GV45">IF($C45="Production",
IFERROR(_xlfn.IFS(AND(ET45&gt;0,ET45+SUM(CR45:CS45)&lt;=$FM$3),ET45,AND(ET45&gt;0,ET45+SUM(CR45:CS45)&gt;$FM$3),$FM$3-SUM(CR45:CS45)),0),
IFERROR(_xlfn.IFS(AND(ET45&gt;0,ET45+CS45&lt;=$FK$3),ET45,AND(ET45&gt;0,ET45+CS45&gt;$FK$3),0),0)
)</f>
        <v>0</v>
      </c>
      <c r="GW45" s="152" cm="1">
        <f t="array" ref="GW45">IF($C45="Production",
IFERROR(_xlfn.IFS(AND(EU45&gt;0,EU45+SUM(CS45:CT45)&lt;=$FM$3),EU45,AND(EU45&gt;0,EU45+SUM(CS45:CT45)&gt;$FM$3),$FM$3-SUM(CS45:CT45)),0),
IFERROR(_xlfn.IFS(AND(EU45&gt;0,EU45+CT45&lt;=$FK$3),EU45,AND(EU45&gt;0,EU45+CT45&gt;$FK$3),0),0)
)</f>
        <v>0</v>
      </c>
      <c r="GX45" s="152" cm="1">
        <f t="array" ref="GX45">IF($C45="Production",
IFERROR(_xlfn.IFS(AND(EV45&gt;0,EV45+SUM(CT45:CU45)&lt;=$FM$3),EV45,AND(EV45&gt;0,EV45+SUM(CT45:CU45)&gt;$FM$3),$FM$3-SUM(CT45:CU45)),0),
IFERROR(_xlfn.IFS(AND(EV45&gt;0,EV45+CU45&lt;=$FK$3),EV45,AND(EV45&gt;0,EV45+CU45&gt;$FK$3),0),0)
)</f>
        <v>0</v>
      </c>
      <c r="GY45" s="152" cm="1">
        <f t="array" ref="GY45">IF($C45="Production",
IFERROR(_xlfn.IFS(AND(EW45&gt;0,EW45+SUM(CU45:CV45)&lt;=$FM$3),EW45,AND(EW45&gt;0,EW45+SUM(CU45:CV45)&gt;$FM$3),$FM$3-SUM(CU45:CV45)),0),
IFERROR(_xlfn.IFS(AND(EW45&gt;0,EW45+CV45&lt;=$FK$3),EW45,AND(EW45&gt;0,EW45+CV45&gt;$FK$3),0),0)
)</f>
        <v>0</v>
      </c>
      <c r="GZ45" s="152" cm="1">
        <f t="array" ref="GZ45">IF($C45="Production",
IFERROR(_xlfn.IFS(AND(EX45&gt;0,EX45+SUM(CV45:CW45)&lt;=$FM$3),EX45,AND(EX45&gt;0,EX45+SUM(CV45:CW45)&gt;$FM$3),$FM$3-SUM(CV45:CW45)),0),
IFERROR(_xlfn.IFS(AND(EX45&gt;0,EX45+CW45&lt;=$FK$3),EX45,AND(EX45&gt;0,EX45+CW45&gt;$FK$3),0),0)
)</f>
        <v>0</v>
      </c>
      <c r="HA45" s="152" cm="1">
        <f t="array" ref="HA45">IF($C45="Production",
IFERROR(_xlfn.IFS(AND(EY45&gt;0,EY45+SUM(CW45:CX45)&lt;=$FM$3),EY45,AND(EY45&gt;0,EY45+SUM(CW45:CX45)&gt;$FM$3),$FM$3-SUM(CW45:CX45)),0),
IFERROR(_xlfn.IFS(AND(EY45&gt;0,EY45+CX45&lt;=$FK$3),EY45,AND(EY45&gt;0,EY45+CX45&gt;$FK$3),0),0)
)</f>
        <v>0</v>
      </c>
      <c r="HB45" s="152" cm="1">
        <f t="array" ref="HB45">IF($C45="Production",
IFERROR(_xlfn.IFS(AND(EZ45&gt;0,EZ45+SUM(CX45:CY45)&lt;=$FM$3),EZ45,AND(EZ45&gt;0,EZ45+SUM(CX45:CY45)&gt;$FM$3),$FM$3-SUM(CX45:CY45)),0),
IFERROR(_xlfn.IFS(AND(EZ45&gt;0,EZ45+CY45&lt;=$FK$3),EZ45,AND(EZ45&gt;0,EZ45+CY45&gt;$FK$3),0),0)
)</f>
        <v>0</v>
      </c>
      <c r="HC45" s="152" cm="1">
        <f t="array" ref="HC45">IF($C45="Production",
IFERROR(_xlfn.IFS(AND(FA45&gt;0,FA45+SUM(CY45:CZ45)&lt;=$FM$3),FA45,AND(FA45&gt;0,FA45+SUM(CY45:CZ45)&gt;$FM$3),$FM$3-SUM(CY45:CZ45)),0),
IFERROR(_xlfn.IFS(AND(FA45&gt;0,FA45+CZ45&lt;=$FK$3),FA45,AND(FA45&gt;0,FA45+CZ45&gt;$FK$3),0),0)
)</f>
        <v>0</v>
      </c>
      <c r="HD45" s="152" cm="1">
        <f t="array" ref="HD45">IF($C45="Production",
IFERROR(_xlfn.IFS(AND(FB45&gt;0,FB45+SUM(CZ45:DA45)&lt;=$FM$3),FB45,AND(FB45&gt;0,FB45+SUM(CZ45:DA45)&gt;$FM$3),$FM$3-SUM(CZ45:DA45)),0),
IFERROR(_xlfn.IFS(AND(FB45&gt;0,FB45+DA45&lt;=$FK$3),FB45,AND(FB45&gt;0,FB45+DA45&gt;$FK$3),0),0)
)</f>
        <v>0</v>
      </c>
      <c r="HE45" s="152" cm="1">
        <f t="array" ref="HE45">IF($C45="Production",
IFERROR(_xlfn.IFS(AND(FC45&gt;0,FC45+SUM(DA45:DB45)&lt;=$FM$3),FC45,AND(FC45&gt;0,FC45+SUM(DA45:DB45)&gt;$FM$3),$FM$3-SUM(DA45:DB45)),0),
IFERROR(_xlfn.IFS(AND(FC45&gt;0,FC45+DB45&lt;=$FK$3),FC45,AND(FC45&gt;0,FC45+DB45&gt;$FK$3),0),0)
)</f>
        <v>0</v>
      </c>
      <c r="HF45" s="152" cm="1">
        <f t="array" ref="HF45">IF($C45="Production",
IFERROR(_xlfn.IFS(AND(FD45&gt;0,FD45+SUM(DB45:DC45)&lt;=$FM$3),FD45,AND(FD45&gt;0,FD45+SUM(DB45:DC45)&gt;$FM$3),$FM$3-SUM(DB45:DC45)),0),
IFERROR(_xlfn.IFS(AND(FD45&gt;0,FD45+DC45&lt;=$FK$3),FD45,AND(FD45&gt;0,FD45+DC45&gt;$FK$3),0),0)
)</f>
        <v>0</v>
      </c>
      <c r="HG45" s="152" cm="1">
        <f t="array" ref="HG45">IF($C45="Production",
IFERROR(_xlfn.IFS(AND(FE45&gt;0,FE45+SUM(DC45:DD45)&lt;=$FM$3),FE45,AND(FE45&gt;0,FE45+SUM(DC45:DD45)&gt;$FM$3),$FM$3-SUM(DC45:DD45)),0),
IFERROR(_xlfn.IFS(AND(FE45&gt;0,FE45+DD45&lt;=$FK$3),FE45,AND(FE45&gt;0,FE45+DD45&gt;$FK$3),0),0)
)</f>
        <v>0</v>
      </c>
      <c r="HH45" s="152" cm="1">
        <f t="array" ref="HH45">IF($C45="Production",
IFERROR(_xlfn.IFS(AND(FF45&gt;0,FF45+SUM(DD45:DE45)&lt;=$FM$3),FF45,AND(FF45&gt;0,FF45+SUM(DD45:DE45)&gt;$FM$3),$FM$3-SUM(DD45:DE45)),0),
IFERROR(_xlfn.IFS(AND(FF45&gt;0,FF45+DE45&lt;=$FK$3),FF45,AND(FF45&gt;0,FF45+DE45&gt;$FK$3),0),0)
)</f>
        <v>0</v>
      </c>
      <c r="HI45" s="156" cm="1">
        <f t="array" ref="HI45">IF($C45="Production",
IFERROR(_xlfn.IFS(AND(FG45&gt;0,FG45+SUM(DE45:DF45)&lt;=$FM$3),FG45,AND(FG45&gt;0,FG45+SUM(DE45:DF45)&gt;$FM$3),$FM$3-SUM(DE45:DF45)),0),
IFERROR(_xlfn.IFS(AND(FG45&gt;0,FG45+DF45&lt;=$FK$3),FG45,AND(FG45&gt;0,FG45+DF45&gt;$FK$3),0),0)
)</f>
        <v>0</v>
      </c>
      <c r="HJ45" s="113">
        <f t="shared" si="110"/>
        <v>24.25</v>
      </c>
      <c r="HK45" s="80"/>
      <c r="HL45" s="112">
        <f t="shared" si="56"/>
        <v>0</v>
      </c>
      <c r="HM45" s="138">
        <f t="shared" si="57"/>
        <v>0</v>
      </c>
      <c r="HN45" s="138">
        <f t="shared" si="58"/>
        <v>0</v>
      </c>
      <c r="HO45" s="138">
        <f t="shared" si="59"/>
        <v>0</v>
      </c>
      <c r="HP45" s="138">
        <f t="shared" si="60"/>
        <v>0</v>
      </c>
      <c r="HQ45" s="138">
        <f t="shared" si="61"/>
        <v>0</v>
      </c>
      <c r="HR45" s="138">
        <f t="shared" si="62"/>
        <v>0</v>
      </c>
      <c r="HS45" s="138">
        <f t="shared" si="63"/>
        <v>0</v>
      </c>
      <c r="HT45" s="138">
        <f t="shared" si="64"/>
        <v>0</v>
      </c>
      <c r="HU45" s="138">
        <f t="shared" si="65"/>
        <v>0</v>
      </c>
      <c r="HV45" s="138">
        <f t="shared" si="66"/>
        <v>0</v>
      </c>
      <c r="HW45" s="138">
        <f t="shared" si="67"/>
        <v>0</v>
      </c>
      <c r="HX45" s="138">
        <f t="shared" si="68"/>
        <v>0</v>
      </c>
      <c r="HY45" s="138">
        <f t="shared" si="69"/>
        <v>0</v>
      </c>
      <c r="HZ45" s="138">
        <f t="shared" si="70"/>
        <v>0</v>
      </c>
      <c r="IA45" s="138">
        <f t="shared" si="71"/>
        <v>0</v>
      </c>
      <c r="IB45" s="138">
        <f t="shared" si="72"/>
        <v>0</v>
      </c>
      <c r="IC45" s="138">
        <f t="shared" si="73"/>
        <v>0</v>
      </c>
      <c r="ID45" s="138">
        <f t="shared" si="74"/>
        <v>0</v>
      </c>
      <c r="IE45" s="138">
        <f t="shared" si="75"/>
        <v>0</v>
      </c>
      <c r="IF45" s="138">
        <f t="shared" si="76"/>
        <v>0</v>
      </c>
      <c r="IG45" s="138">
        <f t="shared" si="77"/>
        <v>0</v>
      </c>
      <c r="IH45" s="138">
        <f t="shared" si="78"/>
        <v>0</v>
      </c>
      <c r="II45" s="138">
        <f t="shared" si="79"/>
        <v>0</v>
      </c>
      <c r="IJ45" s="138">
        <f t="shared" si="80"/>
        <v>0</v>
      </c>
      <c r="IK45" s="138">
        <f t="shared" si="81"/>
        <v>0</v>
      </c>
      <c r="IL45" s="138">
        <f t="shared" si="82"/>
        <v>0</v>
      </c>
      <c r="IM45" s="138">
        <f t="shared" si="83"/>
        <v>0</v>
      </c>
      <c r="IN45" s="138">
        <f t="shared" si="84"/>
        <v>0</v>
      </c>
      <c r="IO45" s="138">
        <f t="shared" si="85"/>
        <v>0</v>
      </c>
      <c r="IP45" s="138">
        <f t="shared" si="86"/>
        <v>0</v>
      </c>
      <c r="IQ45" s="138">
        <f t="shared" si="87"/>
        <v>0</v>
      </c>
      <c r="IR45" s="138">
        <f t="shared" si="88"/>
        <v>0</v>
      </c>
      <c r="IS45" s="138">
        <f t="shared" si="89"/>
        <v>0</v>
      </c>
      <c r="IT45" s="138">
        <f t="shared" si="90"/>
        <v>0</v>
      </c>
      <c r="IU45" s="138">
        <f t="shared" si="91"/>
        <v>0</v>
      </c>
      <c r="IV45" s="138">
        <f t="shared" si="92"/>
        <v>0</v>
      </c>
      <c r="IW45" s="138">
        <f t="shared" si="93"/>
        <v>0</v>
      </c>
      <c r="IX45" s="138">
        <f t="shared" si="94"/>
        <v>0</v>
      </c>
      <c r="IY45" s="138">
        <f t="shared" si="95"/>
        <v>0</v>
      </c>
      <c r="IZ45" s="138">
        <f t="shared" si="96"/>
        <v>0</v>
      </c>
      <c r="JA45" s="138">
        <f t="shared" si="97"/>
        <v>0</v>
      </c>
      <c r="JB45" s="138">
        <f t="shared" si="98"/>
        <v>0</v>
      </c>
      <c r="JC45" s="138">
        <f t="shared" si="99"/>
        <v>0</v>
      </c>
      <c r="JD45" s="138">
        <f t="shared" si="100"/>
        <v>0</v>
      </c>
      <c r="JE45" s="138">
        <f t="shared" si="101"/>
        <v>0</v>
      </c>
      <c r="JF45" s="138">
        <f t="shared" si="102"/>
        <v>0</v>
      </c>
      <c r="JG45" s="138">
        <f t="shared" si="103"/>
        <v>0</v>
      </c>
      <c r="JH45" s="138">
        <f t="shared" si="104"/>
        <v>0</v>
      </c>
      <c r="JI45" s="138">
        <f t="shared" si="105"/>
        <v>0</v>
      </c>
      <c r="JJ45" s="138">
        <f t="shared" si="106"/>
        <v>0</v>
      </c>
      <c r="JK45" s="138">
        <f t="shared" si="107"/>
        <v>0</v>
      </c>
      <c r="JL45" s="118">
        <f t="shared" si="111"/>
        <v>0</v>
      </c>
      <c r="JO45" s="90">
        <f t="shared" si="112"/>
        <v>24.25</v>
      </c>
      <c r="JP45" s="79">
        <f t="shared" si="108"/>
        <v>0</v>
      </c>
      <c r="JQ45" s="91">
        <f t="shared" si="2"/>
        <v>30.3125</v>
      </c>
      <c r="JS45" s="123">
        <f t="shared" si="109"/>
        <v>0</v>
      </c>
      <c r="JU45" s="123">
        <f t="shared" si="113"/>
        <v>30.3125</v>
      </c>
    </row>
    <row r="46" spans="2:281" x14ac:dyDescent="0.15">
      <c r="B46" s="82" t="str">
        <f>'MODU 2025'!B49</f>
        <v>ZEGHIDI Amel</v>
      </c>
      <c r="C46" s="82" t="str">
        <f>'MODU 2025'!C49</f>
        <v>Production</v>
      </c>
      <c r="D46" s="82">
        <f>'MODU 2025'!D49</f>
        <v>37</v>
      </c>
      <c r="E46" s="82"/>
      <c r="F46" s="135">
        <f>'MODU 2025'!G49</f>
        <v>33</v>
      </c>
      <c r="G46" s="136">
        <f>'MODU 2025'!H49</f>
        <v>41</v>
      </c>
      <c r="H46" s="136">
        <f>'MODU 2025'!I49</f>
        <v>33</v>
      </c>
      <c r="I46" s="136">
        <f>'MODU 2025'!J49</f>
        <v>41</v>
      </c>
      <c r="J46" s="136">
        <f>'MODU 2025'!K49</f>
        <v>33</v>
      </c>
      <c r="K46" s="136">
        <f>'MODU 2025'!L49</f>
        <v>41</v>
      </c>
      <c r="L46" s="136">
        <f>'MODU 2025'!M49</f>
        <v>33</v>
      </c>
      <c r="M46" s="136">
        <f>'MODU 2025'!N49</f>
        <v>41</v>
      </c>
      <c r="N46" s="136">
        <f>'MODU 2025'!O49</f>
        <v>33</v>
      </c>
      <c r="O46" s="136">
        <f>'MODU 2025'!P49</f>
        <v>41</v>
      </c>
      <c r="P46" s="136">
        <f>'MODU 2025'!Q49</f>
        <v>33</v>
      </c>
      <c r="Q46" s="136">
        <f>'MODU 2025'!R49</f>
        <v>41</v>
      </c>
      <c r="R46" s="136">
        <f>'MODU 2025'!S49</f>
        <v>33</v>
      </c>
      <c r="S46" s="136">
        <f>'MODU 2025'!T49</f>
        <v>41</v>
      </c>
      <c r="T46" s="136">
        <f>'MODU 2025'!U49</f>
        <v>33</v>
      </c>
      <c r="U46" s="136">
        <f>'MODU 2025'!V49</f>
        <v>41</v>
      </c>
      <c r="V46" s="136">
        <f>'MODU 2025'!W49</f>
        <v>33</v>
      </c>
      <c r="W46" s="136">
        <f>'MODU 2025'!X49</f>
        <v>41</v>
      </c>
      <c r="X46" s="136">
        <f>'MODU 2025'!Y49</f>
        <v>33</v>
      </c>
      <c r="Y46" s="136">
        <f>'MODU 2025'!Z49</f>
        <v>41</v>
      </c>
      <c r="Z46" s="136">
        <f>'MODU 2025'!AA49</f>
        <v>33</v>
      </c>
      <c r="AA46" s="136">
        <f>'MODU 2025'!AB49</f>
        <v>41</v>
      </c>
      <c r="AB46" s="136">
        <f>'MODU 2025'!AC49</f>
        <v>33</v>
      </c>
      <c r="AC46" s="136">
        <f>'MODU 2025'!AD49</f>
        <v>41</v>
      </c>
      <c r="AD46" s="136">
        <f>'MODU 2025'!AE49</f>
        <v>33</v>
      </c>
      <c r="AE46" s="136">
        <f>'MODU 2025'!AF49</f>
        <v>41</v>
      </c>
      <c r="AF46" s="136">
        <f>'MODU 2025'!AG49</f>
        <v>33</v>
      </c>
      <c r="AG46" s="136">
        <f>'MODU 2025'!AH49</f>
        <v>41</v>
      </c>
      <c r="AH46" s="136">
        <f>'MODU 2025'!AI49</f>
        <v>33</v>
      </c>
      <c r="AI46" s="136">
        <f>'MODU 2025'!AJ49</f>
        <v>41</v>
      </c>
      <c r="AJ46" s="136">
        <f>'MODU 2025'!AK49</f>
        <v>33</v>
      </c>
      <c r="AK46" s="136">
        <f>'MODU 2025'!AL49</f>
        <v>41</v>
      </c>
      <c r="AL46" s="136">
        <f>'MODU 2025'!AM49</f>
        <v>33</v>
      </c>
      <c r="AM46" s="136">
        <f>'MODU 2025'!AN49</f>
        <v>41</v>
      </c>
      <c r="AN46" s="136">
        <f>'MODU 2025'!AO49</f>
        <v>33</v>
      </c>
      <c r="AO46" s="136">
        <f>'MODU 2025'!AP49</f>
        <v>41</v>
      </c>
      <c r="AP46" s="136">
        <f>'MODU 2025'!AQ49</f>
        <v>33</v>
      </c>
      <c r="AQ46" s="136">
        <f>'MODU 2025'!AR49</f>
        <v>41</v>
      </c>
      <c r="AR46" s="136">
        <f>'MODU 2025'!AS49</f>
        <v>33</v>
      </c>
      <c r="AS46" s="136">
        <f>'MODU 2025'!AT49</f>
        <v>41</v>
      </c>
      <c r="AT46" s="136">
        <f>'MODU 2025'!AU49</f>
        <v>33</v>
      </c>
      <c r="AU46" s="136">
        <f>'MODU 2025'!AV49</f>
        <v>41</v>
      </c>
      <c r="AV46" s="136">
        <f>'MODU 2025'!AW49</f>
        <v>33</v>
      </c>
      <c r="AW46" s="136">
        <f>'MODU 2025'!AX49</f>
        <v>41</v>
      </c>
      <c r="AX46" s="136">
        <f>'MODU 2025'!AY49</f>
        <v>33</v>
      </c>
      <c r="AY46" s="136">
        <f>'MODU 2025'!AZ49</f>
        <v>41</v>
      </c>
      <c r="AZ46" s="136">
        <f>'MODU 2025'!BA49</f>
        <v>33</v>
      </c>
      <c r="BA46" s="136">
        <f>'MODU 2025'!BB49</f>
        <v>41</v>
      </c>
      <c r="BB46" s="136">
        <f>'MODU 2025'!BC49</f>
        <v>33</v>
      </c>
      <c r="BC46" s="136">
        <f>'MODU 2025'!BD49</f>
        <v>41</v>
      </c>
      <c r="BD46" s="136">
        <f>'MODU 2025'!BE49</f>
        <v>33</v>
      </c>
      <c r="BE46" s="137">
        <f>'MODU 2025'!BF49</f>
        <v>41</v>
      </c>
      <c r="BF46" s="82"/>
      <c r="BG46" s="146">
        <v>33</v>
      </c>
      <c r="BH46" s="147">
        <v>41</v>
      </c>
      <c r="BI46" s="147">
        <v>33</v>
      </c>
      <c r="BJ46" s="147">
        <v>41</v>
      </c>
      <c r="BK46" s="147">
        <v>33</v>
      </c>
      <c r="BL46" s="147">
        <v>41</v>
      </c>
      <c r="BM46" s="147">
        <v>33</v>
      </c>
      <c r="BN46" s="147">
        <v>41</v>
      </c>
      <c r="BO46" s="147">
        <v>33</v>
      </c>
      <c r="BP46" s="147">
        <v>41</v>
      </c>
      <c r="BQ46" s="147">
        <v>33</v>
      </c>
      <c r="BR46" s="147">
        <v>41</v>
      </c>
      <c r="BS46" s="147">
        <v>33</v>
      </c>
      <c r="BT46" s="147">
        <v>41</v>
      </c>
      <c r="BU46" s="147">
        <v>33</v>
      </c>
      <c r="BV46" s="147">
        <v>41</v>
      </c>
      <c r="BW46" s="147">
        <v>33</v>
      </c>
      <c r="BX46" s="147">
        <v>41</v>
      </c>
      <c r="BY46" s="147">
        <v>33</v>
      </c>
      <c r="BZ46" s="147">
        <v>41</v>
      </c>
      <c r="CA46" s="147">
        <v>33</v>
      </c>
      <c r="CB46" s="147">
        <v>41</v>
      </c>
      <c r="CC46" s="147">
        <v>33</v>
      </c>
      <c r="CD46" s="147">
        <v>41</v>
      </c>
      <c r="CE46" s="147">
        <v>33</v>
      </c>
      <c r="CF46" s="147">
        <v>41</v>
      </c>
      <c r="CG46" s="147">
        <v>33</v>
      </c>
      <c r="CH46" s="147">
        <v>41</v>
      </c>
      <c r="CI46" s="147">
        <v>33</v>
      </c>
      <c r="CJ46" s="147">
        <v>41</v>
      </c>
      <c r="CK46" s="147">
        <v>33</v>
      </c>
      <c r="CL46" s="147">
        <v>41</v>
      </c>
      <c r="CM46" s="147">
        <v>33</v>
      </c>
      <c r="CN46" s="147">
        <v>41</v>
      </c>
      <c r="CO46" s="147">
        <v>33</v>
      </c>
      <c r="CP46" s="147">
        <v>41</v>
      </c>
      <c r="CQ46" s="147">
        <v>33</v>
      </c>
      <c r="CR46" s="147">
        <v>41</v>
      </c>
      <c r="CS46" s="147">
        <v>33</v>
      </c>
      <c r="CT46" s="147">
        <v>41</v>
      </c>
      <c r="CU46" s="147">
        <v>33</v>
      </c>
      <c r="CV46" s="147">
        <v>41</v>
      </c>
      <c r="CW46" s="147">
        <v>33</v>
      </c>
      <c r="CX46" s="147">
        <v>41</v>
      </c>
      <c r="CY46" s="147">
        <v>33</v>
      </c>
      <c r="CZ46" s="147">
        <v>41</v>
      </c>
      <c r="DA46" s="147">
        <v>33</v>
      </c>
      <c r="DB46" s="147">
        <v>41</v>
      </c>
      <c r="DC46" s="147">
        <v>33</v>
      </c>
      <c r="DD46" s="147">
        <v>41</v>
      </c>
      <c r="DE46" s="147">
        <v>33</v>
      </c>
      <c r="DF46" s="148">
        <v>41</v>
      </c>
      <c r="DG46" s="84"/>
      <c r="DH46" s="114">
        <f t="shared" si="3"/>
        <v>0</v>
      </c>
      <c r="DI46" s="115">
        <f t="shared" si="4"/>
        <v>0</v>
      </c>
      <c r="DJ46" s="115">
        <f t="shared" si="5"/>
        <v>0</v>
      </c>
      <c r="DK46" s="115">
        <f t="shared" si="6"/>
        <v>0</v>
      </c>
      <c r="DL46" s="115">
        <f t="shared" si="7"/>
        <v>0</v>
      </c>
      <c r="DM46" s="115">
        <f t="shared" si="8"/>
        <v>0</v>
      </c>
      <c r="DN46" s="115">
        <f t="shared" si="9"/>
        <v>0</v>
      </c>
      <c r="DO46" s="115">
        <f t="shared" si="10"/>
        <v>0</v>
      </c>
      <c r="DP46" s="115">
        <f t="shared" si="11"/>
        <v>0</v>
      </c>
      <c r="DQ46" s="115">
        <f t="shared" si="12"/>
        <v>0</v>
      </c>
      <c r="DR46" s="115">
        <f t="shared" si="13"/>
        <v>0</v>
      </c>
      <c r="DS46" s="115">
        <f t="shared" si="14"/>
        <v>0</v>
      </c>
      <c r="DT46" s="115">
        <f t="shared" si="15"/>
        <v>0</v>
      </c>
      <c r="DU46" s="115">
        <f t="shared" si="16"/>
        <v>0</v>
      </c>
      <c r="DV46" s="115">
        <f t="shared" si="17"/>
        <v>0</v>
      </c>
      <c r="DW46" s="115">
        <f t="shared" si="18"/>
        <v>0</v>
      </c>
      <c r="DX46" s="115">
        <f t="shared" si="19"/>
        <v>0</v>
      </c>
      <c r="DY46" s="115">
        <f t="shared" si="20"/>
        <v>0</v>
      </c>
      <c r="DZ46" s="115">
        <f t="shared" si="21"/>
        <v>0</v>
      </c>
      <c r="EA46" s="115">
        <f t="shared" si="22"/>
        <v>0</v>
      </c>
      <c r="EB46" s="115">
        <f t="shared" si="23"/>
        <v>0</v>
      </c>
      <c r="EC46" s="115">
        <f t="shared" si="24"/>
        <v>0</v>
      </c>
      <c r="ED46" s="115">
        <f t="shared" si="25"/>
        <v>0</v>
      </c>
      <c r="EE46" s="115">
        <f t="shared" si="26"/>
        <v>0</v>
      </c>
      <c r="EF46" s="115">
        <f t="shared" si="27"/>
        <v>0</v>
      </c>
      <c r="EG46" s="115">
        <f t="shared" si="28"/>
        <v>0</v>
      </c>
      <c r="EH46" s="115">
        <f t="shared" si="29"/>
        <v>0</v>
      </c>
      <c r="EI46" s="115">
        <f t="shared" si="30"/>
        <v>0</v>
      </c>
      <c r="EJ46" s="115">
        <f t="shared" si="31"/>
        <v>0</v>
      </c>
      <c r="EK46" s="115">
        <f t="shared" si="32"/>
        <v>0</v>
      </c>
      <c r="EL46" s="115">
        <f t="shared" si="33"/>
        <v>0</v>
      </c>
      <c r="EM46" s="115">
        <f t="shared" si="34"/>
        <v>0</v>
      </c>
      <c r="EN46" s="115">
        <f t="shared" si="35"/>
        <v>0</v>
      </c>
      <c r="EO46" s="115">
        <f t="shared" si="36"/>
        <v>0</v>
      </c>
      <c r="EP46" s="115">
        <f t="shared" si="37"/>
        <v>0</v>
      </c>
      <c r="EQ46" s="115">
        <f t="shared" si="38"/>
        <v>0</v>
      </c>
      <c r="ER46" s="115">
        <f t="shared" si="39"/>
        <v>0</v>
      </c>
      <c r="ES46" s="115">
        <f t="shared" si="40"/>
        <v>0</v>
      </c>
      <c r="ET46" s="115">
        <f t="shared" si="41"/>
        <v>0</v>
      </c>
      <c r="EU46" s="115">
        <f t="shared" si="42"/>
        <v>0</v>
      </c>
      <c r="EV46" s="115">
        <f t="shared" si="43"/>
        <v>0</v>
      </c>
      <c r="EW46" s="115">
        <f t="shared" si="44"/>
        <v>0</v>
      </c>
      <c r="EX46" s="115">
        <f t="shared" si="45"/>
        <v>0</v>
      </c>
      <c r="EY46" s="115">
        <f t="shared" si="46"/>
        <v>0</v>
      </c>
      <c r="EZ46" s="115">
        <f t="shared" si="47"/>
        <v>0</v>
      </c>
      <c r="FA46" s="115">
        <f t="shared" si="48"/>
        <v>0</v>
      </c>
      <c r="FB46" s="115">
        <f t="shared" si="49"/>
        <v>0</v>
      </c>
      <c r="FC46" s="115">
        <f t="shared" si="50"/>
        <v>0</v>
      </c>
      <c r="FD46" s="115">
        <f t="shared" si="51"/>
        <v>0</v>
      </c>
      <c r="FE46" s="115">
        <f t="shared" si="52"/>
        <v>0</v>
      </c>
      <c r="FF46" s="115">
        <f t="shared" si="53"/>
        <v>0</v>
      </c>
      <c r="FG46" s="116">
        <f t="shared" si="54"/>
        <v>0</v>
      </c>
      <c r="FH46" s="116">
        <f t="shared" si="55"/>
        <v>0</v>
      </c>
      <c r="FI46" s="35"/>
      <c r="FJ46" s="153" cm="1">
        <f t="array" ref="FJ46">IF($C46="Production",
IFERROR(_xlfn.IFS(AND(DH46&gt;0,DH46+SUM(BF46:BG46)&lt;=$FM$3),DH46,AND(DH46&gt;0,DH46+SUM(BF46:BG46)&gt;$FM$3),$FM$3-SUM(BF46:BG46)),0),
IFERROR(_xlfn.IFS(AND(DH46&gt;0,DH46+BG46&lt;=$FK$3),DH46,AND(DH46&gt;0,DH46+BG46&gt;$FK$3),0),0)
)</f>
        <v>0</v>
      </c>
      <c r="FK46" s="154" cm="1">
        <f t="array" ref="FK46">IF($C46="Production",
IFERROR(_xlfn.IFS(AND(DI46&gt;0,DI46+SUM(BG46:BH46)&lt;=$FM$3),DI46,AND(DI46&gt;0,DI46+SUM(BG46:BH46)&gt;$FM$3),$FM$3-SUM(BG46:BH46)),0),
IFERROR(_xlfn.IFS(AND(DI46&gt;0,DI46+BH46&lt;=$FK$3),DI46,AND(DI46&gt;0,DI46+BH46&gt;$FK$3),0),0)
)</f>
        <v>0</v>
      </c>
      <c r="FL46" s="154" cm="1">
        <f t="array" ref="FL46">IF($C46="Production",
IFERROR(_xlfn.IFS(AND(DJ46&gt;0,DJ46+SUM(BH46:BI46)&lt;=$FM$3),DJ46,AND(DJ46&gt;0,DJ46+SUM(BH46:BI46)&gt;$FM$3),$FM$3-SUM(BH46:BI46)),0),
IFERROR(_xlfn.IFS(AND(DJ46&gt;0,DJ46+BI46&lt;=$FK$3),DJ46,AND(DJ46&gt;0,DJ46+BI46&gt;$FK$3),0),0)
)</f>
        <v>0</v>
      </c>
      <c r="FM46" s="154" cm="1">
        <f t="array" ref="FM46">IF($C46="Production",
IFERROR(_xlfn.IFS(AND(DK46&gt;0,DK46+SUM(BI46:BJ46)&lt;=$FM$3),DK46,AND(DK46&gt;0,DK46+SUM(BI46:BJ46)&gt;$FM$3),$FM$3-SUM(BI46:BJ46)),0),
IFERROR(_xlfn.IFS(AND(DK46&gt;0,DK46+BJ46&lt;=$FK$3),DK46,AND(DK46&gt;0,DK46+BJ46&gt;$FK$3),0),0)
)</f>
        <v>0</v>
      </c>
      <c r="FN46" s="154" cm="1">
        <f t="array" ref="FN46">IF($C46="Production",
IFERROR(_xlfn.IFS(AND(DL46&gt;0,DL46+SUM(BJ46:BK46)&lt;=$FM$3),DL46,AND(DL46&gt;0,DL46+SUM(BJ46:BK46)&gt;$FM$3),$FM$3-SUM(BJ46:BK46)),0),
IFERROR(_xlfn.IFS(AND(DL46&gt;0,DL46+BK46&lt;=$FK$3),DL46,AND(DL46&gt;0,DL46+BK46&gt;$FK$3),0),0)
)</f>
        <v>0</v>
      </c>
      <c r="FO46" s="154" cm="1">
        <f t="array" ref="FO46">IF($C46="Production",
IFERROR(_xlfn.IFS(AND(DM46&gt;0,DM46+SUM(BK46:BL46)&lt;=$FM$3),DM46,AND(DM46&gt;0,DM46+SUM(BK46:BL46)&gt;$FM$3),$FM$3-SUM(BK46:BL46)),0),
IFERROR(_xlfn.IFS(AND(DM46&gt;0,DM46+BL46&lt;=$FK$3),DM46,AND(DM46&gt;0,DM46+BL46&gt;$FK$3),0),0)
)</f>
        <v>0</v>
      </c>
      <c r="FP46" s="154" cm="1">
        <f t="array" ref="FP46">IF($C46="Production",
IFERROR(_xlfn.IFS(AND(DN46&gt;0,DN46+SUM(BL46:BM46)&lt;=$FM$3),DN46,AND(DN46&gt;0,DN46+SUM(BL46:BM46)&gt;$FM$3),$FM$3-SUM(BL46:BM46)),0),
IFERROR(_xlfn.IFS(AND(DN46&gt;0,DN46+BM46&lt;=$FK$3),DN46,AND(DN46&gt;0,DN46+BM46&gt;$FK$3),0),0)
)</f>
        <v>0</v>
      </c>
      <c r="FQ46" s="154" cm="1">
        <f t="array" ref="FQ46">IF($C46="Production",
IFERROR(_xlfn.IFS(AND(DO46&gt;0,DO46+SUM(BM46:BN46)&lt;=$FM$3),DO46,AND(DO46&gt;0,DO46+SUM(BM46:BN46)&gt;$FM$3),$FM$3-SUM(BM46:BN46)),0),
IFERROR(_xlfn.IFS(AND(DO46&gt;0,DO46+BN46&lt;=$FK$3),DO46,AND(DO46&gt;0,DO46+BN46&gt;$FK$3),0),0)
)</f>
        <v>0</v>
      </c>
      <c r="FR46" s="154" cm="1">
        <f t="array" ref="FR46">IF($C46="Production",
IFERROR(_xlfn.IFS(AND(DP46&gt;0,DP46+SUM(BN46:BO46)&lt;=$FM$3),DP46,AND(DP46&gt;0,DP46+SUM(BN46:BO46)&gt;$FM$3),$FM$3-SUM(BN46:BO46)),0),
IFERROR(_xlfn.IFS(AND(DP46&gt;0,DP46+BO46&lt;=$FK$3),DP46,AND(DP46&gt;0,DP46+BO46&gt;$FK$3),0),0)
)</f>
        <v>0</v>
      </c>
      <c r="FS46" s="154" cm="1">
        <f t="array" ref="FS46">IF($C46="Production",
IFERROR(_xlfn.IFS(AND(DQ46&gt;0,DQ46+SUM(BO46:BP46)&lt;=$FM$3),DQ46,AND(DQ46&gt;0,DQ46+SUM(BO46:BP46)&gt;$FM$3),$FM$3-SUM(BO46:BP46)),0),
IFERROR(_xlfn.IFS(AND(DQ46&gt;0,DQ46+BP46&lt;=$FK$3),DQ46,AND(DQ46&gt;0,DQ46+BP46&gt;$FK$3),0),0)
)</f>
        <v>0</v>
      </c>
      <c r="FT46" s="154" cm="1">
        <f t="array" ref="FT46">IF($C46="Production",
IFERROR(_xlfn.IFS(AND(DR46&gt;0,DR46+SUM(BP46:BQ46)&lt;=$FM$3),DR46,AND(DR46&gt;0,DR46+SUM(BP46:BQ46)&gt;$FM$3),$FM$3-SUM(BP46:BQ46)),0),
IFERROR(_xlfn.IFS(AND(DR46&gt;0,DR46+BQ46&lt;=$FK$3),DR46,AND(DR46&gt;0,DR46+BQ46&gt;$FK$3),0),0)
)</f>
        <v>0</v>
      </c>
      <c r="FU46" s="154" cm="1">
        <f t="array" ref="FU46">IF($C46="Production",
IFERROR(_xlfn.IFS(AND(DS46&gt;0,DS46+SUM(BQ46:BR46)&lt;=$FM$3),DS46,AND(DS46&gt;0,DS46+SUM(BQ46:BR46)&gt;$FM$3),$FM$3-SUM(BQ46:BR46)),0),
IFERROR(_xlfn.IFS(AND(DS46&gt;0,DS46+BR46&lt;=$FK$3),DS46,AND(DS46&gt;0,DS46+BR46&gt;$FK$3),0),0)
)</f>
        <v>0</v>
      </c>
      <c r="FV46" s="154" cm="1">
        <f t="array" ref="FV46">IF($C46="Production",
IFERROR(_xlfn.IFS(AND(DT46&gt;0,DT46+SUM(BR46:BS46)&lt;=$FM$3),DT46,AND(DT46&gt;0,DT46+SUM(BR46:BS46)&gt;$FM$3),$FM$3-SUM(BR46:BS46)),0),
IFERROR(_xlfn.IFS(AND(DT46&gt;0,DT46+BS46&lt;=$FK$3),DT46,AND(DT46&gt;0,DT46+BS46&gt;$FK$3),0),0)
)</f>
        <v>0</v>
      </c>
      <c r="FW46" s="154" cm="1">
        <f t="array" ref="FW46">IF($C46="Production",
IFERROR(_xlfn.IFS(AND(DU46&gt;0,DU46+SUM(BS46:BT46)&lt;=$FM$3),DU46,AND(DU46&gt;0,DU46+SUM(BS46:BT46)&gt;$FM$3),$FM$3-SUM(BS46:BT46)),0),
IFERROR(_xlfn.IFS(AND(DU46&gt;0,DU46+BT46&lt;=$FK$3),DU46,AND(DU46&gt;0,DU46+BT46&gt;$FK$3),0),0)
)</f>
        <v>0</v>
      </c>
      <c r="FX46" s="154" cm="1">
        <f t="array" ref="FX46">IF($C46="Production",
IFERROR(_xlfn.IFS(AND(DV46&gt;0,DV46+SUM(BT46:BU46)&lt;=$FM$3),DV46,AND(DV46&gt;0,DV46+SUM(BT46:BU46)&gt;$FM$3),$FM$3-SUM(BT46:BU46)),0),
IFERROR(_xlfn.IFS(AND(DV46&gt;0,DV46+BU46&lt;=$FK$3),DV46,AND(DV46&gt;0,DV46+BU46&gt;$FK$3),0),0)
)</f>
        <v>0</v>
      </c>
      <c r="FY46" s="154" cm="1">
        <f t="array" ref="FY46">IF($C46="Production",
IFERROR(_xlfn.IFS(AND(DW46&gt;0,DW46+SUM(BU46:BV46)&lt;=$FM$3),DW46,AND(DW46&gt;0,DW46+SUM(BU46:BV46)&gt;$FM$3),$FM$3-SUM(BU46:BV46)),0),
IFERROR(_xlfn.IFS(AND(DW46&gt;0,DW46+BV46&lt;=$FK$3),DW46,AND(DW46&gt;0,DW46+BV46&gt;$FK$3),0),0)
)</f>
        <v>0</v>
      </c>
      <c r="FZ46" s="154" cm="1">
        <f t="array" ref="FZ46">IF($C46="Production",
IFERROR(_xlfn.IFS(AND(DX46&gt;0,DX46+SUM(BV46:BW46)&lt;=$FM$3),DX46,AND(DX46&gt;0,DX46+SUM(BV46:BW46)&gt;$FM$3),$FM$3-SUM(BV46:BW46)),0),
IFERROR(_xlfn.IFS(AND(DX46&gt;0,DX46+BW46&lt;=$FK$3),DX46,AND(DX46&gt;0,DX46+BW46&gt;$FK$3),0),0)
)</f>
        <v>0</v>
      </c>
      <c r="GA46" s="154" cm="1">
        <f t="array" ref="GA46">IF($C46="Production",
IFERROR(_xlfn.IFS(AND(DY46&gt;0,DY46+SUM(BW46:BX46)&lt;=$FM$3),DY46,AND(DY46&gt;0,DY46+SUM(BW46:BX46)&gt;$FM$3),$FM$3-SUM(BW46:BX46)),0),
IFERROR(_xlfn.IFS(AND(DY46&gt;0,DY46+BX46&lt;=$FK$3),DY46,AND(DY46&gt;0,DY46+BX46&gt;$FK$3),0),0)
)</f>
        <v>0</v>
      </c>
      <c r="GB46" s="154" cm="1">
        <f t="array" ref="GB46">IF($C46="Production",
IFERROR(_xlfn.IFS(AND(DZ46&gt;0,DZ46+SUM(BX46:BY46)&lt;=$FM$3),DZ46,AND(DZ46&gt;0,DZ46+SUM(BX46:BY46)&gt;$FM$3),$FM$3-SUM(BX46:BY46)),0),
IFERROR(_xlfn.IFS(AND(DZ46&gt;0,DZ46+BY46&lt;=$FK$3),DZ46,AND(DZ46&gt;0,DZ46+BY46&gt;$FK$3),0),0)
)</f>
        <v>0</v>
      </c>
      <c r="GC46" s="154" cm="1">
        <f t="array" ref="GC46">IF($C46="Production",
IFERROR(_xlfn.IFS(AND(EA46&gt;0,EA46+SUM(BY46:BZ46)&lt;=$FM$3),EA46,AND(EA46&gt;0,EA46+SUM(BY46:BZ46)&gt;$FM$3),$FM$3-SUM(BY46:BZ46)),0),
IFERROR(_xlfn.IFS(AND(EA46&gt;0,EA46+BZ46&lt;=$FK$3),EA46,AND(EA46&gt;0,EA46+BZ46&gt;$FK$3),0),0)
)</f>
        <v>0</v>
      </c>
      <c r="GD46" s="154" cm="1">
        <f t="array" ref="GD46">IF($C46="Production",
IFERROR(_xlfn.IFS(AND(EB46&gt;0,EB46+SUM(BZ46:CA46)&lt;=$FM$3),EB46,AND(EB46&gt;0,EB46+SUM(BZ46:CA46)&gt;$FM$3),$FM$3-SUM(BZ46:CA46)),0),
IFERROR(_xlfn.IFS(AND(EB46&gt;0,EB46+CA46&lt;=$FK$3),EB46,AND(EB46&gt;0,EB46+CA46&gt;$FK$3),0),0)
)</f>
        <v>0</v>
      </c>
      <c r="GE46" s="154" cm="1">
        <f t="array" ref="GE46">IF($C46="Production",
IFERROR(_xlfn.IFS(AND(EC46&gt;0,EC46+SUM(CA46:CB46)&lt;=$FM$3),EC46,AND(EC46&gt;0,EC46+SUM(CA46:CB46)&gt;$FM$3),$FM$3-SUM(CA46:CB46)),0),
IFERROR(_xlfn.IFS(AND(EC46&gt;0,EC46+CB46&lt;=$FK$3),EC46,AND(EC46&gt;0,EC46+CB46&gt;$FK$3),0),0)
)</f>
        <v>0</v>
      </c>
      <c r="GF46" s="154" cm="1">
        <f t="array" ref="GF46">IF($C46="Production",
IFERROR(_xlfn.IFS(AND(ED46&gt;0,ED46+SUM(CB46:CC46)&lt;=$FM$3),ED46,AND(ED46&gt;0,ED46+SUM(CB46:CC46)&gt;$FM$3),$FM$3-SUM(CB46:CC46)),0),
IFERROR(_xlfn.IFS(AND(ED46&gt;0,ED46+CC46&lt;=$FK$3),ED46,AND(ED46&gt;0,ED46+CC46&gt;$FK$3),0),0)
)</f>
        <v>0</v>
      </c>
      <c r="GG46" s="154" cm="1">
        <f t="array" ref="GG46">IF($C46="Production",
IFERROR(_xlfn.IFS(AND(EE46&gt;0,EE46+SUM(CC46:CD46)&lt;=$FM$3),EE46,AND(EE46&gt;0,EE46+SUM(CC46:CD46)&gt;$FM$3),$FM$3-SUM(CC46:CD46)),0),
IFERROR(_xlfn.IFS(AND(EE46&gt;0,EE46+CD46&lt;=$FK$3),EE46,AND(EE46&gt;0,EE46+CD46&gt;$FK$3),0),0)
)</f>
        <v>0</v>
      </c>
      <c r="GH46" s="154" cm="1">
        <f t="array" ref="GH46">IF($C46="Production",
IFERROR(_xlfn.IFS(AND(EF46&gt;0,EF46+SUM(CD46:CE46)&lt;=$FM$3),EF46,AND(EF46&gt;0,EF46+SUM(CD46:CE46)&gt;$FM$3),$FM$3-SUM(CD46:CE46)),0),
IFERROR(_xlfn.IFS(AND(EF46&gt;0,EF46+CE46&lt;=$FK$3),EF46,AND(EF46&gt;0,EF46+CE46&gt;$FK$3),0),0)
)</f>
        <v>0</v>
      </c>
      <c r="GI46" s="154" cm="1">
        <f t="array" ref="GI46">IF($C46="Production",
IFERROR(_xlfn.IFS(AND(EG46&gt;0,EG46+SUM(CE46:CF46)&lt;=$FM$3),EG46,AND(EG46&gt;0,EG46+SUM(CE46:CF46)&gt;$FM$3),$FM$3-SUM(CE46:CF46)),0),
IFERROR(_xlfn.IFS(AND(EG46&gt;0,EG46+CF46&lt;=$FK$3),EG46,AND(EG46&gt;0,EG46+CF46&gt;$FK$3),0),0)
)</f>
        <v>0</v>
      </c>
      <c r="GJ46" s="154" cm="1">
        <f t="array" ref="GJ46">IF($C46="Production",
IFERROR(_xlfn.IFS(AND(EH46&gt;0,EH46+SUM(CF46:CG46)&lt;=$FM$3),EH46,AND(EH46&gt;0,EH46+SUM(CF46:CG46)&gt;$FM$3),$FM$3-SUM(CF46:CG46)),0),
IFERROR(_xlfn.IFS(AND(EH46&gt;0,EH46+CG46&lt;=$FK$3),EH46,AND(EH46&gt;0,EH46+CG46&gt;$FK$3),0),0)
)</f>
        <v>0</v>
      </c>
      <c r="GK46" s="154" cm="1">
        <f t="array" ref="GK46">IF($C46="Production",
IFERROR(_xlfn.IFS(AND(EI46&gt;0,EI46+SUM(CG46:CH46)&lt;=$FM$3),EI46,AND(EI46&gt;0,EI46+SUM(CG46:CH46)&gt;$FM$3),$FM$3-SUM(CG46:CH46)),0),
IFERROR(_xlfn.IFS(AND(EI46&gt;0,EI46+CH46&lt;=$FK$3),EI46,AND(EI46&gt;0,EI46+CH46&gt;$FK$3),0),0)
)</f>
        <v>0</v>
      </c>
      <c r="GL46" s="154" cm="1">
        <f t="array" ref="GL46">IF($C46="Production",
IFERROR(_xlfn.IFS(AND(EJ46&gt;0,EJ46+SUM(CH46:CI46)&lt;=$FM$3),EJ46,AND(EJ46&gt;0,EJ46+SUM(CH46:CI46)&gt;$FM$3),$FM$3-SUM(CH46:CI46)),0),
IFERROR(_xlfn.IFS(AND(EJ46&gt;0,EJ46+CI46&lt;=$FK$3),EJ46,AND(EJ46&gt;0,EJ46+CI46&gt;$FK$3),0),0)
)</f>
        <v>0</v>
      </c>
      <c r="GM46" s="154" cm="1">
        <f t="array" ref="GM46">IF($C46="Production",
IFERROR(_xlfn.IFS(AND(EK46&gt;0,EK46+SUM(CI46:CJ46)&lt;=$FM$3),EK46,AND(EK46&gt;0,EK46+SUM(CI46:CJ46)&gt;$FM$3),$FM$3-SUM(CI46:CJ46)),0),
IFERROR(_xlfn.IFS(AND(EK46&gt;0,EK46+CJ46&lt;=$FK$3),EK46,AND(EK46&gt;0,EK46+CJ46&gt;$FK$3),0),0)
)</f>
        <v>0</v>
      </c>
      <c r="GN46" s="154" cm="1">
        <f t="array" ref="GN46">IF($C46="Production",
IFERROR(_xlfn.IFS(AND(EL46&gt;0,EL46+SUM(CJ46:CK46)&lt;=$FM$3),EL46,AND(EL46&gt;0,EL46+SUM(CJ46:CK46)&gt;$FM$3),$FM$3-SUM(CJ46:CK46)),0),
IFERROR(_xlfn.IFS(AND(EL46&gt;0,EL46+CK46&lt;=$FK$3),EL46,AND(EL46&gt;0,EL46+CK46&gt;$FK$3),0),0)
)</f>
        <v>0</v>
      </c>
      <c r="GO46" s="154" cm="1">
        <f t="array" ref="GO46">IF($C46="Production",
IFERROR(_xlfn.IFS(AND(EM46&gt;0,EM46+SUM(CK46:CL46)&lt;=$FM$3),EM46,AND(EM46&gt;0,EM46+SUM(CK46:CL46)&gt;$FM$3),$FM$3-SUM(CK46:CL46)),0),
IFERROR(_xlfn.IFS(AND(EM46&gt;0,EM46+CL46&lt;=$FK$3),EM46,AND(EM46&gt;0,EM46+CL46&gt;$FK$3),0),0)
)</f>
        <v>0</v>
      </c>
      <c r="GP46" s="154" cm="1">
        <f t="array" ref="GP46">IF($C46="Production",
IFERROR(_xlfn.IFS(AND(EN46&gt;0,EN46+SUM(CL46:CM46)&lt;=$FM$3),EN46,AND(EN46&gt;0,EN46+SUM(CL46:CM46)&gt;$FM$3),$FM$3-SUM(CL46:CM46)),0),
IFERROR(_xlfn.IFS(AND(EN46&gt;0,EN46+CM46&lt;=$FK$3),EN46,AND(EN46&gt;0,EN46+CM46&gt;$FK$3),0),0)
)</f>
        <v>0</v>
      </c>
      <c r="GQ46" s="154" cm="1">
        <f t="array" ref="GQ46">IF($C46="Production",
IFERROR(_xlfn.IFS(AND(EO46&gt;0,EO46+SUM(CM46:CN46)&lt;=$FM$3),EO46,AND(EO46&gt;0,EO46+SUM(CM46:CN46)&gt;$FM$3),$FM$3-SUM(CM46:CN46)),0),
IFERROR(_xlfn.IFS(AND(EO46&gt;0,EO46+CN46&lt;=$FK$3),EO46,AND(EO46&gt;0,EO46+CN46&gt;$FK$3),0),0)
)</f>
        <v>0</v>
      </c>
      <c r="GR46" s="154" cm="1">
        <f t="array" ref="GR46">IF($C46="Production",
IFERROR(_xlfn.IFS(AND(EP46&gt;0,EP46+SUM(CN46:CO46)&lt;=$FM$3),EP46,AND(EP46&gt;0,EP46+SUM(CN46:CO46)&gt;$FM$3),$FM$3-SUM(CN46:CO46)),0),
IFERROR(_xlfn.IFS(AND(EP46&gt;0,EP46+CO46&lt;=$FK$3),EP46,AND(EP46&gt;0,EP46+CO46&gt;$FK$3),0),0)
)</f>
        <v>0</v>
      </c>
      <c r="GS46" s="154" cm="1">
        <f t="array" ref="GS46">IF($C46="Production",
IFERROR(_xlfn.IFS(AND(EQ46&gt;0,EQ46+SUM(CO46:CP46)&lt;=$FM$3),EQ46,AND(EQ46&gt;0,EQ46+SUM(CO46:CP46)&gt;$FM$3),$FM$3-SUM(CO46:CP46)),0),
IFERROR(_xlfn.IFS(AND(EQ46&gt;0,EQ46+CP46&lt;=$FK$3),EQ46,AND(EQ46&gt;0,EQ46+CP46&gt;$FK$3),0),0)
)</f>
        <v>0</v>
      </c>
      <c r="GT46" s="154" cm="1">
        <f t="array" ref="GT46">IF($C46="Production",
IFERROR(_xlfn.IFS(AND(ER46&gt;0,ER46+SUM(CP46:CQ46)&lt;=$FM$3),ER46,AND(ER46&gt;0,ER46+SUM(CP46:CQ46)&gt;$FM$3),$FM$3-SUM(CP46:CQ46)),0),
IFERROR(_xlfn.IFS(AND(ER46&gt;0,ER46+CQ46&lt;=$FK$3),ER46,AND(ER46&gt;0,ER46+CQ46&gt;$FK$3),0),0)
)</f>
        <v>0</v>
      </c>
      <c r="GU46" s="154" cm="1">
        <f t="array" ref="GU46">IF($C46="Production",
IFERROR(_xlfn.IFS(AND(ES46&gt;0,ES46+SUM(CQ46:CR46)&lt;=$FM$3),ES46,AND(ES46&gt;0,ES46+SUM(CQ46:CR46)&gt;$FM$3),$FM$3-SUM(CQ46:CR46)),0),
IFERROR(_xlfn.IFS(AND(ES46&gt;0,ES46+CR46&lt;=$FK$3),ES46,AND(ES46&gt;0,ES46+CR46&gt;$FK$3),0),0)
)</f>
        <v>0</v>
      </c>
      <c r="GV46" s="154" cm="1">
        <f t="array" ref="GV46">IF($C46="Production",
IFERROR(_xlfn.IFS(AND(ET46&gt;0,ET46+SUM(CR46:CS46)&lt;=$FM$3),ET46,AND(ET46&gt;0,ET46+SUM(CR46:CS46)&gt;$FM$3),$FM$3-SUM(CR46:CS46)),0),
IFERROR(_xlfn.IFS(AND(ET46&gt;0,ET46+CS46&lt;=$FK$3),ET46,AND(ET46&gt;0,ET46+CS46&gt;$FK$3),0),0)
)</f>
        <v>0</v>
      </c>
      <c r="GW46" s="154" cm="1">
        <f t="array" ref="GW46">IF($C46="Production",
IFERROR(_xlfn.IFS(AND(EU46&gt;0,EU46+SUM(CS46:CT46)&lt;=$FM$3),EU46,AND(EU46&gt;0,EU46+SUM(CS46:CT46)&gt;$FM$3),$FM$3-SUM(CS46:CT46)),0),
IFERROR(_xlfn.IFS(AND(EU46&gt;0,EU46+CT46&lt;=$FK$3),EU46,AND(EU46&gt;0,EU46+CT46&gt;$FK$3),0),0)
)</f>
        <v>0</v>
      </c>
      <c r="GX46" s="154" cm="1">
        <f t="array" ref="GX46">IF($C46="Production",
IFERROR(_xlfn.IFS(AND(EV46&gt;0,EV46+SUM(CT46:CU46)&lt;=$FM$3),EV46,AND(EV46&gt;0,EV46+SUM(CT46:CU46)&gt;$FM$3),$FM$3-SUM(CT46:CU46)),0),
IFERROR(_xlfn.IFS(AND(EV46&gt;0,EV46+CU46&lt;=$FK$3),EV46,AND(EV46&gt;0,EV46+CU46&gt;$FK$3),0),0)
)</f>
        <v>0</v>
      </c>
      <c r="GY46" s="154" cm="1">
        <f t="array" ref="GY46">IF($C46="Production",
IFERROR(_xlfn.IFS(AND(EW46&gt;0,EW46+SUM(CU46:CV46)&lt;=$FM$3),EW46,AND(EW46&gt;0,EW46+SUM(CU46:CV46)&gt;$FM$3),$FM$3-SUM(CU46:CV46)),0),
IFERROR(_xlfn.IFS(AND(EW46&gt;0,EW46+CV46&lt;=$FK$3),EW46,AND(EW46&gt;0,EW46+CV46&gt;$FK$3),0),0)
)</f>
        <v>0</v>
      </c>
      <c r="GZ46" s="154" cm="1">
        <f t="array" ref="GZ46">IF($C46="Production",
IFERROR(_xlfn.IFS(AND(EX46&gt;0,EX46+SUM(CV46:CW46)&lt;=$FM$3),EX46,AND(EX46&gt;0,EX46+SUM(CV46:CW46)&gt;$FM$3),$FM$3-SUM(CV46:CW46)),0),
IFERROR(_xlfn.IFS(AND(EX46&gt;0,EX46+CW46&lt;=$FK$3),EX46,AND(EX46&gt;0,EX46+CW46&gt;$FK$3),0),0)
)</f>
        <v>0</v>
      </c>
      <c r="HA46" s="154" cm="1">
        <f t="array" ref="HA46">IF($C46="Production",
IFERROR(_xlfn.IFS(AND(EY46&gt;0,EY46+SUM(CW46:CX46)&lt;=$FM$3),EY46,AND(EY46&gt;0,EY46+SUM(CW46:CX46)&gt;$FM$3),$FM$3-SUM(CW46:CX46)),0),
IFERROR(_xlfn.IFS(AND(EY46&gt;0,EY46+CX46&lt;=$FK$3),EY46,AND(EY46&gt;0,EY46+CX46&gt;$FK$3),0),0)
)</f>
        <v>0</v>
      </c>
      <c r="HB46" s="154" cm="1">
        <f t="array" ref="HB46">IF($C46="Production",
IFERROR(_xlfn.IFS(AND(EZ46&gt;0,EZ46+SUM(CX46:CY46)&lt;=$FM$3),EZ46,AND(EZ46&gt;0,EZ46+SUM(CX46:CY46)&gt;$FM$3),$FM$3-SUM(CX46:CY46)),0),
IFERROR(_xlfn.IFS(AND(EZ46&gt;0,EZ46+CY46&lt;=$FK$3),EZ46,AND(EZ46&gt;0,EZ46+CY46&gt;$FK$3),0),0)
)</f>
        <v>0</v>
      </c>
      <c r="HC46" s="154" cm="1">
        <f t="array" ref="HC46">IF($C46="Production",
IFERROR(_xlfn.IFS(AND(FA46&gt;0,FA46+SUM(CY46:CZ46)&lt;=$FM$3),FA46,AND(FA46&gt;0,FA46+SUM(CY46:CZ46)&gt;$FM$3),$FM$3-SUM(CY46:CZ46)),0),
IFERROR(_xlfn.IFS(AND(FA46&gt;0,FA46+CZ46&lt;=$FK$3),FA46,AND(FA46&gt;0,FA46+CZ46&gt;$FK$3),0),0)
)</f>
        <v>0</v>
      </c>
      <c r="HD46" s="154" cm="1">
        <f t="array" ref="HD46">IF($C46="Production",
IFERROR(_xlfn.IFS(AND(FB46&gt;0,FB46+SUM(CZ46:DA46)&lt;=$FM$3),FB46,AND(FB46&gt;0,FB46+SUM(CZ46:DA46)&gt;$FM$3),$FM$3-SUM(CZ46:DA46)),0),
IFERROR(_xlfn.IFS(AND(FB46&gt;0,FB46+DA46&lt;=$FK$3),FB46,AND(FB46&gt;0,FB46+DA46&gt;$FK$3),0),0)
)</f>
        <v>0</v>
      </c>
      <c r="HE46" s="154" cm="1">
        <f t="array" ref="HE46">IF($C46="Production",
IFERROR(_xlfn.IFS(AND(FC46&gt;0,FC46+SUM(DA46:DB46)&lt;=$FM$3),FC46,AND(FC46&gt;0,FC46+SUM(DA46:DB46)&gt;$FM$3),$FM$3-SUM(DA46:DB46)),0),
IFERROR(_xlfn.IFS(AND(FC46&gt;0,FC46+DB46&lt;=$FK$3),FC46,AND(FC46&gt;0,FC46+DB46&gt;$FK$3),0),0)
)</f>
        <v>0</v>
      </c>
      <c r="HF46" s="154" cm="1">
        <f t="array" ref="HF46">IF($C46="Production",
IFERROR(_xlfn.IFS(AND(FD46&gt;0,FD46+SUM(DB46:DC46)&lt;=$FM$3),FD46,AND(FD46&gt;0,FD46+SUM(DB46:DC46)&gt;$FM$3),$FM$3-SUM(DB46:DC46)),0),
IFERROR(_xlfn.IFS(AND(FD46&gt;0,FD46+DC46&lt;=$FK$3),FD46,AND(FD46&gt;0,FD46+DC46&gt;$FK$3),0),0)
)</f>
        <v>0</v>
      </c>
      <c r="HG46" s="154" cm="1">
        <f t="array" ref="HG46">IF($C46="Production",
IFERROR(_xlfn.IFS(AND(FE46&gt;0,FE46+SUM(DC46:DD46)&lt;=$FM$3),FE46,AND(FE46&gt;0,FE46+SUM(DC46:DD46)&gt;$FM$3),$FM$3-SUM(DC46:DD46)),0),
IFERROR(_xlfn.IFS(AND(FE46&gt;0,FE46+DD46&lt;=$FK$3),FE46,AND(FE46&gt;0,FE46+DD46&gt;$FK$3),0),0)
)</f>
        <v>0</v>
      </c>
      <c r="HH46" s="154" cm="1">
        <f t="array" ref="HH46">IF($C46="Production",
IFERROR(_xlfn.IFS(AND(FF46&gt;0,FF46+SUM(DD46:DE46)&lt;=$FM$3),FF46,AND(FF46&gt;0,FF46+SUM(DD46:DE46)&gt;$FM$3),$FM$3-SUM(DD46:DE46)),0),
IFERROR(_xlfn.IFS(AND(FF46&gt;0,FF46+DE46&lt;=$FK$3),FF46,AND(FF46&gt;0,FF46+DE46&gt;$FK$3),0),0)
)</f>
        <v>0</v>
      </c>
      <c r="HI46" s="157" cm="1">
        <f t="array" ref="HI46">IF($C46="Production",
IFERROR(_xlfn.IFS(AND(FG46&gt;0,FG46+SUM(DE46:DF46)&lt;=$FM$3),FG46,AND(FG46&gt;0,FG46+SUM(DE46:DF46)&gt;$FM$3),$FM$3-SUM(DE46:DF46)),0),
IFERROR(_xlfn.IFS(AND(FG46&gt;0,FG46+DF46&lt;=$FK$3),FG46,AND(FG46&gt;0,FG46+DF46&gt;$FK$3),0),0)
)</f>
        <v>0</v>
      </c>
      <c r="HJ46" s="116">
        <f t="shared" si="110"/>
        <v>0</v>
      </c>
      <c r="HK46" s="80"/>
      <c r="HL46" s="114">
        <f t="shared" si="56"/>
        <v>0</v>
      </c>
      <c r="HM46" s="115">
        <f t="shared" si="57"/>
        <v>0</v>
      </c>
      <c r="HN46" s="115">
        <f t="shared" si="58"/>
        <v>0</v>
      </c>
      <c r="HO46" s="115">
        <f t="shared" si="59"/>
        <v>0</v>
      </c>
      <c r="HP46" s="115">
        <f t="shared" si="60"/>
        <v>0</v>
      </c>
      <c r="HQ46" s="115">
        <f t="shared" si="61"/>
        <v>0</v>
      </c>
      <c r="HR46" s="115">
        <f t="shared" si="62"/>
        <v>0</v>
      </c>
      <c r="HS46" s="115">
        <f t="shared" si="63"/>
        <v>0</v>
      </c>
      <c r="HT46" s="115">
        <f t="shared" si="64"/>
        <v>0</v>
      </c>
      <c r="HU46" s="115">
        <f t="shared" si="65"/>
        <v>0</v>
      </c>
      <c r="HV46" s="115">
        <f t="shared" si="66"/>
        <v>0</v>
      </c>
      <c r="HW46" s="115">
        <f t="shared" si="67"/>
        <v>0</v>
      </c>
      <c r="HX46" s="115">
        <f t="shared" si="68"/>
        <v>0</v>
      </c>
      <c r="HY46" s="115">
        <f t="shared" si="69"/>
        <v>0</v>
      </c>
      <c r="HZ46" s="115">
        <f t="shared" si="70"/>
        <v>0</v>
      </c>
      <c r="IA46" s="115">
        <f t="shared" si="71"/>
        <v>0</v>
      </c>
      <c r="IB46" s="115">
        <f t="shared" si="72"/>
        <v>0</v>
      </c>
      <c r="IC46" s="115">
        <f t="shared" si="73"/>
        <v>0</v>
      </c>
      <c r="ID46" s="115">
        <f t="shared" si="74"/>
        <v>0</v>
      </c>
      <c r="IE46" s="115">
        <f t="shared" si="75"/>
        <v>0</v>
      </c>
      <c r="IF46" s="115">
        <f t="shared" si="76"/>
        <v>0</v>
      </c>
      <c r="IG46" s="115">
        <f t="shared" si="77"/>
        <v>0</v>
      </c>
      <c r="IH46" s="115">
        <f t="shared" si="78"/>
        <v>0</v>
      </c>
      <c r="II46" s="115">
        <f t="shared" si="79"/>
        <v>0</v>
      </c>
      <c r="IJ46" s="115">
        <f t="shared" si="80"/>
        <v>0</v>
      </c>
      <c r="IK46" s="115">
        <f t="shared" si="81"/>
        <v>0</v>
      </c>
      <c r="IL46" s="115">
        <f t="shared" si="82"/>
        <v>0</v>
      </c>
      <c r="IM46" s="115">
        <f t="shared" si="83"/>
        <v>0</v>
      </c>
      <c r="IN46" s="115">
        <f t="shared" si="84"/>
        <v>0</v>
      </c>
      <c r="IO46" s="115">
        <f t="shared" si="85"/>
        <v>0</v>
      </c>
      <c r="IP46" s="115">
        <f t="shared" si="86"/>
        <v>0</v>
      </c>
      <c r="IQ46" s="115">
        <f t="shared" si="87"/>
        <v>0</v>
      </c>
      <c r="IR46" s="115">
        <f t="shared" si="88"/>
        <v>0</v>
      </c>
      <c r="IS46" s="115">
        <f t="shared" si="89"/>
        <v>0</v>
      </c>
      <c r="IT46" s="115">
        <f t="shared" si="90"/>
        <v>0</v>
      </c>
      <c r="IU46" s="115">
        <f t="shared" si="91"/>
        <v>0</v>
      </c>
      <c r="IV46" s="115">
        <f t="shared" si="92"/>
        <v>0</v>
      </c>
      <c r="IW46" s="115">
        <f t="shared" si="93"/>
        <v>0</v>
      </c>
      <c r="IX46" s="115">
        <f t="shared" si="94"/>
        <v>0</v>
      </c>
      <c r="IY46" s="115">
        <f t="shared" si="95"/>
        <v>0</v>
      </c>
      <c r="IZ46" s="115">
        <f t="shared" si="96"/>
        <v>0</v>
      </c>
      <c r="JA46" s="115">
        <f t="shared" si="97"/>
        <v>0</v>
      </c>
      <c r="JB46" s="115">
        <f t="shared" si="98"/>
        <v>0</v>
      </c>
      <c r="JC46" s="115">
        <f t="shared" si="99"/>
        <v>0</v>
      </c>
      <c r="JD46" s="115">
        <f t="shared" si="100"/>
        <v>0</v>
      </c>
      <c r="JE46" s="115">
        <f t="shared" si="101"/>
        <v>0</v>
      </c>
      <c r="JF46" s="115">
        <f t="shared" si="102"/>
        <v>0</v>
      </c>
      <c r="JG46" s="115">
        <f t="shared" si="103"/>
        <v>0</v>
      </c>
      <c r="JH46" s="115">
        <f t="shared" si="104"/>
        <v>0</v>
      </c>
      <c r="JI46" s="115">
        <f t="shared" si="105"/>
        <v>0</v>
      </c>
      <c r="JJ46" s="115">
        <f t="shared" si="106"/>
        <v>0</v>
      </c>
      <c r="JK46" s="115">
        <f t="shared" si="107"/>
        <v>0</v>
      </c>
      <c r="JL46" s="119">
        <f t="shared" si="111"/>
        <v>0</v>
      </c>
      <c r="JO46" s="92">
        <f t="shared" si="112"/>
        <v>0</v>
      </c>
      <c r="JP46" s="121">
        <f t="shared" si="108"/>
        <v>0</v>
      </c>
      <c r="JQ46" s="93">
        <f t="shared" si="2"/>
        <v>0</v>
      </c>
      <c r="JS46" s="124">
        <f t="shared" si="109"/>
        <v>0</v>
      </c>
      <c r="JU46" s="124">
        <f t="shared" ref="JU46" si="114">JQ46+JS46</f>
        <v>0</v>
      </c>
    </row>
    <row r="47" spans="2:281" x14ac:dyDescent="0.15">
      <c r="D47" s="82"/>
      <c r="E47" s="82"/>
    </row>
  </sheetData>
  <mergeCells count="6">
    <mergeCell ref="F2:BE2"/>
    <mergeCell ref="JO3:JP3"/>
    <mergeCell ref="BG2:DE2"/>
    <mergeCell ref="HL2:JL2"/>
    <mergeCell ref="DH2:FG2"/>
    <mergeCell ref="FJ2:HJ2"/>
  </mergeCells>
  <phoneticPr fontId="28" type="noConversion"/>
  <pageMargins left="0.7" right="0.7" top="0.75" bottom="0.75" header="0.3" footer="0.3"/>
  <pageSetup paperSize="9" orientation="portrait" r:id="rId1"/>
  <headerFooter>
    <oddFooter>&amp;C_x000D_&amp;1#&amp;"Calibri"&amp;10&amp;K000000 AXA IM - RESTRICTED</oddFooter>
  </headerFooter>
  <ignoredErrors>
    <ignoredError sqref="DI5:EF5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86056-EFB6-47A8-B5C2-98B4F65CC364}">
  <sheetPr codeName="Feuil10">
    <pageSetUpPr fitToPage="1"/>
  </sheetPr>
  <dimension ref="A1:BQ92"/>
  <sheetViews>
    <sheetView showGridLines="0" tabSelected="1" zoomScale="75" zoomScaleNormal="70" workbookViewId="0">
      <pane xSplit="2" ySplit="7" topLeftCell="I8" activePane="bottomRight" state="frozen"/>
      <selection activeCell="F3" sqref="F3"/>
      <selection pane="topRight" activeCell="F3" sqref="F3"/>
      <selection pane="bottomLeft" activeCell="F3" sqref="F3"/>
      <selection pane="bottomRight" activeCell="BO8" sqref="BO8"/>
    </sheetView>
  </sheetViews>
  <sheetFormatPr baseColWidth="10" defaultColWidth="11.5" defaultRowHeight="14" outlineLevelCol="1" x14ac:dyDescent="0.15"/>
  <cols>
    <col min="1" max="1" width="20.6640625" style="63" customWidth="1"/>
    <col min="2" max="2" width="32.33203125" customWidth="1"/>
    <col min="3" max="3" width="17.5" customWidth="1"/>
    <col min="4" max="4" width="13.6640625" customWidth="1"/>
    <col min="5" max="5" width="12.6640625" customWidth="1"/>
    <col min="6" max="6" width="12.6640625" hidden="1" customWidth="1" outlineLevel="1"/>
    <col min="7" max="7" width="12.6640625" customWidth="1" collapsed="1"/>
    <col min="8" max="9" width="12.6640625" customWidth="1"/>
    <col min="10" max="20" width="12.6640625" customWidth="1" outlineLevel="1"/>
    <col min="21" max="21" width="12.5" customWidth="1" outlineLevel="1"/>
    <col min="22" max="49" width="12.6640625" customWidth="1" outlineLevel="1"/>
    <col min="50" max="50" width="12.6640625" style="7" customWidth="1" outlineLevel="1"/>
    <col min="51" max="58" width="12.6640625" customWidth="1" outlineLevel="1"/>
    <col min="59" max="59" width="6.5" customWidth="1"/>
    <col min="60" max="61" width="16.5" customWidth="1"/>
    <col min="62" max="64" width="11.5" customWidth="1"/>
    <col min="65" max="65" width="11.5" style="36" customWidth="1"/>
    <col min="66" max="66" width="11.5" customWidth="1"/>
    <col min="67" max="67" width="19.6640625" customWidth="1"/>
  </cols>
  <sheetData>
    <row r="1" spans="1:69" s="1" customFormat="1" ht="12.5" customHeight="1" thickBot="1" x14ac:dyDescent="0.2">
      <c r="A1" s="61"/>
      <c r="B1" s="200" t="s">
        <v>155</v>
      </c>
      <c r="C1" s="58"/>
      <c r="D1" s="202" t="s">
        <v>130</v>
      </c>
      <c r="E1" s="202"/>
      <c r="F1" s="202"/>
      <c r="G1" s="202"/>
      <c r="H1" s="202"/>
      <c r="I1" s="202"/>
      <c r="J1" s="202"/>
      <c r="K1" s="202"/>
      <c r="L1" s="202"/>
      <c r="M1" s="202"/>
      <c r="N1" s="202"/>
      <c r="O1" s="202"/>
      <c r="P1" s="202"/>
      <c r="Q1" s="202"/>
      <c r="R1" s="202"/>
      <c r="S1" s="202"/>
      <c r="T1" s="202"/>
      <c r="U1" s="202"/>
      <c r="V1" s="202"/>
      <c r="W1" s="202"/>
      <c r="X1" s="202"/>
      <c r="Y1" s="202"/>
      <c r="Z1" s="202"/>
      <c r="AA1" s="202"/>
      <c r="AB1" s="202"/>
      <c r="AC1" s="202"/>
      <c r="AD1" s="202"/>
      <c r="AE1" s="202"/>
      <c r="AF1" s="202"/>
      <c r="AG1" s="202"/>
      <c r="AH1" s="202"/>
      <c r="AI1" s="202"/>
      <c r="AJ1" s="202"/>
      <c r="AK1" s="202"/>
      <c r="AL1" s="202"/>
      <c r="AM1" s="20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M1" s="35"/>
    </row>
    <row r="2" spans="1:69" s="1" customFormat="1" ht="50.25" customHeight="1" thickBot="1" x14ac:dyDescent="0.2">
      <c r="A2" s="61"/>
      <c r="B2" s="201"/>
      <c r="C2" s="59"/>
      <c r="D2" s="202"/>
      <c r="E2" s="202"/>
      <c r="F2" s="202"/>
      <c r="G2" s="202"/>
      <c r="H2" s="202"/>
      <c r="I2" s="202"/>
      <c r="J2" s="202"/>
      <c r="K2" s="202"/>
      <c r="L2" s="202"/>
      <c r="M2" s="202"/>
      <c r="N2" s="202"/>
      <c r="O2" s="202"/>
      <c r="P2" s="202"/>
      <c r="Q2" s="202"/>
      <c r="R2" s="202"/>
      <c r="S2" s="202"/>
      <c r="T2" s="202"/>
      <c r="U2" s="202"/>
      <c r="V2" s="202"/>
      <c r="W2" s="202"/>
      <c r="X2" s="202"/>
      <c r="Y2" s="202"/>
      <c r="Z2" s="202"/>
      <c r="AA2" s="202"/>
      <c r="AB2" s="202"/>
      <c r="AC2" s="202"/>
      <c r="AD2" s="202"/>
      <c r="AE2" s="202"/>
      <c r="AF2" s="202"/>
      <c r="AG2" s="202"/>
      <c r="AH2" s="202"/>
      <c r="AI2" s="202"/>
      <c r="AJ2" s="202"/>
      <c r="AK2" s="202"/>
      <c r="AL2" s="202"/>
      <c r="AM2" s="20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101" t="s">
        <v>131</v>
      </c>
      <c r="BK2" s="102"/>
      <c r="BL2" s="102"/>
      <c r="BM2" s="102"/>
      <c r="BN2" s="102"/>
      <c r="BO2" s="103"/>
    </row>
    <row r="3" spans="1:69" s="16" customFormat="1" ht="13.25" customHeight="1" x14ac:dyDescent="0.15">
      <c r="A3" s="61"/>
      <c r="E3" s="17"/>
      <c r="F3" s="17">
        <v>45656</v>
      </c>
      <c r="G3" s="17">
        <f t="shared" ref="G3:AH3" si="0">F4+1</f>
        <v>45663</v>
      </c>
      <c r="H3" s="17">
        <f t="shared" si="0"/>
        <v>45670</v>
      </c>
      <c r="I3" s="17">
        <f t="shared" si="0"/>
        <v>45677</v>
      </c>
      <c r="J3" s="17">
        <f t="shared" si="0"/>
        <v>45684</v>
      </c>
      <c r="K3" s="17">
        <f t="shared" si="0"/>
        <v>45691</v>
      </c>
      <c r="L3" s="17">
        <f t="shared" si="0"/>
        <v>45698</v>
      </c>
      <c r="M3" s="17">
        <f t="shared" si="0"/>
        <v>45705</v>
      </c>
      <c r="N3" s="17">
        <f t="shared" si="0"/>
        <v>45712</v>
      </c>
      <c r="O3" s="17">
        <f t="shared" si="0"/>
        <v>45719</v>
      </c>
      <c r="P3" s="17">
        <f t="shared" si="0"/>
        <v>45726</v>
      </c>
      <c r="Q3" s="17">
        <f t="shared" si="0"/>
        <v>45733</v>
      </c>
      <c r="R3" s="17">
        <f t="shared" si="0"/>
        <v>45740</v>
      </c>
      <c r="S3" s="17">
        <f t="shared" si="0"/>
        <v>45747</v>
      </c>
      <c r="T3" s="17">
        <f t="shared" si="0"/>
        <v>45754</v>
      </c>
      <c r="U3" s="17">
        <f t="shared" si="0"/>
        <v>45761</v>
      </c>
      <c r="V3" s="17">
        <f t="shared" si="0"/>
        <v>45768</v>
      </c>
      <c r="W3" s="17">
        <f t="shared" si="0"/>
        <v>45775</v>
      </c>
      <c r="X3" s="17">
        <f t="shared" si="0"/>
        <v>45782</v>
      </c>
      <c r="Y3" s="17">
        <f t="shared" si="0"/>
        <v>45789</v>
      </c>
      <c r="Z3" s="17">
        <f t="shared" si="0"/>
        <v>45796</v>
      </c>
      <c r="AA3" s="17">
        <f>Z4+1</f>
        <v>45803</v>
      </c>
      <c r="AB3" s="17">
        <f t="shared" si="0"/>
        <v>45810</v>
      </c>
      <c r="AC3" s="17">
        <f t="shared" si="0"/>
        <v>45817</v>
      </c>
      <c r="AD3" s="17">
        <f t="shared" si="0"/>
        <v>45824</v>
      </c>
      <c r="AE3" s="17">
        <f t="shared" si="0"/>
        <v>45831</v>
      </c>
      <c r="AF3" s="17">
        <f t="shared" si="0"/>
        <v>45838</v>
      </c>
      <c r="AG3" s="17">
        <f t="shared" si="0"/>
        <v>45845</v>
      </c>
      <c r="AH3" s="17">
        <f t="shared" si="0"/>
        <v>45852</v>
      </c>
      <c r="AI3" s="17">
        <f>AH4+1</f>
        <v>45859</v>
      </c>
      <c r="AJ3" s="17">
        <f t="shared" ref="AJ3:BD3" si="1">AI4+1</f>
        <v>45866</v>
      </c>
      <c r="AK3" s="17">
        <f t="shared" si="1"/>
        <v>45873</v>
      </c>
      <c r="AL3" s="17">
        <f t="shared" si="1"/>
        <v>45880</v>
      </c>
      <c r="AM3" s="17">
        <f t="shared" si="1"/>
        <v>45887</v>
      </c>
      <c r="AN3" s="17">
        <f t="shared" si="1"/>
        <v>45894</v>
      </c>
      <c r="AO3" s="17">
        <f t="shared" si="1"/>
        <v>45901</v>
      </c>
      <c r="AP3" s="17">
        <f t="shared" si="1"/>
        <v>45908</v>
      </c>
      <c r="AQ3" s="17">
        <f t="shared" si="1"/>
        <v>45915</v>
      </c>
      <c r="AR3" s="17">
        <f t="shared" si="1"/>
        <v>45922</v>
      </c>
      <c r="AS3" s="17">
        <f t="shared" si="1"/>
        <v>45929</v>
      </c>
      <c r="AT3" s="17">
        <f t="shared" si="1"/>
        <v>45936</v>
      </c>
      <c r="AU3" s="17">
        <f t="shared" si="1"/>
        <v>45943</v>
      </c>
      <c r="AV3" s="17">
        <f t="shared" si="1"/>
        <v>45950</v>
      </c>
      <c r="AW3" s="17">
        <f t="shared" si="1"/>
        <v>45957</v>
      </c>
      <c r="AX3" s="17">
        <f t="shared" si="1"/>
        <v>45964</v>
      </c>
      <c r="AY3" s="17">
        <f t="shared" si="1"/>
        <v>45971</v>
      </c>
      <c r="AZ3" s="17">
        <f t="shared" si="1"/>
        <v>45978</v>
      </c>
      <c r="BA3" s="17">
        <f t="shared" si="1"/>
        <v>45985</v>
      </c>
      <c r="BB3" s="17">
        <f t="shared" si="1"/>
        <v>45992</v>
      </c>
      <c r="BC3" s="17">
        <f t="shared" si="1"/>
        <v>45999</v>
      </c>
      <c r="BD3" s="17">
        <f t="shared" si="1"/>
        <v>46006</v>
      </c>
      <c r="BE3" s="17">
        <f>BD4+1</f>
        <v>46013</v>
      </c>
      <c r="BF3" s="17">
        <f>BE4+1</f>
        <v>46020</v>
      </c>
      <c r="BG3" s="19"/>
      <c r="BJ3" s="177" t="s">
        <v>107</v>
      </c>
      <c r="BK3" s="178"/>
      <c r="BL3" s="178"/>
      <c r="BM3" s="178"/>
      <c r="BN3" s="178"/>
      <c r="BO3" s="179"/>
    </row>
    <row r="4" spans="1:69" s="16" customFormat="1" ht="13.25" customHeight="1" x14ac:dyDescent="0.15">
      <c r="A4" s="61"/>
      <c r="E4" s="17"/>
      <c r="F4" s="17">
        <f>F3+6</f>
        <v>45662</v>
      </c>
      <c r="G4" s="17">
        <f t="shared" ref="G4:BF4" si="2">G3+6</f>
        <v>45669</v>
      </c>
      <c r="H4" s="17">
        <f t="shared" si="2"/>
        <v>45676</v>
      </c>
      <c r="I4" s="17">
        <f t="shared" si="2"/>
        <v>45683</v>
      </c>
      <c r="J4" s="17">
        <f t="shared" si="2"/>
        <v>45690</v>
      </c>
      <c r="K4" s="17">
        <f t="shared" si="2"/>
        <v>45697</v>
      </c>
      <c r="L4" s="17">
        <f t="shared" si="2"/>
        <v>45704</v>
      </c>
      <c r="M4" s="17">
        <f t="shared" si="2"/>
        <v>45711</v>
      </c>
      <c r="N4" s="17">
        <f t="shared" si="2"/>
        <v>45718</v>
      </c>
      <c r="O4" s="17">
        <f t="shared" si="2"/>
        <v>45725</v>
      </c>
      <c r="P4" s="17">
        <f t="shared" si="2"/>
        <v>45732</v>
      </c>
      <c r="Q4" s="17">
        <f t="shared" si="2"/>
        <v>45739</v>
      </c>
      <c r="R4" s="17">
        <f t="shared" si="2"/>
        <v>45746</v>
      </c>
      <c r="S4" s="17">
        <f t="shared" si="2"/>
        <v>45753</v>
      </c>
      <c r="T4" s="17">
        <f t="shared" si="2"/>
        <v>45760</v>
      </c>
      <c r="U4" s="17">
        <f t="shared" si="2"/>
        <v>45767</v>
      </c>
      <c r="V4" s="17">
        <f t="shared" si="2"/>
        <v>45774</v>
      </c>
      <c r="W4" s="17">
        <f t="shared" si="2"/>
        <v>45781</v>
      </c>
      <c r="X4" s="17">
        <f t="shared" si="2"/>
        <v>45788</v>
      </c>
      <c r="Y4" s="17">
        <f t="shared" si="2"/>
        <v>45795</v>
      </c>
      <c r="Z4" s="17">
        <f t="shared" si="2"/>
        <v>45802</v>
      </c>
      <c r="AA4" s="17">
        <f t="shared" si="2"/>
        <v>45809</v>
      </c>
      <c r="AB4" s="17">
        <f t="shared" si="2"/>
        <v>45816</v>
      </c>
      <c r="AC4" s="17">
        <f t="shared" si="2"/>
        <v>45823</v>
      </c>
      <c r="AD4" s="17">
        <f t="shared" si="2"/>
        <v>45830</v>
      </c>
      <c r="AE4" s="17">
        <f t="shared" si="2"/>
        <v>45837</v>
      </c>
      <c r="AF4" s="17">
        <f t="shared" si="2"/>
        <v>45844</v>
      </c>
      <c r="AG4" s="17">
        <f t="shared" si="2"/>
        <v>45851</v>
      </c>
      <c r="AH4" s="17">
        <f t="shared" si="2"/>
        <v>45858</v>
      </c>
      <c r="AI4" s="17">
        <f t="shared" si="2"/>
        <v>45865</v>
      </c>
      <c r="AJ4" s="17">
        <f t="shared" si="2"/>
        <v>45872</v>
      </c>
      <c r="AK4" s="17">
        <f t="shared" si="2"/>
        <v>45879</v>
      </c>
      <c r="AL4" s="17">
        <f t="shared" si="2"/>
        <v>45886</v>
      </c>
      <c r="AM4" s="17">
        <f t="shared" si="2"/>
        <v>45893</v>
      </c>
      <c r="AN4" s="17">
        <f t="shared" si="2"/>
        <v>45900</v>
      </c>
      <c r="AO4" s="17">
        <f t="shared" si="2"/>
        <v>45907</v>
      </c>
      <c r="AP4" s="17">
        <f t="shared" si="2"/>
        <v>45914</v>
      </c>
      <c r="AQ4" s="17">
        <f t="shared" si="2"/>
        <v>45921</v>
      </c>
      <c r="AR4" s="17">
        <f t="shared" si="2"/>
        <v>45928</v>
      </c>
      <c r="AS4" s="17">
        <f t="shared" si="2"/>
        <v>45935</v>
      </c>
      <c r="AT4" s="17">
        <f t="shared" si="2"/>
        <v>45942</v>
      </c>
      <c r="AU4" s="17">
        <f t="shared" si="2"/>
        <v>45949</v>
      </c>
      <c r="AV4" s="17">
        <f t="shared" si="2"/>
        <v>45956</v>
      </c>
      <c r="AW4" s="17">
        <f t="shared" si="2"/>
        <v>45963</v>
      </c>
      <c r="AX4" s="17">
        <f t="shared" si="2"/>
        <v>45970</v>
      </c>
      <c r="AY4" s="17">
        <f t="shared" si="2"/>
        <v>45977</v>
      </c>
      <c r="AZ4" s="17">
        <f t="shared" si="2"/>
        <v>45984</v>
      </c>
      <c r="BA4" s="17">
        <f t="shared" si="2"/>
        <v>45991</v>
      </c>
      <c r="BB4" s="17">
        <f t="shared" si="2"/>
        <v>45998</v>
      </c>
      <c r="BC4" s="17">
        <f t="shared" si="2"/>
        <v>46005</v>
      </c>
      <c r="BD4" s="17">
        <f t="shared" si="2"/>
        <v>46012</v>
      </c>
      <c r="BE4" s="17">
        <f t="shared" si="2"/>
        <v>46019</v>
      </c>
      <c r="BF4" s="17">
        <f t="shared" si="2"/>
        <v>46026</v>
      </c>
      <c r="BG4" s="19"/>
      <c r="BJ4" s="177"/>
      <c r="BK4" s="178"/>
      <c r="BL4" s="178"/>
      <c r="BM4" s="178"/>
      <c r="BN4" s="178"/>
      <c r="BO4" s="179"/>
    </row>
    <row r="5" spans="1:69" s="16" customFormat="1" ht="13.25" customHeight="1" x14ac:dyDescent="0.15">
      <c r="A5" s="61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9"/>
      <c r="BJ5" s="177"/>
      <c r="BK5" s="178"/>
      <c r="BL5" s="178"/>
      <c r="BM5" s="178"/>
      <c r="BN5" s="178"/>
      <c r="BO5" s="179"/>
    </row>
    <row r="6" spans="1:69" s="1" customFormat="1" ht="8.75" customHeight="1" thickBot="1" x14ac:dyDescent="0.25">
      <c r="A6" s="61"/>
      <c r="B6" s="4"/>
      <c r="C6" s="4"/>
      <c r="D6" s="4"/>
      <c r="E6" s="9"/>
      <c r="F6" s="9">
        <f t="shared" ref="F6:AK6" ca="1" si="3">IF(AND(TODAY()&gt;=F3,TODAY()&lt;=F4),1,0)</f>
        <v>0</v>
      </c>
      <c r="G6" s="9">
        <f t="shared" ca="1" si="3"/>
        <v>0</v>
      </c>
      <c r="H6" s="9">
        <f t="shared" ca="1" si="3"/>
        <v>0</v>
      </c>
      <c r="I6" s="9">
        <f t="shared" ca="1" si="3"/>
        <v>0</v>
      </c>
      <c r="J6" s="9">
        <f t="shared" ca="1" si="3"/>
        <v>0</v>
      </c>
      <c r="K6" s="9">
        <f t="shared" ca="1" si="3"/>
        <v>0</v>
      </c>
      <c r="L6" s="9">
        <f t="shared" ca="1" si="3"/>
        <v>0</v>
      </c>
      <c r="M6" s="9">
        <f t="shared" ca="1" si="3"/>
        <v>0</v>
      </c>
      <c r="N6" s="9">
        <f t="shared" ca="1" si="3"/>
        <v>0</v>
      </c>
      <c r="O6" s="9">
        <f t="shared" ca="1" si="3"/>
        <v>0</v>
      </c>
      <c r="P6" s="9">
        <f t="shared" ca="1" si="3"/>
        <v>0</v>
      </c>
      <c r="Q6" s="9">
        <f t="shared" ca="1" si="3"/>
        <v>0</v>
      </c>
      <c r="R6" s="9">
        <f t="shared" ca="1" si="3"/>
        <v>0</v>
      </c>
      <c r="S6" s="9">
        <f t="shared" ca="1" si="3"/>
        <v>1</v>
      </c>
      <c r="T6" s="9">
        <f t="shared" ca="1" si="3"/>
        <v>0</v>
      </c>
      <c r="U6" s="9">
        <f t="shared" ca="1" si="3"/>
        <v>0</v>
      </c>
      <c r="V6" s="9">
        <f t="shared" ca="1" si="3"/>
        <v>0</v>
      </c>
      <c r="W6" s="9">
        <f t="shared" ca="1" si="3"/>
        <v>0</v>
      </c>
      <c r="X6" s="9">
        <f t="shared" ca="1" si="3"/>
        <v>0</v>
      </c>
      <c r="Y6" s="9">
        <f t="shared" ca="1" si="3"/>
        <v>0</v>
      </c>
      <c r="Z6" s="9">
        <f t="shared" ca="1" si="3"/>
        <v>0</v>
      </c>
      <c r="AA6" s="9">
        <f t="shared" ca="1" si="3"/>
        <v>0</v>
      </c>
      <c r="AB6" s="9">
        <f t="shared" ca="1" si="3"/>
        <v>0</v>
      </c>
      <c r="AC6" s="9">
        <f t="shared" ca="1" si="3"/>
        <v>0</v>
      </c>
      <c r="AD6" s="9">
        <f t="shared" ca="1" si="3"/>
        <v>0</v>
      </c>
      <c r="AE6" s="9">
        <f t="shared" ca="1" si="3"/>
        <v>0</v>
      </c>
      <c r="AF6" s="9">
        <f t="shared" ca="1" si="3"/>
        <v>0</v>
      </c>
      <c r="AG6" s="9">
        <f t="shared" ca="1" si="3"/>
        <v>0</v>
      </c>
      <c r="AH6" s="9">
        <f t="shared" ca="1" si="3"/>
        <v>0</v>
      </c>
      <c r="AI6" s="14">
        <f t="shared" ca="1" si="3"/>
        <v>0</v>
      </c>
      <c r="AJ6" s="14">
        <f t="shared" ca="1" si="3"/>
        <v>0</v>
      </c>
      <c r="AK6" s="14">
        <f t="shared" ca="1" si="3"/>
        <v>0</v>
      </c>
      <c r="AL6" s="14">
        <f t="shared" ref="AL6:BD6" ca="1" si="4">IF(AND(TODAY()&gt;=AL3,TODAY()&lt;=AL4),1,0)</f>
        <v>0</v>
      </c>
      <c r="AM6" s="14">
        <f t="shared" ca="1" si="4"/>
        <v>0</v>
      </c>
      <c r="AN6" s="14">
        <f t="shared" ca="1" si="4"/>
        <v>0</v>
      </c>
      <c r="AO6" s="14">
        <f t="shared" ca="1" si="4"/>
        <v>0</v>
      </c>
      <c r="AP6" s="14">
        <f t="shared" ca="1" si="4"/>
        <v>0</v>
      </c>
      <c r="AQ6" s="14">
        <f t="shared" ca="1" si="4"/>
        <v>0</v>
      </c>
      <c r="AR6" s="14">
        <f t="shared" ca="1" si="4"/>
        <v>0</v>
      </c>
      <c r="AS6" s="14">
        <f t="shared" ca="1" si="4"/>
        <v>0</v>
      </c>
      <c r="AT6" s="14">
        <f t="shared" ca="1" si="4"/>
        <v>0</v>
      </c>
      <c r="AU6" s="14">
        <f t="shared" ca="1" si="4"/>
        <v>0</v>
      </c>
      <c r="AV6" s="14">
        <f t="shared" ca="1" si="4"/>
        <v>0</v>
      </c>
      <c r="AW6" s="14">
        <f t="shared" ca="1" si="4"/>
        <v>0</v>
      </c>
      <c r="AX6" s="14">
        <f t="shared" ca="1" si="4"/>
        <v>0</v>
      </c>
      <c r="AY6" s="14">
        <f t="shared" ca="1" si="4"/>
        <v>0</v>
      </c>
      <c r="AZ6" s="14">
        <f t="shared" ca="1" si="4"/>
        <v>0</v>
      </c>
      <c r="BA6" s="14">
        <f t="shared" ca="1" si="4"/>
        <v>0</v>
      </c>
      <c r="BB6" s="14">
        <f t="shared" ca="1" si="4"/>
        <v>0</v>
      </c>
      <c r="BC6" s="14">
        <f t="shared" ca="1" si="4"/>
        <v>0</v>
      </c>
      <c r="BD6" s="14">
        <f t="shared" ca="1" si="4"/>
        <v>0</v>
      </c>
      <c r="BE6" s="14"/>
      <c r="BF6" s="14">
        <f ca="1">IF(AND(TODAY()&gt;=BF3,TODAY()&lt;=BF4),1,0)</f>
        <v>0</v>
      </c>
      <c r="BG6" s="13"/>
      <c r="BH6" s="12"/>
      <c r="BI6" s="12"/>
      <c r="BJ6" s="180"/>
      <c r="BK6" s="181"/>
      <c r="BL6" s="181"/>
      <c r="BM6" s="181"/>
      <c r="BN6" s="181"/>
      <c r="BO6" s="182"/>
    </row>
    <row r="7" spans="1:69" s="2" customFormat="1" ht="130.5" customHeight="1" thickBot="1" x14ac:dyDescent="0.2">
      <c r="A7" s="62" t="s">
        <v>119</v>
      </c>
      <c r="B7" s="48"/>
      <c r="C7" s="45" t="s">
        <v>81</v>
      </c>
      <c r="D7" s="24" t="s">
        <v>83</v>
      </c>
      <c r="E7" s="40">
        <v>2024</v>
      </c>
      <c r="F7" s="78" t="s">
        <v>38</v>
      </c>
      <c r="G7" s="125" t="s">
        <v>0</v>
      </c>
      <c r="H7" s="125" t="s">
        <v>1</v>
      </c>
      <c r="I7" s="125" t="s">
        <v>2</v>
      </c>
      <c r="J7" s="125" t="s">
        <v>3</v>
      </c>
      <c r="K7" s="125" t="s">
        <v>4</v>
      </c>
      <c r="L7" s="125" t="s">
        <v>5</v>
      </c>
      <c r="M7" s="125" t="s">
        <v>6</v>
      </c>
      <c r="N7" s="125" t="s">
        <v>7</v>
      </c>
      <c r="O7" s="125" t="s">
        <v>8</v>
      </c>
      <c r="P7" s="125" t="s">
        <v>9</v>
      </c>
      <c r="Q7" s="30" t="s">
        <v>10</v>
      </c>
      <c r="R7" s="30" t="s">
        <v>55</v>
      </c>
      <c r="S7" s="30" t="s">
        <v>34</v>
      </c>
      <c r="T7" s="30" t="s">
        <v>56</v>
      </c>
      <c r="U7" s="30" t="s">
        <v>11</v>
      </c>
      <c r="V7" s="30" t="s">
        <v>57</v>
      </c>
      <c r="W7" s="30" t="s">
        <v>58</v>
      </c>
      <c r="X7" s="30" t="s">
        <v>59</v>
      </c>
      <c r="Y7" s="30" t="s">
        <v>60</v>
      </c>
      <c r="Z7" s="30" t="s">
        <v>61</v>
      </c>
      <c r="AA7" s="30" t="s">
        <v>62</v>
      </c>
      <c r="AB7" s="30" t="s">
        <v>63</v>
      </c>
      <c r="AC7" s="30" t="s">
        <v>64</v>
      </c>
      <c r="AD7" s="30" t="s">
        <v>12</v>
      </c>
      <c r="AE7" s="30" t="s">
        <v>13</v>
      </c>
      <c r="AF7" s="30" t="s">
        <v>14</v>
      </c>
      <c r="AG7" s="30" t="s">
        <v>51</v>
      </c>
      <c r="AH7" s="30" t="s">
        <v>36</v>
      </c>
      <c r="AI7" s="30" t="s">
        <v>15</v>
      </c>
      <c r="AJ7" s="26" t="s">
        <v>16</v>
      </c>
      <c r="AK7" s="30" t="s">
        <v>17</v>
      </c>
      <c r="AL7" s="30" t="s">
        <v>65</v>
      </c>
      <c r="AM7" s="30" t="s">
        <v>18</v>
      </c>
      <c r="AN7" s="30" t="s">
        <v>19</v>
      </c>
      <c r="AO7" s="30" t="s">
        <v>20</v>
      </c>
      <c r="AP7" s="30" t="s">
        <v>21</v>
      </c>
      <c r="AQ7" s="30" t="s">
        <v>22</v>
      </c>
      <c r="AR7" s="30" t="s">
        <v>23</v>
      </c>
      <c r="AS7" s="30" t="s">
        <v>24</v>
      </c>
      <c r="AT7" s="30" t="s">
        <v>25</v>
      </c>
      <c r="AU7" s="30" t="s">
        <v>26</v>
      </c>
      <c r="AV7" s="30" t="s">
        <v>27</v>
      </c>
      <c r="AW7" s="30" t="s">
        <v>52</v>
      </c>
      <c r="AX7" s="30" t="s">
        <v>39</v>
      </c>
      <c r="AY7" s="30" t="s">
        <v>66</v>
      </c>
      <c r="AZ7" s="30" t="s">
        <v>28</v>
      </c>
      <c r="BA7" s="30" t="s">
        <v>29</v>
      </c>
      <c r="BB7" s="30" t="s">
        <v>30</v>
      </c>
      <c r="BC7" s="30" t="s">
        <v>31</v>
      </c>
      <c r="BD7" s="30" t="s">
        <v>32</v>
      </c>
      <c r="BE7" s="30" t="s">
        <v>67</v>
      </c>
      <c r="BF7" s="77" t="s">
        <v>150</v>
      </c>
      <c r="BG7" s="37"/>
      <c r="BH7" s="37"/>
      <c r="BI7" s="105"/>
      <c r="BJ7" s="39" t="s">
        <v>141</v>
      </c>
      <c r="BK7" s="86" t="s">
        <v>142</v>
      </c>
      <c r="BL7" s="86" t="s">
        <v>105</v>
      </c>
      <c r="BM7" s="86" t="s">
        <v>116</v>
      </c>
      <c r="BN7" s="86" t="s">
        <v>109</v>
      </c>
      <c r="BO7" s="87" t="s">
        <v>108</v>
      </c>
      <c r="BQ7" s="68" t="s">
        <v>120</v>
      </c>
    </row>
    <row r="8" spans="1:69" s="1" customFormat="1" ht="24.75" customHeight="1" thickBot="1" x14ac:dyDescent="0.25">
      <c r="A8" s="62"/>
      <c r="B8" s="10" t="s">
        <v>154</v>
      </c>
      <c r="C8" s="41" t="s">
        <v>82</v>
      </c>
      <c r="D8" s="33">
        <v>37</v>
      </c>
      <c r="E8" s="72">
        <v>0</v>
      </c>
      <c r="F8" s="31">
        <v>39</v>
      </c>
      <c r="G8" s="128">
        <v>37</v>
      </c>
      <c r="H8" s="128">
        <v>37</v>
      </c>
      <c r="I8" s="128">
        <v>37</v>
      </c>
      <c r="J8" s="128">
        <v>37</v>
      </c>
      <c r="K8" s="128">
        <v>37</v>
      </c>
      <c r="L8" s="23">
        <v>41</v>
      </c>
      <c r="M8" s="23">
        <v>33</v>
      </c>
      <c r="N8" s="23">
        <v>41</v>
      </c>
      <c r="O8" s="23">
        <v>33</v>
      </c>
      <c r="P8" s="23">
        <v>41</v>
      </c>
      <c r="Q8" s="23">
        <v>33</v>
      </c>
      <c r="R8" s="23">
        <v>41</v>
      </c>
      <c r="S8" s="23">
        <v>33</v>
      </c>
      <c r="T8" s="23">
        <v>41</v>
      </c>
      <c r="U8" s="23">
        <v>33</v>
      </c>
      <c r="V8" s="23">
        <v>41</v>
      </c>
      <c r="W8" s="23">
        <v>33</v>
      </c>
      <c r="X8" s="23">
        <v>41</v>
      </c>
      <c r="Y8" s="23">
        <v>33</v>
      </c>
      <c r="Z8" s="23">
        <v>41</v>
      </c>
      <c r="AA8" s="23">
        <v>33</v>
      </c>
      <c r="AB8" s="23">
        <v>41</v>
      </c>
      <c r="AC8" s="23">
        <v>33</v>
      </c>
      <c r="AD8" s="23">
        <v>41</v>
      </c>
      <c r="AE8" s="23">
        <v>33</v>
      </c>
      <c r="AF8" s="23">
        <v>41</v>
      </c>
      <c r="AG8" s="23">
        <v>33</v>
      </c>
      <c r="AH8" s="23">
        <v>41</v>
      </c>
      <c r="AI8" s="23">
        <v>33</v>
      </c>
      <c r="AJ8" s="23">
        <v>41</v>
      </c>
      <c r="AK8" s="23">
        <v>33</v>
      </c>
      <c r="AL8" s="23">
        <v>41</v>
      </c>
      <c r="AM8" s="23">
        <v>33</v>
      </c>
      <c r="AN8" s="23">
        <v>41</v>
      </c>
      <c r="AO8" s="23">
        <v>33</v>
      </c>
      <c r="AP8" s="23">
        <v>41</v>
      </c>
      <c r="AQ8" s="23">
        <v>33</v>
      </c>
      <c r="AR8" s="23">
        <v>41</v>
      </c>
      <c r="AS8" s="23">
        <v>33</v>
      </c>
      <c r="AT8" s="23">
        <v>41</v>
      </c>
      <c r="AU8" s="23">
        <v>33</v>
      </c>
      <c r="AV8" s="23">
        <v>41</v>
      </c>
      <c r="AW8" s="23">
        <v>33</v>
      </c>
      <c r="AX8" s="23">
        <v>41</v>
      </c>
      <c r="AY8" s="23">
        <v>33</v>
      </c>
      <c r="AZ8" s="23">
        <v>41</v>
      </c>
      <c r="BA8" s="23">
        <v>33</v>
      </c>
      <c r="BB8" s="23">
        <v>41</v>
      </c>
      <c r="BC8" s="23">
        <v>33</v>
      </c>
      <c r="BD8" s="23">
        <v>41</v>
      </c>
      <c r="BE8" s="23">
        <v>33</v>
      </c>
      <c r="BF8" s="75">
        <v>41</v>
      </c>
      <c r="BG8" s="12"/>
      <c r="BH8" s="203" t="str">
        <f>+B8</f>
        <v>ABDELADIM Adem</v>
      </c>
      <c r="BI8" s="204"/>
      <c r="BJ8" s="104">
        <f>'detail par semaine'!JO5</f>
        <v>8</v>
      </c>
      <c r="BK8" s="65">
        <f>'detail par semaine'!JP5</f>
        <v>0</v>
      </c>
      <c r="BL8" s="65">
        <f>'detail par semaine'!JQ5</f>
        <v>10</v>
      </c>
      <c r="BM8" s="65"/>
      <c r="BN8" s="65">
        <f>'detail par semaine'!JS5</f>
        <v>0</v>
      </c>
      <c r="BO8" s="67">
        <f>BL8+E8+BN8-BM8</f>
        <v>10</v>
      </c>
      <c r="BQ8" s="69">
        <f>(52-5)*2+BJ8+BK8</f>
        <v>102</v>
      </c>
    </row>
    <row r="9" spans="1:69" s="1" customFormat="1" ht="24.75" customHeight="1" x14ac:dyDescent="0.2">
      <c r="A9" s="62"/>
      <c r="B9" s="10" t="s">
        <v>104</v>
      </c>
      <c r="C9" s="46" t="s">
        <v>106</v>
      </c>
      <c r="D9" s="33">
        <v>39</v>
      </c>
      <c r="E9" s="72">
        <v>0</v>
      </c>
      <c r="F9" s="31">
        <v>39</v>
      </c>
      <c r="G9" s="126">
        <v>41.5</v>
      </c>
      <c r="H9" s="126">
        <v>40.5</v>
      </c>
      <c r="I9" s="31">
        <v>39</v>
      </c>
      <c r="J9" s="31">
        <v>42.5</v>
      </c>
      <c r="K9" s="31">
        <v>39</v>
      </c>
      <c r="L9" s="126">
        <v>40</v>
      </c>
      <c r="M9" s="31">
        <v>39</v>
      </c>
      <c r="N9" s="31">
        <v>39</v>
      </c>
      <c r="O9" s="126">
        <v>40</v>
      </c>
      <c r="P9" s="31">
        <v>41.5</v>
      </c>
      <c r="Q9" s="31">
        <v>39</v>
      </c>
      <c r="R9" s="31">
        <v>39</v>
      </c>
      <c r="S9" s="31">
        <v>39</v>
      </c>
      <c r="T9" s="31">
        <v>39</v>
      </c>
      <c r="U9" s="31">
        <v>39</v>
      </c>
      <c r="V9" s="31">
        <v>39</v>
      </c>
      <c r="W9" s="31">
        <v>39</v>
      </c>
      <c r="X9" s="31">
        <v>39</v>
      </c>
      <c r="Y9" s="31">
        <v>39</v>
      </c>
      <c r="Z9" s="31">
        <v>39</v>
      </c>
      <c r="AA9" s="31">
        <v>39</v>
      </c>
      <c r="AB9" s="31">
        <v>39</v>
      </c>
      <c r="AC9" s="31">
        <v>39</v>
      </c>
      <c r="AD9" s="31">
        <v>39</v>
      </c>
      <c r="AE9" s="31">
        <v>39</v>
      </c>
      <c r="AF9" s="31">
        <v>39</v>
      </c>
      <c r="AG9" s="31">
        <v>39</v>
      </c>
      <c r="AH9" s="31">
        <v>39</v>
      </c>
      <c r="AI9" s="31">
        <v>39</v>
      </c>
      <c r="AJ9" s="31">
        <v>39</v>
      </c>
      <c r="AK9" s="31">
        <v>39</v>
      </c>
      <c r="AL9" s="31">
        <v>39</v>
      </c>
      <c r="AM9" s="31">
        <v>39</v>
      </c>
      <c r="AN9" s="31">
        <v>39</v>
      </c>
      <c r="AO9" s="31">
        <v>39</v>
      </c>
      <c r="AP9" s="31">
        <v>39</v>
      </c>
      <c r="AQ9" s="31">
        <v>39</v>
      </c>
      <c r="AR9" s="31">
        <v>39</v>
      </c>
      <c r="AS9" s="31">
        <v>39</v>
      </c>
      <c r="AT9" s="31">
        <v>39</v>
      </c>
      <c r="AU9" s="31">
        <v>39</v>
      </c>
      <c r="AV9" s="31">
        <v>39</v>
      </c>
      <c r="AW9" s="31">
        <v>39</v>
      </c>
      <c r="AX9" s="31">
        <v>39</v>
      </c>
      <c r="AY9" s="31">
        <v>39</v>
      </c>
      <c r="AZ9" s="31">
        <v>39</v>
      </c>
      <c r="BA9" s="31">
        <v>39</v>
      </c>
      <c r="BB9" s="31">
        <v>39</v>
      </c>
      <c r="BC9" s="31">
        <v>39</v>
      </c>
      <c r="BD9" s="31">
        <v>39</v>
      </c>
      <c r="BE9" s="31">
        <v>39</v>
      </c>
      <c r="BF9" s="74">
        <v>39</v>
      </c>
      <c r="BG9" s="12"/>
      <c r="BH9" s="203" t="str">
        <f>+B9</f>
        <v>ALVES Sylvie</v>
      </c>
      <c r="BI9" s="204"/>
      <c r="BJ9" s="104">
        <f>'detail par semaine'!JO6</f>
        <v>12</v>
      </c>
      <c r="BK9" s="65">
        <f>'detail par semaine'!JP6</f>
        <v>0</v>
      </c>
      <c r="BL9" s="65">
        <f>'detail par semaine'!JQ6</f>
        <v>15</v>
      </c>
      <c r="BM9" s="65"/>
      <c r="BN9" s="65">
        <f>'detail par semaine'!JS6</f>
        <v>0</v>
      </c>
      <c r="BO9" s="67">
        <f>BL9+E9+BN9-BM9</f>
        <v>15</v>
      </c>
      <c r="BQ9" s="69">
        <f>(52-5)*2+BJ9+BK9</f>
        <v>106</v>
      </c>
    </row>
    <row r="10" spans="1:69" s="1" customFormat="1" ht="24.75" customHeight="1" x14ac:dyDescent="0.2">
      <c r="A10" s="62"/>
      <c r="B10" s="10" t="s">
        <v>125</v>
      </c>
      <c r="C10" s="41" t="s">
        <v>82</v>
      </c>
      <c r="D10" s="56">
        <v>37</v>
      </c>
      <c r="E10" s="76">
        <v>5.625</v>
      </c>
      <c r="F10" s="23">
        <v>33</v>
      </c>
      <c r="G10" s="23">
        <v>37</v>
      </c>
      <c r="H10" s="23">
        <v>37</v>
      </c>
      <c r="I10" s="23">
        <v>37</v>
      </c>
      <c r="J10" s="23">
        <v>37</v>
      </c>
      <c r="K10" s="23">
        <v>37</v>
      </c>
      <c r="L10" s="23">
        <v>37</v>
      </c>
      <c r="M10" s="23">
        <v>37</v>
      </c>
      <c r="N10" s="23">
        <v>37</v>
      </c>
      <c r="O10" s="23">
        <v>37</v>
      </c>
      <c r="P10" s="23">
        <v>37</v>
      </c>
      <c r="Q10" s="23">
        <v>41</v>
      </c>
      <c r="R10" s="23">
        <v>33</v>
      </c>
      <c r="S10" s="23">
        <v>41</v>
      </c>
      <c r="T10" s="23">
        <v>33</v>
      </c>
      <c r="U10" s="23">
        <v>41</v>
      </c>
      <c r="V10" s="23">
        <v>33</v>
      </c>
      <c r="W10" s="23">
        <v>41</v>
      </c>
      <c r="X10" s="23">
        <v>33</v>
      </c>
      <c r="Y10" s="23">
        <v>41</v>
      </c>
      <c r="Z10" s="23">
        <v>33</v>
      </c>
      <c r="AA10" s="23">
        <v>41</v>
      </c>
      <c r="AB10" s="23">
        <v>33</v>
      </c>
      <c r="AC10" s="23">
        <v>41</v>
      </c>
      <c r="AD10" s="23">
        <v>33</v>
      </c>
      <c r="AE10" s="23">
        <v>41</v>
      </c>
      <c r="AF10" s="23">
        <v>33</v>
      </c>
      <c r="AG10" s="23">
        <v>41</v>
      </c>
      <c r="AH10" s="23">
        <v>33</v>
      </c>
      <c r="AI10" s="23">
        <v>41</v>
      </c>
      <c r="AJ10" s="23">
        <v>33</v>
      </c>
      <c r="AK10" s="23">
        <v>41</v>
      </c>
      <c r="AL10" s="23">
        <v>33</v>
      </c>
      <c r="AM10" s="23">
        <v>41</v>
      </c>
      <c r="AN10" s="23">
        <v>33</v>
      </c>
      <c r="AO10" s="23">
        <v>41</v>
      </c>
      <c r="AP10" s="23">
        <v>33</v>
      </c>
      <c r="AQ10" s="23">
        <v>41</v>
      </c>
      <c r="AR10" s="23">
        <v>33</v>
      </c>
      <c r="AS10" s="23">
        <v>41</v>
      </c>
      <c r="AT10" s="23">
        <v>33</v>
      </c>
      <c r="AU10" s="23">
        <v>41</v>
      </c>
      <c r="AV10" s="23">
        <v>33</v>
      </c>
      <c r="AW10" s="23">
        <v>41</v>
      </c>
      <c r="AX10" s="23">
        <v>33</v>
      </c>
      <c r="AY10" s="23">
        <v>41</v>
      </c>
      <c r="AZ10" s="23">
        <v>33</v>
      </c>
      <c r="BA10" s="23">
        <v>41</v>
      </c>
      <c r="BB10" s="23">
        <v>33</v>
      </c>
      <c r="BC10" s="23">
        <v>41</v>
      </c>
      <c r="BD10" s="23">
        <v>33</v>
      </c>
      <c r="BE10" s="15">
        <v>41</v>
      </c>
      <c r="BF10" s="75">
        <v>33</v>
      </c>
      <c r="BG10" s="12"/>
      <c r="BH10" s="196" t="s">
        <v>125</v>
      </c>
      <c r="BI10" s="197"/>
      <c r="BJ10" s="104">
        <f>'detail par semaine'!JO7</f>
        <v>0</v>
      </c>
      <c r="BK10" s="65">
        <f>'detail par semaine'!JP7</f>
        <v>0</v>
      </c>
      <c r="BL10" s="65">
        <f>'detail par semaine'!JQ7</f>
        <v>0</v>
      </c>
      <c r="BM10" s="65"/>
      <c r="BN10" s="65">
        <f>'detail par semaine'!JS7</f>
        <v>0</v>
      </c>
      <c r="BO10" s="67">
        <f t="shared" ref="BO10:BO49" si="5">BL10+E10+BN10-BM10</f>
        <v>5.625</v>
      </c>
      <c r="BQ10" s="70">
        <f t="shared" ref="BQ10:BQ49" si="6">(52-5)*2+BJ10+BK10</f>
        <v>94</v>
      </c>
    </row>
    <row r="11" spans="1:69" s="1" customFormat="1" ht="25.25" customHeight="1" x14ac:dyDescent="0.2">
      <c r="A11" s="62"/>
      <c r="B11" s="10" t="s">
        <v>118</v>
      </c>
      <c r="C11" s="41" t="s">
        <v>82</v>
      </c>
      <c r="D11" s="32">
        <v>37</v>
      </c>
      <c r="E11" s="38">
        <v>2.88</v>
      </c>
      <c r="F11" s="23">
        <v>32.25</v>
      </c>
      <c r="G11" s="23">
        <v>41</v>
      </c>
      <c r="H11" s="23">
        <v>33</v>
      </c>
      <c r="I11" s="23">
        <v>41</v>
      </c>
      <c r="J11" s="23">
        <v>33</v>
      </c>
      <c r="K11" s="23">
        <v>41</v>
      </c>
      <c r="L11" s="23">
        <v>33</v>
      </c>
      <c r="M11" s="23">
        <v>41</v>
      </c>
      <c r="N11" s="23">
        <v>33</v>
      </c>
      <c r="O11" s="23">
        <v>41</v>
      </c>
      <c r="P11" s="23">
        <v>33</v>
      </c>
      <c r="Q11" s="23">
        <v>41</v>
      </c>
      <c r="R11" s="23">
        <v>33</v>
      </c>
      <c r="S11" s="23">
        <v>41</v>
      </c>
      <c r="T11" s="23">
        <v>33</v>
      </c>
      <c r="U11" s="23">
        <v>41</v>
      </c>
      <c r="V11" s="23">
        <v>33</v>
      </c>
      <c r="W11" s="23">
        <v>41</v>
      </c>
      <c r="X11" s="23">
        <v>33</v>
      </c>
      <c r="Y11" s="23">
        <v>41</v>
      </c>
      <c r="Z11" s="23">
        <v>33</v>
      </c>
      <c r="AA11" s="23">
        <v>41</v>
      </c>
      <c r="AB11" s="23">
        <v>33</v>
      </c>
      <c r="AC11" s="23">
        <v>41</v>
      </c>
      <c r="AD11" s="23">
        <v>33</v>
      </c>
      <c r="AE11" s="23">
        <v>41</v>
      </c>
      <c r="AF11" s="23">
        <v>33</v>
      </c>
      <c r="AG11" s="23">
        <v>41</v>
      </c>
      <c r="AH11" s="23">
        <v>33</v>
      </c>
      <c r="AI11" s="23">
        <v>41</v>
      </c>
      <c r="AJ11" s="23">
        <v>33</v>
      </c>
      <c r="AK11" s="23">
        <v>41</v>
      </c>
      <c r="AL11" s="23">
        <v>33</v>
      </c>
      <c r="AM11" s="23">
        <v>41</v>
      </c>
      <c r="AN11" s="23">
        <v>33</v>
      </c>
      <c r="AO11" s="23">
        <v>41</v>
      </c>
      <c r="AP11" s="23">
        <v>33</v>
      </c>
      <c r="AQ11" s="23">
        <v>41</v>
      </c>
      <c r="AR11" s="23">
        <v>33</v>
      </c>
      <c r="AS11" s="23">
        <v>41</v>
      </c>
      <c r="AT11" s="23">
        <v>33</v>
      </c>
      <c r="AU11" s="23">
        <v>41</v>
      </c>
      <c r="AV11" s="23">
        <v>33</v>
      </c>
      <c r="AW11" s="23">
        <v>41</v>
      </c>
      <c r="AX11" s="23">
        <v>33</v>
      </c>
      <c r="AY11" s="23">
        <v>41</v>
      </c>
      <c r="AZ11" s="23">
        <v>33</v>
      </c>
      <c r="BA11" s="23">
        <v>41</v>
      </c>
      <c r="BB11" s="23">
        <v>33</v>
      </c>
      <c r="BC11" s="23">
        <v>41</v>
      </c>
      <c r="BD11" s="23">
        <v>33</v>
      </c>
      <c r="BE11" s="15">
        <v>41</v>
      </c>
      <c r="BF11" s="75">
        <v>33</v>
      </c>
      <c r="BG11" s="12"/>
      <c r="BH11" s="196" t="s">
        <v>118</v>
      </c>
      <c r="BI11" s="197"/>
      <c r="BJ11" s="104">
        <f>'detail par semaine'!JO8</f>
        <v>0</v>
      </c>
      <c r="BK11" s="65">
        <f>'detail par semaine'!JP8</f>
        <v>0</v>
      </c>
      <c r="BL11" s="65">
        <f>'detail par semaine'!JQ8</f>
        <v>0</v>
      </c>
      <c r="BM11" s="65"/>
      <c r="BN11" s="65">
        <f>'detail par semaine'!JS8</f>
        <v>0</v>
      </c>
      <c r="BO11" s="67">
        <f t="shared" si="5"/>
        <v>2.88</v>
      </c>
      <c r="BQ11" s="69">
        <f t="shared" si="6"/>
        <v>94</v>
      </c>
    </row>
    <row r="12" spans="1:69" s="1" customFormat="1" ht="25.25" customHeight="1" x14ac:dyDescent="0.2">
      <c r="A12" s="62"/>
      <c r="B12" s="10" t="s">
        <v>40</v>
      </c>
      <c r="C12" s="41" t="s">
        <v>82</v>
      </c>
      <c r="D12" s="32">
        <v>37</v>
      </c>
      <c r="E12" s="38">
        <v>0</v>
      </c>
      <c r="F12" s="23">
        <v>40</v>
      </c>
      <c r="G12" s="23">
        <v>33</v>
      </c>
      <c r="H12" s="23">
        <v>41</v>
      </c>
      <c r="I12" s="23">
        <v>33</v>
      </c>
      <c r="J12" s="23">
        <v>41</v>
      </c>
      <c r="K12" s="23">
        <v>33</v>
      </c>
      <c r="L12" s="23">
        <v>41</v>
      </c>
      <c r="M12" s="23">
        <v>33</v>
      </c>
      <c r="N12" s="60">
        <v>40.25</v>
      </c>
      <c r="O12" s="60">
        <v>40.75</v>
      </c>
      <c r="P12" s="60">
        <v>41.25</v>
      </c>
      <c r="Q12" s="23">
        <v>33</v>
      </c>
      <c r="R12" s="23">
        <v>41</v>
      </c>
      <c r="S12" s="23">
        <v>33</v>
      </c>
      <c r="T12" s="23">
        <v>41</v>
      </c>
      <c r="U12" s="23">
        <v>33</v>
      </c>
      <c r="V12" s="23">
        <v>41</v>
      </c>
      <c r="W12" s="23">
        <v>33</v>
      </c>
      <c r="X12" s="23">
        <v>41</v>
      </c>
      <c r="Y12" s="23">
        <v>33</v>
      </c>
      <c r="Z12" s="23">
        <v>41</v>
      </c>
      <c r="AA12" s="23">
        <v>33</v>
      </c>
      <c r="AB12" s="23">
        <v>41</v>
      </c>
      <c r="AC12" s="23">
        <v>33</v>
      </c>
      <c r="AD12" s="23">
        <v>41</v>
      </c>
      <c r="AE12" s="23">
        <v>33</v>
      </c>
      <c r="AF12" s="23">
        <v>41</v>
      </c>
      <c r="AG12" s="23">
        <v>33</v>
      </c>
      <c r="AH12" s="23">
        <v>41</v>
      </c>
      <c r="AI12" s="23">
        <v>33</v>
      </c>
      <c r="AJ12" s="23">
        <v>41</v>
      </c>
      <c r="AK12" s="23">
        <v>33</v>
      </c>
      <c r="AL12" s="23">
        <v>41</v>
      </c>
      <c r="AM12" s="23">
        <v>33</v>
      </c>
      <c r="AN12" s="23">
        <v>41</v>
      </c>
      <c r="AO12" s="23">
        <v>33</v>
      </c>
      <c r="AP12" s="23">
        <v>41</v>
      </c>
      <c r="AQ12" s="23">
        <v>33</v>
      </c>
      <c r="AR12" s="23">
        <v>41</v>
      </c>
      <c r="AS12" s="23">
        <v>33</v>
      </c>
      <c r="AT12" s="23">
        <v>41</v>
      </c>
      <c r="AU12" s="23">
        <v>33</v>
      </c>
      <c r="AV12" s="23">
        <v>41</v>
      </c>
      <c r="AW12" s="23">
        <v>33</v>
      </c>
      <c r="AX12" s="23">
        <v>41</v>
      </c>
      <c r="AY12" s="23">
        <v>33</v>
      </c>
      <c r="AZ12" s="23">
        <v>41</v>
      </c>
      <c r="BA12" s="23">
        <v>33</v>
      </c>
      <c r="BB12" s="23">
        <v>41</v>
      </c>
      <c r="BC12" s="23">
        <v>33</v>
      </c>
      <c r="BD12" s="23">
        <v>41</v>
      </c>
      <c r="BE12" s="23">
        <v>33</v>
      </c>
      <c r="BF12" s="75">
        <v>41</v>
      </c>
      <c r="BG12" s="12"/>
      <c r="BH12" s="194" t="s">
        <v>40</v>
      </c>
      <c r="BI12" s="195"/>
      <c r="BJ12" s="104">
        <f>'detail par semaine'!JO9</f>
        <v>8</v>
      </c>
      <c r="BK12" s="65">
        <f>'detail par semaine'!JP9</f>
        <v>0</v>
      </c>
      <c r="BL12" s="65">
        <f>'detail par semaine'!JQ9</f>
        <v>10</v>
      </c>
      <c r="BM12" s="65"/>
      <c r="BN12" s="65">
        <f>'detail par semaine'!JS9</f>
        <v>-0.75</v>
      </c>
      <c r="BO12" s="67">
        <f t="shared" si="5"/>
        <v>9.25</v>
      </c>
      <c r="BQ12" s="70">
        <f t="shared" si="6"/>
        <v>102</v>
      </c>
    </row>
    <row r="13" spans="1:69" s="1" customFormat="1" ht="25.25" customHeight="1" x14ac:dyDescent="0.2">
      <c r="A13" s="62"/>
      <c r="B13" s="10" t="s">
        <v>78</v>
      </c>
      <c r="C13" s="41" t="s">
        <v>82</v>
      </c>
      <c r="D13" s="32">
        <v>37</v>
      </c>
      <c r="E13" s="38">
        <v>6.3249999999999886</v>
      </c>
      <c r="F13" s="23">
        <v>8.5</v>
      </c>
      <c r="G13" s="23">
        <v>41</v>
      </c>
      <c r="H13" s="23">
        <v>33</v>
      </c>
      <c r="I13" s="23">
        <v>41</v>
      </c>
      <c r="J13" s="23">
        <v>33</v>
      </c>
      <c r="K13" s="23">
        <v>41</v>
      </c>
      <c r="L13" s="60">
        <v>40.75</v>
      </c>
      <c r="M13" s="60">
        <v>41.25</v>
      </c>
      <c r="N13" s="23">
        <v>33</v>
      </c>
      <c r="O13" s="23">
        <v>41</v>
      </c>
      <c r="P13" s="129">
        <v>33</v>
      </c>
      <c r="Q13" s="23">
        <v>41</v>
      </c>
      <c r="R13" s="23">
        <v>33</v>
      </c>
      <c r="S13" s="23">
        <v>41</v>
      </c>
      <c r="T13" s="23">
        <v>33</v>
      </c>
      <c r="U13" s="23">
        <v>41</v>
      </c>
      <c r="V13" s="23">
        <v>33</v>
      </c>
      <c r="W13" s="23">
        <v>41</v>
      </c>
      <c r="X13" s="23">
        <v>33</v>
      </c>
      <c r="Y13" s="23">
        <v>41</v>
      </c>
      <c r="Z13" s="23">
        <v>33</v>
      </c>
      <c r="AA13" s="23">
        <v>41</v>
      </c>
      <c r="AB13" s="23">
        <v>33</v>
      </c>
      <c r="AC13" s="23">
        <v>41</v>
      </c>
      <c r="AD13" s="23">
        <v>33</v>
      </c>
      <c r="AE13" s="23">
        <v>41</v>
      </c>
      <c r="AF13" s="23">
        <v>33</v>
      </c>
      <c r="AG13" s="23">
        <v>41</v>
      </c>
      <c r="AH13" s="23">
        <v>33</v>
      </c>
      <c r="AI13" s="23">
        <v>41</v>
      </c>
      <c r="AJ13" s="23">
        <v>33</v>
      </c>
      <c r="AK13" s="23">
        <v>41</v>
      </c>
      <c r="AL13" s="23">
        <v>33</v>
      </c>
      <c r="AM13" s="23">
        <v>41</v>
      </c>
      <c r="AN13" s="23">
        <v>33</v>
      </c>
      <c r="AO13" s="23">
        <v>41</v>
      </c>
      <c r="AP13" s="23">
        <v>33</v>
      </c>
      <c r="AQ13" s="23">
        <v>41</v>
      </c>
      <c r="AR13" s="23">
        <v>33</v>
      </c>
      <c r="AS13" s="23">
        <v>41</v>
      </c>
      <c r="AT13" s="23">
        <v>33</v>
      </c>
      <c r="AU13" s="23">
        <v>41</v>
      </c>
      <c r="AV13" s="23">
        <v>33</v>
      </c>
      <c r="AW13" s="23">
        <v>41</v>
      </c>
      <c r="AX13" s="23">
        <v>33</v>
      </c>
      <c r="AY13" s="23">
        <v>41</v>
      </c>
      <c r="AZ13" s="23">
        <v>33</v>
      </c>
      <c r="BA13" s="23">
        <v>41</v>
      </c>
      <c r="BB13" s="23">
        <v>33</v>
      </c>
      <c r="BC13" s="23">
        <v>41</v>
      </c>
      <c r="BD13" s="23">
        <v>33</v>
      </c>
      <c r="BE13" s="15">
        <v>41</v>
      </c>
      <c r="BF13" s="75">
        <v>33</v>
      </c>
      <c r="BG13" s="12"/>
      <c r="BH13" s="196" t="s">
        <v>78</v>
      </c>
      <c r="BI13" s="197"/>
      <c r="BJ13" s="104">
        <f>'detail par semaine'!JO10</f>
        <v>8</v>
      </c>
      <c r="BK13" s="65">
        <f>'detail par semaine'!JP10</f>
        <v>0</v>
      </c>
      <c r="BL13" s="65">
        <f>'detail par semaine'!JQ10</f>
        <v>10</v>
      </c>
      <c r="BM13" s="65"/>
      <c r="BN13" s="65">
        <f>'detail par semaine'!JS10</f>
        <v>0</v>
      </c>
      <c r="BO13" s="67">
        <f t="shared" si="5"/>
        <v>16.324999999999989</v>
      </c>
      <c r="BQ13" s="70">
        <f t="shared" si="6"/>
        <v>102</v>
      </c>
    </row>
    <row r="14" spans="1:69" s="1" customFormat="1" ht="25.25" customHeight="1" x14ac:dyDescent="0.2">
      <c r="A14" s="62"/>
      <c r="B14" s="10" t="s">
        <v>43</v>
      </c>
      <c r="C14" s="41" t="s">
        <v>82</v>
      </c>
      <c r="D14" s="32">
        <v>37</v>
      </c>
      <c r="E14" s="38">
        <v>12.81</v>
      </c>
      <c r="F14" s="23">
        <v>41</v>
      </c>
      <c r="G14" s="23">
        <v>33</v>
      </c>
      <c r="H14" s="60">
        <v>36.75</v>
      </c>
      <c r="I14" s="23">
        <v>33</v>
      </c>
      <c r="J14" s="60">
        <v>41.25</v>
      </c>
      <c r="K14" s="60">
        <v>40.75</v>
      </c>
      <c r="L14" s="60">
        <v>41.5</v>
      </c>
      <c r="M14" s="60">
        <v>40.75</v>
      </c>
      <c r="N14" s="60">
        <v>41.75</v>
      </c>
      <c r="O14" s="60">
        <v>40</v>
      </c>
      <c r="P14" s="60">
        <v>41.75</v>
      </c>
      <c r="Q14" s="23">
        <v>33</v>
      </c>
      <c r="R14" s="23">
        <v>41</v>
      </c>
      <c r="S14" s="23">
        <v>33</v>
      </c>
      <c r="T14" s="23">
        <v>41</v>
      </c>
      <c r="U14" s="23">
        <v>33</v>
      </c>
      <c r="V14" s="23">
        <v>41</v>
      </c>
      <c r="W14" s="23">
        <v>33</v>
      </c>
      <c r="X14" s="23">
        <v>41</v>
      </c>
      <c r="Y14" s="23">
        <v>33</v>
      </c>
      <c r="Z14" s="23">
        <v>41</v>
      </c>
      <c r="AA14" s="23">
        <v>33</v>
      </c>
      <c r="AB14" s="23">
        <v>41</v>
      </c>
      <c r="AC14" s="23">
        <v>33</v>
      </c>
      <c r="AD14" s="23">
        <v>41</v>
      </c>
      <c r="AE14" s="23">
        <v>33</v>
      </c>
      <c r="AF14" s="23">
        <v>41</v>
      </c>
      <c r="AG14" s="23">
        <v>33</v>
      </c>
      <c r="AH14" s="23">
        <v>41</v>
      </c>
      <c r="AI14" s="23">
        <v>33</v>
      </c>
      <c r="AJ14" s="23">
        <v>41</v>
      </c>
      <c r="AK14" s="23">
        <v>33</v>
      </c>
      <c r="AL14" s="23">
        <v>41</v>
      </c>
      <c r="AM14" s="23">
        <v>33</v>
      </c>
      <c r="AN14" s="23">
        <v>41</v>
      </c>
      <c r="AO14" s="23">
        <v>33</v>
      </c>
      <c r="AP14" s="23">
        <v>41</v>
      </c>
      <c r="AQ14" s="23">
        <v>33</v>
      </c>
      <c r="AR14" s="23">
        <v>41</v>
      </c>
      <c r="AS14" s="23">
        <v>33</v>
      </c>
      <c r="AT14" s="23">
        <v>41</v>
      </c>
      <c r="AU14" s="23">
        <v>33</v>
      </c>
      <c r="AV14" s="23">
        <v>41</v>
      </c>
      <c r="AW14" s="23">
        <v>33</v>
      </c>
      <c r="AX14" s="23">
        <v>41</v>
      </c>
      <c r="AY14" s="23">
        <v>33</v>
      </c>
      <c r="AZ14" s="23">
        <v>41</v>
      </c>
      <c r="BA14" s="23">
        <v>33</v>
      </c>
      <c r="BB14" s="23">
        <v>41</v>
      </c>
      <c r="BC14" s="23">
        <v>33</v>
      </c>
      <c r="BD14" s="23">
        <v>41</v>
      </c>
      <c r="BE14" s="23">
        <v>33</v>
      </c>
      <c r="BF14" s="75">
        <v>41</v>
      </c>
      <c r="BG14" s="12"/>
      <c r="BH14" s="194" t="s">
        <v>43</v>
      </c>
      <c r="BI14" s="195"/>
      <c r="BJ14" s="104">
        <f>'detail par semaine'!JO11</f>
        <v>24.75</v>
      </c>
      <c r="BK14" s="65">
        <f>'detail par semaine'!JP11</f>
        <v>0</v>
      </c>
      <c r="BL14" s="65">
        <f>'detail par semaine'!JQ11</f>
        <v>30.9375</v>
      </c>
      <c r="BM14" s="65"/>
      <c r="BN14" s="65">
        <f>'detail par semaine'!JS11</f>
        <v>-4.25</v>
      </c>
      <c r="BO14" s="67">
        <f t="shared" si="5"/>
        <v>39.497500000000002</v>
      </c>
      <c r="BQ14" s="70">
        <f t="shared" si="6"/>
        <v>118.75</v>
      </c>
    </row>
    <row r="15" spans="1:69" s="1" customFormat="1" ht="25.25" customHeight="1" x14ac:dyDescent="0.2">
      <c r="A15" s="62"/>
      <c r="B15" s="10" t="s">
        <v>54</v>
      </c>
      <c r="C15" s="41" t="s">
        <v>82</v>
      </c>
      <c r="D15" s="32">
        <v>37</v>
      </c>
      <c r="E15" s="38">
        <v>5.87</v>
      </c>
      <c r="F15" s="23">
        <v>41</v>
      </c>
      <c r="G15" s="23">
        <v>33</v>
      </c>
      <c r="H15" s="23">
        <v>41</v>
      </c>
      <c r="I15" s="23">
        <v>33</v>
      </c>
      <c r="J15" s="60">
        <v>39.5</v>
      </c>
      <c r="K15" s="23">
        <v>33</v>
      </c>
      <c r="L15" s="60">
        <v>42</v>
      </c>
      <c r="M15" s="23">
        <v>33</v>
      </c>
      <c r="N15" s="60">
        <v>40</v>
      </c>
      <c r="O15" s="60">
        <v>40.75</v>
      </c>
      <c r="P15" s="23">
        <v>41</v>
      </c>
      <c r="Q15" s="23">
        <v>33</v>
      </c>
      <c r="R15" s="23">
        <v>41</v>
      </c>
      <c r="S15" s="23">
        <v>33</v>
      </c>
      <c r="T15" s="23">
        <v>41</v>
      </c>
      <c r="U15" s="23">
        <v>33</v>
      </c>
      <c r="V15" s="23">
        <v>41</v>
      </c>
      <c r="W15" s="23">
        <v>33</v>
      </c>
      <c r="X15" s="23">
        <v>41</v>
      </c>
      <c r="Y15" s="23">
        <v>33</v>
      </c>
      <c r="Z15" s="23">
        <v>41</v>
      </c>
      <c r="AA15" s="23">
        <v>33</v>
      </c>
      <c r="AB15" s="23">
        <v>41</v>
      </c>
      <c r="AC15" s="23">
        <v>33</v>
      </c>
      <c r="AD15" s="23">
        <v>41</v>
      </c>
      <c r="AE15" s="23">
        <v>33</v>
      </c>
      <c r="AF15" s="23">
        <v>41</v>
      </c>
      <c r="AG15" s="23">
        <v>33</v>
      </c>
      <c r="AH15" s="23">
        <v>41</v>
      </c>
      <c r="AI15" s="23">
        <v>33</v>
      </c>
      <c r="AJ15" s="23">
        <v>41</v>
      </c>
      <c r="AK15" s="23">
        <v>33</v>
      </c>
      <c r="AL15" s="23">
        <v>41</v>
      </c>
      <c r="AM15" s="23">
        <v>33</v>
      </c>
      <c r="AN15" s="23">
        <v>41</v>
      </c>
      <c r="AO15" s="23">
        <v>33</v>
      </c>
      <c r="AP15" s="23">
        <v>41</v>
      </c>
      <c r="AQ15" s="23">
        <v>33</v>
      </c>
      <c r="AR15" s="23">
        <v>41</v>
      </c>
      <c r="AS15" s="23">
        <v>33</v>
      </c>
      <c r="AT15" s="23">
        <v>41</v>
      </c>
      <c r="AU15" s="23">
        <v>33</v>
      </c>
      <c r="AV15" s="23">
        <v>41</v>
      </c>
      <c r="AW15" s="23">
        <v>33</v>
      </c>
      <c r="AX15" s="23">
        <v>41</v>
      </c>
      <c r="AY15" s="23">
        <v>33</v>
      </c>
      <c r="AZ15" s="23">
        <v>41</v>
      </c>
      <c r="BA15" s="23">
        <v>33</v>
      </c>
      <c r="BB15" s="23">
        <v>41</v>
      </c>
      <c r="BC15" s="23">
        <v>33</v>
      </c>
      <c r="BD15" s="23">
        <v>41</v>
      </c>
      <c r="BE15" s="23">
        <v>33</v>
      </c>
      <c r="BF15" s="75">
        <v>41</v>
      </c>
      <c r="BG15" s="12"/>
      <c r="BH15" s="194" t="s">
        <v>54</v>
      </c>
      <c r="BI15" s="195"/>
      <c r="BJ15" s="104">
        <f>'detail par semaine'!JO12</f>
        <v>8.75</v>
      </c>
      <c r="BK15" s="65">
        <f>'detail par semaine'!JP12</f>
        <v>0</v>
      </c>
      <c r="BL15" s="65">
        <f>'detail par semaine'!JQ12</f>
        <v>10.9375</v>
      </c>
      <c r="BM15" s="65"/>
      <c r="BN15" s="65">
        <f>'detail par semaine'!JS12</f>
        <v>-2.5</v>
      </c>
      <c r="BO15" s="67">
        <f t="shared" si="5"/>
        <v>14.307500000000001</v>
      </c>
      <c r="BQ15" s="70">
        <f t="shared" si="6"/>
        <v>102.75</v>
      </c>
    </row>
    <row r="16" spans="1:69" s="1" customFormat="1" ht="25.25" customHeight="1" x14ac:dyDescent="0.2">
      <c r="A16" s="62"/>
      <c r="B16" s="10" t="s">
        <v>74</v>
      </c>
      <c r="C16" s="41" t="s">
        <v>82</v>
      </c>
      <c r="D16" s="32">
        <v>28</v>
      </c>
      <c r="E16" s="38">
        <v>0</v>
      </c>
      <c r="F16" s="23">
        <v>41</v>
      </c>
      <c r="G16" s="23">
        <v>37</v>
      </c>
      <c r="H16" s="23">
        <v>41</v>
      </c>
      <c r="I16" s="60">
        <v>29.25</v>
      </c>
      <c r="J16" s="23">
        <v>41</v>
      </c>
      <c r="K16" s="23">
        <v>33</v>
      </c>
      <c r="L16" s="23">
        <v>41</v>
      </c>
      <c r="M16" s="23">
        <v>33</v>
      </c>
      <c r="N16" s="60">
        <v>41.25</v>
      </c>
      <c r="O16" s="23">
        <v>20</v>
      </c>
      <c r="P16" s="23">
        <v>36</v>
      </c>
      <c r="Q16" s="23">
        <v>20</v>
      </c>
      <c r="R16" s="23">
        <v>36</v>
      </c>
      <c r="S16" s="23">
        <v>20</v>
      </c>
      <c r="T16" s="23">
        <v>36</v>
      </c>
      <c r="U16" s="23">
        <v>20</v>
      </c>
      <c r="V16" s="23">
        <v>36</v>
      </c>
      <c r="W16" s="23">
        <v>20</v>
      </c>
      <c r="X16" s="23">
        <v>36</v>
      </c>
      <c r="Y16" s="23">
        <v>20</v>
      </c>
      <c r="Z16" s="23">
        <v>36</v>
      </c>
      <c r="AA16" s="23">
        <v>20</v>
      </c>
      <c r="AB16" s="23">
        <v>36</v>
      </c>
      <c r="AC16" s="23">
        <v>20</v>
      </c>
      <c r="AD16" s="23">
        <v>36</v>
      </c>
      <c r="AE16" s="23">
        <v>20</v>
      </c>
      <c r="AF16" s="23">
        <v>36</v>
      </c>
      <c r="AG16" s="23">
        <v>20</v>
      </c>
      <c r="AH16" s="23">
        <v>36</v>
      </c>
      <c r="AI16" s="23">
        <v>20</v>
      </c>
      <c r="AJ16" s="23">
        <v>36</v>
      </c>
      <c r="AK16" s="23">
        <v>20</v>
      </c>
      <c r="AL16" s="23">
        <v>36</v>
      </c>
      <c r="AM16" s="23">
        <v>20</v>
      </c>
      <c r="AN16" s="23">
        <v>36</v>
      </c>
      <c r="AO16" s="23">
        <v>20</v>
      </c>
      <c r="AP16" s="23">
        <v>36</v>
      </c>
      <c r="AQ16" s="23">
        <v>20</v>
      </c>
      <c r="AR16" s="23">
        <v>36</v>
      </c>
      <c r="AS16" s="23">
        <v>20</v>
      </c>
      <c r="AT16" s="23">
        <v>36</v>
      </c>
      <c r="AU16" s="23">
        <v>20</v>
      </c>
      <c r="AV16" s="23">
        <v>36</v>
      </c>
      <c r="AW16" s="23">
        <v>20</v>
      </c>
      <c r="AX16" s="23">
        <v>36</v>
      </c>
      <c r="AY16" s="23">
        <v>20</v>
      </c>
      <c r="AZ16" s="23">
        <v>36</v>
      </c>
      <c r="BA16" s="23">
        <v>20</v>
      </c>
      <c r="BB16" s="23">
        <v>36</v>
      </c>
      <c r="BC16" s="23">
        <v>20</v>
      </c>
      <c r="BD16" s="23">
        <v>36</v>
      </c>
      <c r="BE16" s="23">
        <v>20</v>
      </c>
      <c r="BF16" s="75">
        <v>36</v>
      </c>
      <c r="BG16" s="12"/>
      <c r="BH16" s="198" t="s">
        <v>74</v>
      </c>
      <c r="BI16" s="199"/>
      <c r="BJ16" s="104">
        <f>'detail par semaine'!JO13</f>
        <v>4.25</v>
      </c>
      <c r="BK16" s="65">
        <f>'detail par semaine'!JP13</f>
        <v>0</v>
      </c>
      <c r="BL16" s="65">
        <f>'detail par semaine'!JQ13</f>
        <v>5.3125</v>
      </c>
      <c r="BM16" s="65"/>
      <c r="BN16" s="65">
        <f>'detail par semaine'!JS13</f>
        <v>-3.75</v>
      </c>
      <c r="BO16" s="67">
        <f t="shared" si="5"/>
        <v>1.5625</v>
      </c>
      <c r="BQ16" s="69">
        <f t="shared" si="6"/>
        <v>98.25</v>
      </c>
    </row>
    <row r="17" spans="1:69" s="1" customFormat="1" ht="25.25" customHeight="1" x14ac:dyDescent="0.2">
      <c r="A17" s="62"/>
      <c r="B17" s="10" t="s">
        <v>76</v>
      </c>
      <c r="C17" s="41" t="s">
        <v>82</v>
      </c>
      <c r="D17" s="32">
        <v>37</v>
      </c>
      <c r="E17" s="38">
        <v>0</v>
      </c>
      <c r="F17" s="23">
        <v>41</v>
      </c>
      <c r="G17" s="23">
        <v>33</v>
      </c>
      <c r="H17" s="23">
        <v>41</v>
      </c>
      <c r="I17" s="23">
        <v>33</v>
      </c>
      <c r="J17" s="23">
        <v>41</v>
      </c>
      <c r="K17" s="23">
        <v>33</v>
      </c>
      <c r="L17" s="60">
        <v>32.75</v>
      </c>
      <c r="M17" s="60">
        <v>37.5</v>
      </c>
      <c r="N17" s="23">
        <v>41</v>
      </c>
      <c r="O17" s="60">
        <v>37.5</v>
      </c>
      <c r="P17" s="60">
        <v>41.25</v>
      </c>
      <c r="Q17" s="23">
        <v>33</v>
      </c>
      <c r="R17" s="23">
        <v>41</v>
      </c>
      <c r="S17" s="23">
        <v>33</v>
      </c>
      <c r="T17" s="23">
        <v>41</v>
      </c>
      <c r="U17" s="23">
        <v>33</v>
      </c>
      <c r="V17" s="23">
        <v>41</v>
      </c>
      <c r="W17" s="23">
        <v>33</v>
      </c>
      <c r="X17" s="23">
        <v>41</v>
      </c>
      <c r="Y17" s="23">
        <v>33</v>
      </c>
      <c r="Z17" s="23">
        <v>41</v>
      </c>
      <c r="AA17" s="23">
        <v>33</v>
      </c>
      <c r="AB17" s="23">
        <v>41</v>
      </c>
      <c r="AC17" s="23">
        <v>33</v>
      </c>
      <c r="AD17" s="23">
        <v>41</v>
      </c>
      <c r="AE17" s="23">
        <v>33</v>
      </c>
      <c r="AF17" s="23">
        <v>41</v>
      </c>
      <c r="AG17" s="23">
        <v>33</v>
      </c>
      <c r="AH17" s="23">
        <v>41</v>
      </c>
      <c r="AI17" s="23">
        <v>33</v>
      </c>
      <c r="AJ17" s="23">
        <v>41</v>
      </c>
      <c r="AK17" s="23">
        <v>33</v>
      </c>
      <c r="AL17" s="23">
        <v>41</v>
      </c>
      <c r="AM17" s="23">
        <v>33</v>
      </c>
      <c r="AN17" s="23">
        <v>41</v>
      </c>
      <c r="AO17" s="23">
        <v>33</v>
      </c>
      <c r="AP17" s="23">
        <v>41</v>
      </c>
      <c r="AQ17" s="23">
        <v>33</v>
      </c>
      <c r="AR17" s="23">
        <v>41</v>
      </c>
      <c r="AS17" s="23">
        <v>33</v>
      </c>
      <c r="AT17" s="23">
        <v>41</v>
      </c>
      <c r="AU17" s="23">
        <v>33</v>
      </c>
      <c r="AV17" s="23">
        <v>41</v>
      </c>
      <c r="AW17" s="23">
        <v>33</v>
      </c>
      <c r="AX17" s="23">
        <v>41</v>
      </c>
      <c r="AY17" s="23">
        <v>33</v>
      </c>
      <c r="AZ17" s="23">
        <v>41</v>
      </c>
      <c r="BA17" s="23">
        <v>33</v>
      </c>
      <c r="BB17" s="23">
        <v>41</v>
      </c>
      <c r="BC17" s="23">
        <v>33</v>
      </c>
      <c r="BD17" s="23">
        <v>41</v>
      </c>
      <c r="BE17" s="23">
        <v>33</v>
      </c>
      <c r="BF17" s="75">
        <v>41</v>
      </c>
      <c r="BG17" s="12"/>
      <c r="BH17" s="194" t="s">
        <v>76</v>
      </c>
      <c r="BI17" s="195"/>
      <c r="BJ17" s="104">
        <f>'detail par semaine'!JO14</f>
        <v>9.25</v>
      </c>
      <c r="BK17" s="65">
        <f>'detail par semaine'!JP14</f>
        <v>0</v>
      </c>
      <c r="BL17" s="65">
        <f>'detail par semaine'!JQ14</f>
        <v>11.5625</v>
      </c>
      <c r="BM17" s="65"/>
      <c r="BN17" s="65">
        <f>'detail par semaine'!JS14</f>
        <v>-8.25</v>
      </c>
      <c r="BO17" s="67">
        <f t="shared" si="5"/>
        <v>3.3125</v>
      </c>
      <c r="BQ17" s="70">
        <f t="shared" si="6"/>
        <v>103.25</v>
      </c>
    </row>
    <row r="18" spans="1:69" s="1" customFormat="1" ht="25.25" customHeight="1" x14ac:dyDescent="0.2">
      <c r="A18" s="62"/>
      <c r="B18" s="10" t="s">
        <v>41</v>
      </c>
      <c r="C18" s="41" t="s">
        <v>111</v>
      </c>
      <c r="D18" s="32">
        <v>39</v>
      </c>
      <c r="E18" s="38">
        <v>8.125</v>
      </c>
      <c r="F18" s="23">
        <v>39</v>
      </c>
      <c r="G18" s="60">
        <v>40</v>
      </c>
      <c r="H18" s="60">
        <v>40</v>
      </c>
      <c r="I18" s="60">
        <v>40.5</v>
      </c>
      <c r="J18" s="60">
        <v>39.5</v>
      </c>
      <c r="K18" s="60">
        <v>39.5</v>
      </c>
      <c r="L18" s="60">
        <v>39.25</v>
      </c>
      <c r="M18" s="60">
        <v>41.75</v>
      </c>
      <c r="N18" s="60">
        <v>40</v>
      </c>
      <c r="O18" s="23">
        <v>39</v>
      </c>
      <c r="P18" s="23">
        <v>39</v>
      </c>
      <c r="Q18" s="23">
        <v>39</v>
      </c>
      <c r="R18" s="23">
        <v>39</v>
      </c>
      <c r="S18" s="23">
        <v>39</v>
      </c>
      <c r="T18" s="23">
        <v>39</v>
      </c>
      <c r="U18" s="23">
        <v>39</v>
      </c>
      <c r="V18" s="23">
        <v>39</v>
      </c>
      <c r="W18" s="23">
        <v>39</v>
      </c>
      <c r="X18" s="23">
        <v>39</v>
      </c>
      <c r="Y18" s="23">
        <v>39</v>
      </c>
      <c r="Z18" s="23">
        <v>39</v>
      </c>
      <c r="AA18" s="23">
        <v>39</v>
      </c>
      <c r="AB18" s="23">
        <v>39</v>
      </c>
      <c r="AC18" s="23">
        <v>39</v>
      </c>
      <c r="AD18" s="23">
        <v>39</v>
      </c>
      <c r="AE18" s="23">
        <v>39</v>
      </c>
      <c r="AF18" s="23">
        <v>39</v>
      </c>
      <c r="AG18" s="23">
        <v>39</v>
      </c>
      <c r="AH18" s="23">
        <v>39</v>
      </c>
      <c r="AI18" s="23">
        <v>39</v>
      </c>
      <c r="AJ18" s="23">
        <v>39</v>
      </c>
      <c r="AK18" s="23">
        <v>39</v>
      </c>
      <c r="AL18" s="23">
        <v>39</v>
      </c>
      <c r="AM18" s="23">
        <v>39</v>
      </c>
      <c r="AN18" s="23">
        <v>39</v>
      </c>
      <c r="AO18" s="23">
        <v>39</v>
      </c>
      <c r="AP18" s="23">
        <v>39</v>
      </c>
      <c r="AQ18" s="23">
        <v>39</v>
      </c>
      <c r="AR18" s="23">
        <v>39</v>
      </c>
      <c r="AS18" s="23">
        <v>39</v>
      </c>
      <c r="AT18" s="23">
        <v>39</v>
      </c>
      <c r="AU18" s="23">
        <v>39</v>
      </c>
      <c r="AV18" s="23">
        <v>39</v>
      </c>
      <c r="AW18" s="23">
        <v>39</v>
      </c>
      <c r="AX18" s="23">
        <v>39</v>
      </c>
      <c r="AY18" s="23">
        <v>39</v>
      </c>
      <c r="AZ18" s="23">
        <v>39</v>
      </c>
      <c r="BA18" s="23">
        <v>39</v>
      </c>
      <c r="BB18" s="23">
        <v>39</v>
      </c>
      <c r="BC18" s="23">
        <v>39</v>
      </c>
      <c r="BD18" s="23">
        <v>39</v>
      </c>
      <c r="BE18" s="23">
        <v>39</v>
      </c>
      <c r="BF18" s="75">
        <v>39</v>
      </c>
      <c r="BG18" s="12"/>
      <c r="BH18" s="196" t="s">
        <v>41</v>
      </c>
      <c r="BI18" s="197"/>
      <c r="BJ18" s="104">
        <f>'detail par semaine'!JO15</f>
        <v>8.5</v>
      </c>
      <c r="BK18" s="65">
        <f>'detail par semaine'!JP15</f>
        <v>0</v>
      </c>
      <c r="BL18" s="65">
        <f>'detail par semaine'!JQ15</f>
        <v>10.625</v>
      </c>
      <c r="BM18" s="65"/>
      <c r="BN18" s="65">
        <f>'detail par semaine'!JS15</f>
        <v>0</v>
      </c>
      <c r="BO18" s="67">
        <f t="shared" si="5"/>
        <v>18.75</v>
      </c>
      <c r="BQ18" s="70">
        <f t="shared" si="6"/>
        <v>102.5</v>
      </c>
    </row>
    <row r="19" spans="1:69" s="1" customFormat="1" ht="25.25" customHeight="1" x14ac:dyDescent="0.2">
      <c r="A19" s="62"/>
      <c r="B19" s="10" t="s">
        <v>112</v>
      </c>
      <c r="C19" s="41" t="s">
        <v>82</v>
      </c>
      <c r="D19" s="32">
        <v>37</v>
      </c>
      <c r="E19" s="38">
        <v>1</v>
      </c>
      <c r="F19" s="23">
        <v>41</v>
      </c>
      <c r="G19" s="23">
        <v>33</v>
      </c>
      <c r="H19" s="23">
        <v>41</v>
      </c>
      <c r="I19" s="23">
        <v>33</v>
      </c>
      <c r="J19" s="60">
        <v>40.75</v>
      </c>
      <c r="K19" s="23">
        <v>33</v>
      </c>
      <c r="L19" s="23">
        <v>41</v>
      </c>
      <c r="M19" s="23">
        <v>39</v>
      </c>
      <c r="N19" s="23">
        <v>39</v>
      </c>
      <c r="O19" s="23">
        <v>39</v>
      </c>
      <c r="P19" s="23">
        <v>41</v>
      </c>
      <c r="Q19" s="23">
        <v>33</v>
      </c>
      <c r="R19" s="23">
        <v>41</v>
      </c>
      <c r="S19" s="23">
        <v>33</v>
      </c>
      <c r="T19" s="23">
        <v>41</v>
      </c>
      <c r="U19" s="23">
        <v>33</v>
      </c>
      <c r="V19" s="23">
        <v>41</v>
      </c>
      <c r="W19" s="23">
        <v>33</v>
      </c>
      <c r="X19" s="23">
        <v>41</v>
      </c>
      <c r="Y19" s="23">
        <v>33</v>
      </c>
      <c r="Z19" s="23">
        <v>41</v>
      </c>
      <c r="AA19" s="23">
        <v>33</v>
      </c>
      <c r="AB19" s="23">
        <v>41</v>
      </c>
      <c r="AC19" s="23">
        <v>33</v>
      </c>
      <c r="AD19" s="23">
        <v>41</v>
      </c>
      <c r="AE19" s="23">
        <v>33</v>
      </c>
      <c r="AF19" s="23">
        <v>41</v>
      </c>
      <c r="AG19" s="23">
        <v>33</v>
      </c>
      <c r="AH19" s="23">
        <v>41</v>
      </c>
      <c r="AI19" s="23">
        <v>33</v>
      </c>
      <c r="AJ19" s="23">
        <v>41</v>
      </c>
      <c r="AK19" s="23">
        <v>33</v>
      </c>
      <c r="AL19" s="23">
        <v>41</v>
      </c>
      <c r="AM19" s="23">
        <v>33</v>
      </c>
      <c r="AN19" s="23">
        <v>41</v>
      </c>
      <c r="AO19" s="23">
        <v>33</v>
      </c>
      <c r="AP19" s="23">
        <v>41</v>
      </c>
      <c r="AQ19" s="23">
        <v>33</v>
      </c>
      <c r="AR19" s="23">
        <v>41</v>
      </c>
      <c r="AS19" s="23">
        <v>33</v>
      </c>
      <c r="AT19" s="23">
        <v>41</v>
      </c>
      <c r="AU19" s="23">
        <v>33</v>
      </c>
      <c r="AV19" s="23">
        <v>41</v>
      </c>
      <c r="AW19" s="23">
        <v>33</v>
      </c>
      <c r="AX19" s="23">
        <v>41</v>
      </c>
      <c r="AY19" s="23">
        <v>33</v>
      </c>
      <c r="AZ19" s="23">
        <v>41</v>
      </c>
      <c r="BA19" s="23">
        <v>33</v>
      </c>
      <c r="BB19" s="23">
        <v>41</v>
      </c>
      <c r="BC19" s="23">
        <v>33</v>
      </c>
      <c r="BD19" s="23">
        <v>41</v>
      </c>
      <c r="BE19" s="23">
        <v>33</v>
      </c>
      <c r="BF19" s="75">
        <v>41</v>
      </c>
      <c r="BG19" s="12"/>
      <c r="BH19" s="196" t="s">
        <v>112</v>
      </c>
      <c r="BI19" s="197"/>
      <c r="BJ19" s="104">
        <f>'detail par semaine'!JO16</f>
        <v>10</v>
      </c>
      <c r="BK19" s="65">
        <f>'detail par semaine'!JP16</f>
        <v>0</v>
      </c>
      <c r="BL19" s="65">
        <f>'detail par semaine'!JQ16</f>
        <v>12.5</v>
      </c>
      <c r="BM19" s="64"/>
      <c r="BN19" s="65">
        <f>'detail par semaine'!JS16</f>
        <v>-0.25</v>
      </c>
      <c r="BO19" s="67">
        <f t="shared" si="5"/>
        <v>13.25</v>
      </c>
      <c r="BQ19" s="69">
        <f t="shared" si="6"/>
        <v>104</v>
      </c>
    </row>
    <row r="20" spans="1:69" s="1" customFormat="1" ht="25.25" customHeight="1" x14ac:dyDescent="0.2">
      <c r="A20" s="62"/>
      <c r="B20" s="10" t="s">
        <v>44</v>
      </c>
      <c r="C20" s="41" t="s">
        <v>82</v>
      </c>
      <c r="D20" s="32">
        <v>37</v>
      </c>
      <c r="E20" s="38">
        <v>10.137500000000003</v>
      </c>
      <c r="F20" s="23">
        <v>41</v>
      </c>
      <c r="G20" s="23">
        <v>33</v>
      </c>
      <c r="H20" s="23">
        <v>41</v>
      </c>
      <c r="I20" s="23">
        <v>33</v>
      </c>
      <c r="J20" s="23">
        <v>41</v>
      </c>
      <c r="K20" s="23">
        <v>33</v>
      </c>
      <c r="L20" s="23">
        <v>41</v>
      </c>
      <c r="M20" s="23">
        <v>33</v>
      </c>
      <c r="N20" s="23">
        <v>41</v>
      </c>
      <c r="O20" s="23">
        <v>33.5</v>
      </c>
      <c r="P20" s="23">
        <v>41</v>
      </c>
      <c r="Q20" s="23">
        <v>33</v>
      </c>
      <c r="R20" s="23">
        <v>41</v>
      </c>
      <c r="S20" s="23">
        <v>33</v>
      </c>
      <c r="T20" s="23">
        <v>41</v>
      </c>
      <c r="U20" s="23">
        <v>33</v>
      </c>
      <c r="V20" s="23">
        <v>41</v>
      </c>
      <c r="W20" s="23">
        <v>33</v>
      </c>
      <c r="X20" s="23">
        <v>41</v>
      </c>
      <c r="Y20" s="23">
        <v>33</v>
      </c>
      <c r="Z20" s="23">
        <v>41</v>
      </c>
      <c r="AA20" s="23">
        <v>33</v>
      </c>
      <c r="AB20" s="23">
        <v>41</v>
      </c>
      <c r="AC20" s="23">
        <v>33</v>
      </c>
      <c r="AD20" s="23">
        <v>41</v>
      </c>
      <c r="AE20" s="23">
        <v>33</v>
      </c>
      <c r="AF20" s="23">
        <v>41</v>
      </c>
      <c r="AG20" s="23">
        <v>33</v>
      </c>
      <c r="AH20" s="23">
        <v>41</v>
      </c>
      <c r="AI20" s="23">
        <v>33</v>
      </c>
      <c r="AJ20" s="23">
        <v>41</v>
      </c>
      <c r="AK20" s="23">
        <v>33</v>
      </c>
      <c r="AL20" s="23">
        <v>41</v>
      </c>
      <c r="AM20" s="23">
        <v>33</v>
      </c>
      <c r="AN20" s="23">
        <v>41</v>
      </c>
      <c r="AO20" s="23">
        <v>33</v>
      </c>
      <c r="AP20" s="23">
        <v>41</v>
      </c>
      <c r="AQ20" s="23">
        <v>33</v>
      </c>
      <c r="AR20" s="23">
        <v>41</v>
      </c>
      <c r="AS20" s="23">
        <v>33</v>
      </c>
      <c r="AT20" s="23">
        <v>41</v>
      </c>
      <c r="AU20" s="23">
        <v>33</v>
      </c>
      <c r="AV20" s="23">
        <v>41</v>
      </c>
      <c r="AW20" s="23">
        <v>33</v>
      </c>
      <c r="AX20" s="23">
        <v>41</v>
      </c>
      <c r="AY20" s="23">
        <v>33</v>
      </c>
      <c r="AZ20" s="23">
        <v>41</v>
      </c>
      <c r="BA20" s="23">
        <v>33</v>
      </c>
      <c r="BB20" s="23">
        <v>41</v>
      </c>
      <c r="BC20" s="23">
        <v>33</v>
      </c>
      <c r="BD20" s="23">
        <v>41</v>
      </c>
      <c r="BE20" s="23">
        <v>33</v>
      </c>
      <c r="BF20" s="75">
        <v>41</v>
      </c>
      <c r="BG20" s="12"/>
      <c r="BH20" s="196" t="s">
        <v>44</v>
      </c>
      <c r="BI20" s="197"/>
      <c r="BJ20" s="104">
        <f>'detail par semaine'!JO17</f>
        <v>0.5</v>
      </c>
      <c r="BK20" s="65">
        <f>'detail par semaine'!JP17</f>
        <v>0</v>
      </c>
      <c r="BL20" s="65">
        <f>'detail par semaine'!JQ17</f>
        <v>0.625</v>
      </c>
      <c r="BM20" s="65"/>
      <c r="BN20" s="65">
        <f>'detail par semaine'!JS17</f>
        <v>0</v>
      </c>
      <c r="BO20" s="67">
        <f t="shared" si="5"/>
        <v>10.762500000000003</v>
      </c>
      <c r="BQ20" s="70">
        <f t="shared" si="6"/>
        <v>94.5</v>
      </c>
    </row>
    <row r="21" spans="1:69" s="1" customFormat="1" ht="25.25" customHeight="1" x14ac:dyDescent="0.2">
      <c r="A21" s="62"/>
      <c r="B21" s="10" t="s">
        <v>110</v>
      </c>
      <c r="C21" s="41" t="s">
        <v>111</v>
      </c>
      <c r="D21" s="32">
        <v>39</v>
      </c>
      <c r="E21" s="38">
        <v>0</v>
      </c>
      <c r="F21" s="23">
        <v>39</v>
      </c>
      <c r="G21" s="23">
        <v>39</v>
      </c>
      <c r="H21" s="23">
        <v>39</v>
      </c>
      <c r="I21" s="60">
        <v>40</v>
      </c>
      <c r="J21" s="23">
        <v>39</v>
      </c>
      <c r="K21" s="60">
        <v>40.25</v>
      </c>
      <c r="L21" s="60">
        <v>39.75</v>
      </c>
      <c r="M21" s="60">
        <v>39.75</v>
      </c>
      <c r="N21" s="60">
        <v>39.25</v>
      </c>
      <c r="O21" s="60">
        <v>39.25</v>
      </c>
      <c r="P21" s="60">
        <v>41.5</v>
      </c>
      <c r="Q21" s="23">
        <v>39</v>
      </c>
      <c r="R21" s="23">
        <v>39</v>
      </c>
      <c r="S21" s="23">
        <v>39</v>
      </c>
      <c r="T21" s="23">
        <v>39</v>
      </c>
      <c r="U21" s="23">
        <v>39</v>
      </c>
      <c r="V21" s="23">
        <v>39</v>
      </c>
      <c r="W21" s="23">
        <v>39</v>
      </c>
      <c r="X21" s="23">
        <v>39</v>
      </c>
      <c r="Y21" s="23">
        <v>39</v>
      </c>
      <c r="Z21" s="23">
        <v>39</v>
      </c>
      <c r="AA21" s="23">
        <v>39</v>
      </c>
      <c r="AB21" s="23">
        <v>39</v>
      </c>
      <c r="AC21" s="23">
        <v>39</v>
      </c>
      <c r="AD21" s="23">
        <v>39</v>
      </c>
      <c r="AE21" s="23">
        <v>39</v>
      </c>
      <c r="AF21" s="23">
        <v>39</v>
      </c>
      <c r="AG21" s="23">
        <v>39</v>
      </c>
      <c r="AH21" s="23">
        <v>39</v>
      </c>
      <c r="AI21" s="23">
        <v>39</v>
      </c>
      <c r="AJ21" s="23">
        <v>39</v>
      </c>
      <c r="AK21" s="23">
        <v>39</v>
      </c>
      <c r="AL21" s="23">
        <v>39</v>
      </c>
      <c r="AM21" s="23">
        <v>39</v>
      </c>
      <c r="AN21" s="23">
        <v>39</v>
      </c>
      <c r="AO21" s="23">
        <v>39</v>
      </c>
      <c r="AP21" s="23">
        <v>39</v>
      </c>
      <c r="AQ21" s="23">
        <v>39</v>
      </c>
      <c r="AR21" s="23">
        <v>39</v>
      </c>
      <c r="AS21" s="23">
        <v>39</v>
      </c>
      <c r="AT21" s="23">
        <v>39</v>
      </c>
      <c r="AU21" s="23">
        <v>39</v>
      </c>
      <c r="AV21" s="23">
        <v>39</v>
      </c>
      <c r="AW21" s="23">
        <v>39</v>
      </c>
      <c r="AX21" s="23">
        <v>39</v>
      </c>
      <c r="AY21" s="23">
        <v>39</v>
      </c>
      <c r="AZ21" s="23">
        <v>39</v>
      </c>
      <c r="BA21" s="23">
        <v>39</v>
      </c>
      <c r="BB21" s="23">
        <v>39</v>
      </c>
      <c r="BC21" s="23">
        <v>39</v>
      </c>
      <c r="BD21" s="23">
        <v>39</v>
      </c>
      <c r="BE21" s="23">
        <v>39</v>
      </c>
      <c r="BF21" s="75">
        <v>39</v>
      </c>
      <c r="BG21" s="12"/>
      <c r="BH21" s="196" t="s">
        <v>110</v>
      </c>
      <c r="BI21" s="197"/>
      <c r="BJ21" s="104">
        <f>'detail par semaine'!JO18</f>
        <v>6.75</v>
      </c>
      <c r="BK21" s="65">
        <f>'detail par semaine'!JP18</f>
        <v>0</v>
      </c>
      <c r="BL21" s="65">
        <f>'detail par semaine'!JQ18</f>
        <v>8.4375</v>
      </c>
      <c r="BM21" s="65"/>
      <c r="BN21" s="65">
        <f>'detail par semaine'!JS18</f>
        <v>0</v>
      </c>
      <c r="BO21" s="67">
        <f t="shared" si="5"/>
        <v>8.4375</v>
      </c>
      <c r="BQ21" s="70">
        <f t="shared" si="6"/>
        <v>100.75</v>
      </c>
    </row>
    <row r="22" spans="1:69" s="1" customFormat="1" ht="24.75" customHeight="1" x14ac:dyDescent="0.2">
      <c r="A22" s="62"/>
      <c r="B22" s="10" t="s">
        <v>45</v>
      </c>
      <c r="C22" s="41" t="s">
        <v>82</v>
      </c>
      <c r="D22" s="32">
        <v>37</v>
      </c>
      <c r="E22" s="38">
        <v>8.9950000000000045</v>
      </c>
      <c r="F22" s="23">
        <v>33</v>
      </c>
      <c r="G22" s="23">
        <v>41</v>
      </c>
      <c r="H22" s="60">
        <v>28</v>
      </c>
      <c r="I22" s="23">
        <v>41</v>
      </c>
      <c r="J22" s="23">
        <v>33</v>
      </c>
      <c r="K22" s="23">
        <v>41</v>
      </c>
      <c r="L22" s="23">
        <v>33</v>
      </c>
      <c r="M22" s="23">
        <v>41</v>
      </c>
      <c r="N22" s="23">
        <v>33</v>
      </c>
      <c r="O22" s="23">
        <v>41</v>
      </c>
      <c r="P22" s="60">
        <v>40.75</v>
      </c>
      <c r="Q22" s="23">
        <v>41</v>
      </c>
      <c r="R22" s="23">
        <v>33</v>
      </c>
      <c r="S22" s="23">
        <v>41</v>
      </c>
      <c r="T22" s="23">
        <v>33</v>
      </c>
      <c r="U22" s="23">
        <v>41</v>
      </c>
      <c r="V22" s="23">
        <v>33</v>
      </c>
      <c r="W22" s="23">
        <v>41</v>
      </c>
      <c r="X22" s="23">
        <v>33</v>
      </c>
      <c r="Y22" s="23">
        <v>41</v>
      </c>
      <c r="Z22" s="23">
        <v>33</v>
      </c>
      <c r="AA22" s="23">
        <v>41</v>
      </c>
      <c r="AB22" s="23">
        <v>33</v>
      </c>
      <c r="AC22" s="23">
        <v>41</v>
      </c>
      <c r="AD22" s="23">
        <v>33</v>
      </c>
      <c r="AE22" s="23">
        <v>41</v>
      </c>
      <c r="AF22" s="23">
        <v>33</v>
      </c>
      <c r="AG22" s="23">
        <v>41</v>
      </c>
      <c r="AH22" s="23">
        <v>33</v>
      </c>
      <c r="AI22" s="23">
        <v>41</v>
      </c>
      <c r="AJ22" s="23">
        <v>33</v>
      </c>
      <c r="AK22" s="23">
        <v>41</v>
      </c>
      <c r="AL22" s="23">
        <v>33</v>
      </c>
      <c r="AM22" s="23">
        <v>41</v>
      </c>
      <c r="AN22" s="23">
        <v>33</v>
      </c>
      <c r="AO22" s="23">
        <v>41</v>
      </c>
      <c r="AP22" s="23">
        <v>33</v>
      </c>
      <c r="AQ22" s="23">
        <v>41</v>
      </c>
      <c r="AR22" s="23">
        <v>33</v>
      </c>
      <c r="AS22" s="23">
        <v>41</v>
      </c>
      <c r="AT22" s="23">
        <v>33</v>
      </c>
      <c r="AU22" s="23">
        <v>41</v>
      </c>
      <c r="AV22" s="23">
        <v>33</v>
      </c>
      <c r="AW22" s="23">
        <v>41</v>
      </c>
      <c r="AX22" s="23">
        <v>33</v>
      </c>
      <c r="AY22" s="23">
        <v>41</v>
      </c>
      <c r="AZ22" s="23">
        <v>33</v>
      </c>
      <c r="BA22" s="23">
        <v>41</v>
      </c>
      <c r="BB22" s="23">
        <v>33</v>
      </c>
      <c r="BC22" s="23">
        <v>41</v>
      </c>
      <c r="BD22" s="23">
        <v>33</v>
      </c>
      <c r="BE22" s="15">
        <v>41</v>
      </c>
      <c r="BF22" s="75">
        <v>33</v>
      </c>
      <c r="BG22" s="12"/>
      <c r="BH22" s="194" t="s">
        <v>45</v>
      </c>
      <c r="BI22" s="195"/>
      <c r="BJ22" s="104">
        <f>'detail par semaine'!JO19</f>
        <v>7.75</v>
      </c>
      <c r="BK22" s="65">
        <f>'detail par semaine'!JP19</f>
        <v>0</v>
      </c>
      <c r="BL22" s="65">
        <f>'detail par semaine'!JQ19</f>
        <v>9.6875</v>
      </c>
      <c r="BM22" s="65"/>
      <c r="BN22" s="65">
        <f>'detail par semaine'!JS19</f>
        <v>-5</v>
      </c>
      <c r="BO22" s="67">
        <f t="shared" si="5"/>
        <v>13.682500000000005</v>
      </c>
      <c r="BQ22" s="70">
        <f t="shared" si="6"/>
        <v>101.75</v>
      </c>
    </row>
    <row r="23" spans="1:69" s="1" customFormat="1" ht="24.75" customHeight="1" x14ac:dyDescent="0.2">
      <c r="A23" s="62"/>
      <c r="B23" s="10" t="s">
        <v>126</v>
      </c>
      <c r="C23" s="41" t="s">
        <v>82</v>
      </c>
      <c r="D23" s="32">
        <v>37</v>
      </c>
      <c r="E23" s="38">
        <v>5.25</v>
      </c>
      <c r="F23" s="23">
        <v>33</v>
      </c>
      <c r="G23" s="23">
        <v>41</v>
      </c>
      <c r="H23" s="23">
        <v>33</v>
      </c>
      <c r="I23" s="23">
        <v>41</v>
      </c>
      <c r="J23" s="60">
        <v>40.75</v>
      </c>
      <c r="K23" s="60">
        <v>41.25</v>
      </c>
      <c r="L23" s="60">
        <v>40.75</v>
      </c>
      <c r="M23" s="60">
        <v>41.25</v>
      </c>
      <c r="N23" s="60">
        <v>40.75</v>
      </c>
      <c r="O23" s="23">
        <v>41</v>
      </c>
      <c r="P23" s="23">
        <v>33</v>
      </c>
      <c r="Q23" s="23">
        <v>41</v>
      </c>
      <c r="R23" s="23">
        <v>33</v>
      </c>
      <c r="S23" s="23">
        <v>41</v>
      </c>
      <c r="T23" s="23">
        <v>33</v>
      </c>
      <c r="U23" s="23">
        <v>41</v>
      </c>
      <c r="V23" s="23">
        <v>33</v>
      </c>
      <c r="W23" s="23">
        <v>41</v>
      </c>
      <c r="X23" s="23">
        <v>33</v>
      </c>
      <c r="Y23" s="23">
        <v>41</v>
      </c>
      <c r="Z23" s="23">
        <v>33</v>
      </c>
      <c r="AA23" s="23">
        <v>41</v>
      </c>
      <c r="AB23" s="23">
        <v>33</v>
      </c>
      <c r="AC23" s="23">
        <v>41</v>
      </c>
      <c r="AD23" s="23">
        <v>33</v>
      </c>
      <c r="AE23" s="23">
        <v>41</v>
      </c>
      <c r="AF23" s="23">
        <v>33</v>
      </c>
      <c r="AG23" s="23">
        <v>41</v>
      </c>
      <c r="AH23" s="23">
        <v>33</v>
      </c>
      <c r="AI23" s="23">
        <v>41</v>
      </c>
      <c r="AJ23" s="23">
        <v>33</v>
      </c>
      <c r="AK23" s="23">
        <v>41</v>
      </c>
      <c r="AL23" s="23">
        <v>33</v>
      </c>
      <c r="AM23" s="23">
        <v>41</v>
      </c>
      <c r="AN23" s="23">
        <v>33</v>
      </c>
      <c r="AO23" s="23">
        <v>41</v>
      </c>
      <c r="AP23" s="23">
        <v>33</v>
      </c>
      <c r="AQ23" s="23">
        <v>41</v>
      </c>
      <c r="AR23" s="23">
        <v>33</v>
      </c>
      <c r="AS23" s="23">
        <v>41</v>
      </c>
      <c r="AT23" s="23">
        <v>33</v>
      </c>
      <c r="AU23" s="23">
        <v>41</v>
      </c>
      <c r="AV23" s="23">
        <v>33</v>
      </c>
      <c r="AW23" s="23">
        <v>41</v>
      </c>
      <c r="AX23" s="23">
        <v>33</v>
      </c>
      <c r="AY23" s="23">
        <v>41</v>
      </c>
      <c r="AZ23" s="23">
        <v>33</v>
      </c>
      <c r="BA23" s="23">
        <v>41</v>
      </c>
      <c r="BB23" s="23">
        <v>33</v>
      </c>
      <c r="BC23" s="23">
        <v>41</v>
      </c>
      <c r="BD23" s="23">
        <v>33</v>
      </c>
      <c r="BE23" s="15">
        <v>41</v>
      </c>
      <c r="BF23" s="75">
        <v>33</v>
      </c>
      <c r="BG23" s="12"/>
      <c r="BH23" s="196" t="s">
        <v>126</v>
      </c>
      <c r="BI23" s="197"/>
      <c r="BJ23" s="104">
        <f>'detail par semaine'!JO20</f>
        <v>23.75</v>
      </c>
      <c r="BK23" s="65">
        <f>'detail par semaine'!JP20</f>
        <v>0</v>
      </c>
      <c r="BL23" s="65">
        <f>'detail par semaine'!JQ20</f>
        <v>29.6875</v>
      </c>
      <c r="BM23" s="65"/>
      <c r="BN23" s="65">
        <f>'detail par semaine'!JS20</f>
        <v>0</v>
      </c>
      <c r="BO23" s="67">
        <f t="shared" si="5"/>
        <v>34.9375</v>
      </c>
      <c r="BQ23" s="70">
        <f t="shared" si="6"/>
        <v>117.75</v>
      </c>
    </row>
    <row r="24" spans="1:69" s="1" customFormat="1" ht="25.25" customHeight="1" x14ac:dyDescent="0.2">
      <c r="A24" s="62"/>
      <c r="B24" s="10" t="s">
        <v>113</v>
      </c>
      <c r="C24" s="41" t="s">
        <v>82</v>
      </c>
      <c r="D24" s="32">
        <v>37</v>
      </c>
      <c r="E24" s="38">
        <v>16.48</v>
      </c>
      <c r="F24" s="23">
        <v>33</v>
      </c>
      <c r="G24" s="23">
        <v>41</v>
      </c>
      <c r="H24" s="23">
        <v>33</v>
      </c>
      <c r="I24" s="23">
        <v>41</v>
      </c>
      <c r="J24" s="23">
        <v>33</v>
      </c>
      <c r="K24" s="60">
        <v>32.75</v>
      </c>
      <c r="L24" s="23">
        <v>33</v>
      </c>
      <c r="M24" s="23">
        <v>41</v>
      </c>
      <c r="N24" s="23">
        <v>33</v>
      </c>
      <c r="O24" s="23">
        <v>41</v>
      </c>
      <c r="P24" s="23">
        <v>33</v>
      </c>
      <c r="Q24" s="23">
        <v>41</v>
      </c>
      <c r="R24" s="23">
        <v>33</v>
      </c>
      <c r="S24" s="23">
        <v>41</v>
      </c>
      <c r="T24" s="23">
        <v>33</v>
      </c>
      <c r="U24" s="23">
        <v>41</v>
      </c>
      <c r="V24" s="23">
        <v>33</v>
      </c>
      <c r="W24" s="23">
        <v>41</v>
      </c>
      <c r="X24" s="23">
        <v>33</v>
      </c>
      <c r="Y24" s="23">
        <v>41</v>
      </c>
      <c r="Z24" s="23">
        <v>33</v>
      </c>
      <c r="AA24" s="23">
        <v>41</v>
      </c>
      <c r="AB24" s="23">
        <v>33</v>
      </c>
      <c r="AC24" s="23">
        <v>41</v>
      </c>
      <c r="AD24" s="23">
        <v>33</v>
      </c>
      <c r="AE24" s="23">
        <v>41</v>
      </c>
      <c r="AF24" s="23">
        <v>33</v>
      </c>
      <c r="AG24" s="23">
        <v>41</v>
      </c>
      <c r="AH24" s="23">
        <v>33</v>
      </c>
      <c r="AI24" s="23">
        <v>41</v>
      </c>
      <c r="AJ24" s="23">
        <v>33</v>
      </c>
      <c r="AK24" s="23">
        <v>41</v>
      </c>
      <c r="AL24" s="23">
        <v>33</v>
      </c>
      <c r="AM24" s="23">
        <v>41</v>
      </c>
      <c r="AN24" s="23">
        <v>33</v>
      </c>
      <c r="AO24" s="23">
        <v>41</v>
      </c>
      <c r="AP24" s="23">
        <v>33</v>
      </c>
      <c r="AQ24" s="23">
        <v>41</v>
      </c>
      <c r="AR24" s="23">
        <v>33</v>
      </c>
      <c r="AS24" s="23">
        <v>41</v>
      </c>
      <c r="AT24" s="23">
        <v>33</v>
      </c>
      <c r="AU24" s="23">
        <v>41</v>
      </c>
      <c r="AV24" s="23">
        <v>33</v>
      </c>
      <c r="AW24" s="23">
        <v>41</v>
      </c>
      <c r="AX24" s="23">
        <v>33</v>
      </c>
      <c r="AY24" s="23">
        <v>41</v>
      </c>
      <c r="AZ24" s="23">
        <v>33</v>
      </c>
      <c r="BA24" s="23">
        <v>41</v>
      </c>
      <c r="BB24" s="23">
        <v>33</v>
      </c>
      <c r="BC24" s="23">
        <v>41</v>
      </c>
      <c r="BD24" s="23">
        <v>33</v>
      </c>
      <c r="BE24" s="15">
        <v>41</v>
      </c>
      <c r="BF24" s="75">
        <v>33</v>
      </c>
      <c r="BG24" s="12"/>
      <c r="BH24" s="196" t="s">
        <v>113</v>
      </c>
      <c r="BI24" s="197"/>
      <c r="BJ24" s="104">
        <f>'detail par semaine'!JO21</f>
        <v>0</v>
      </c>
      <c r="BK24" s="65">
        <f>'detail par semaine'!JP21</f>
        <v>0</v>
      </c>
      <c r="BL24" s="65">
        <f>'detail par semaine'!JQ21</f>
        <v>0</v>
      </c>
      <c r="BM24" s="65"/>
      <c r="BN24" s="65">
        <f>'detail par semaine'!JS21</f>
        <v>-8.25</v>
      </c>
      <c r="BO24" s="67">
        <f t="shared" si="5"/>
        <v>8.23</v>
      </c>
      <c r="BQ24" s="70">
        <f t="shared" si="6"/>
        <v>94</v>
      </c>
    </row>
    <row r="25" spans="1:69" s="1" customFormat="1" ht="25.25" customHeight="1" x14ac:dyDescent="0.2">
      <c r="A25" s="62"/>
      <c r="B25" s="10" t="s">
        <v>46</v>
      </c>
      <c r="C25" s="41" t="s">
        <v>82</v>
      </c>
      <c r="D25" s="32">
        <v>37</v>
      </c>
      <c r="E25" s="38">
        <v>5.522500000000008</v>
      </c>
      <c r="F25" s="23">
        <v>33</v>
      </c>
      <c r="G25" s="23">
        <v>41</v>
      </c>
      <c r="H25" s="60">
        <v>32.75</v>
      </c>
      <c r="I25" s="60">
        <v>42</v>
      </c>
      <c r="J25" s="60">
        <v>40.75</v>
      </c>
      <c r="K25" s="60">
        <v>41.25</v>
      </c>
      <c r="L25" s="60">
        <v>32.5</v>
      </c>
      <c r="M25" s="60">
        <v>41.25</v>
      </c>
      <c r="N25" s="60">
        <v>41.75</v>
      </c>
      <c r="O25" s="23">
        <v>41</v>
      </c>
      <c r="P25" s="60">
        <v>33.75</v>
      </c>
      <c r="Q25" s="23">
        <v>41</v>
      </c>
      <c r="R25" s="23">
        <v>33</v>
      </c>
      <c r="S25" s="23">
        <v>41</v>
      </c>
      <c r="T25" s="23">
        <v>33</v>
      </c>
      <c r="U25" s="23">
        <v>41</v>
      </c>
      <c r="V25" s="23">
        <v>33</v>
      </c>
      <c r="W25" s="23">
        <v>41</v>
      </c>
      <c r="X25" s="23">
        <v>33</v>
      </c>
      <c r="Y25" s="23">
        <v>41</v>
      </c>
      <c r="Z25" s="23">
        <v>33</v>
      </c>
      <c r="AA25" s="23">
        <v>41</v>
      </c>
      <c r="AB25" s="23">
        <v>33</v>
      </c>
      <c r="AC25" s="23">
        <v>41</v>
      </c>
      <c r="AD25" s="23">
        <v>33</v>
      </c>
      <c r="AE25" s="23">
        <v>41</v>
      </c>
      <c r="AF25" s="23">
        <v>33</v>
      </c>
      <c r="AG25" s="23">
        <v>41</v>
      </c>
      <c r="AH25" s="23">
        <v>33</v>
      </c>
      <c r="AI25" s="23">
        <v>41</v>
      </c>
      <c r="AJ25" s="23">
        <v>33</v>
      </c>
      <c r="AK25" s="23">
        <v>41</v>
      </c>
      <c r="AL25" s="23">
        <v>33</v>
      </c>
      <c r="AM25" s="23">
        <v>41</v>
      </c>
      <c r="AN25" s="23">
        <v>33</v>
      </c>
      <c r="AO25" s="23">
        <v>41</v>
      </c>
      <c r="AP25" s="23">
        <v>33</v>
      </c>
      <c r="AQ25" s="23">
        <v>41</v>
      </c>
      <c r="AR25" s="23">
        <v>33</v>
      </c>
      <c r="AS25" s="23">
        <v>41</v>
      </c>
      <c r="AT25" s="23">
        <v>33</v>
      </c>
      <c r="AU25" s="23">
        <v>41</v>
      </c>
      <c r="AV25" s="23">
        <v>33</v>
      </c>
      <c r="AW25" s="23">
        <v>41</v>
      </c>
      <c r="AX25" s="23">
        <v>33</v>
      </c>
      <c r="AY25" s="23">
        <v>41</v>
      </c>
      <c r="AZ25" s="23">
        <v>33</v>
      </c>
      <c r="BA25" s="23">
        <v>41</v>
      </c>
      <c r="BB25" s="23">
        <v>33</v>
      </c>
      <c r="BC25" s="23">
        <v>41</v>
      </c>
      <c r="BD25" s="23">
        <v>33</v>
      </c>
      <c r="BE25" s="15">
        <v>41</v>
      </c>
      <c r="BF25" s="75">
        <v>33</v>
      </c>
      <c r="BG25" s="12"/>
      <c r="BH25" s="194" t="s">
        <v>46</v>
      </c>
      <c r="BI25" s="195"/>
      <c r="BJ25" s="104">
        <f>'detail par semaine'!JO22</f>
        <v>18.5</v>
      </c>
      <c r="BK25" s="65">
        <f>'detail par semaine'!JP22</f>
        <v>0</v>
      </c>
      <c r="BL25" s="65">
        <f>'detail par semaine'!JQ22</f>
        <v>23.125</v>
      </c>
      <c r="BM25" s="65"/>
      <c r="BN25" s="65">
        <f>'detail par semaine'!JS22</f>
        <v>-0.5</v>
      </c>
      <c r="BO25" s="67">
        <f t="shared" si="5"/>
        <v>28.147500000000008</v>
      </c>
      <c r="BQ25" s="70">
        <f t="shared" si="6"/>
        <v>112.5</v>
      </c>
    </row>
    <row r="26" spans="1:69" s="1" customFormat="1" ht="25.25" customHeight="1" x14ac:dyDescent="0.2">
      <c r="A26" s="62"/>
      <c r="B26" s="10" t="s">
        <v>50</v>
      </c>
      <c r="C26" s="41" t="s">
        <v>82</v>
      </c>
      <c r="D26" s="32">
        <v>37</v>
      </c>
      <c r="E26" s="38">
        <v>0.54500000000001236</v>
      </c>
      <c r="F26" s="23">
        <v>33</v>
      </c>
      <c r="G26" s="23">
        <v>41</v>
      </c>
      <c r="H26" s="23">
        <v>33</v>
      </c>
      <c r="I26" s="23">
        <v>41</v>
      </c>
      <c r="J26" s="23">
        <v>33</v>
      </c>
      <c r="K26" s="23">
        <v>41</v>
      </c>
      <c r="L26" s="23">
        <v>33</v>
      </c>
      <c r="M26" s="23">
        <v>41</v>
      </c>
      <c r="N26" s="23">
        <v>33</v>
      </c>
      <c r="O26" s="23">
        <v>41</v>
      </c>
      <c r="P26" s="23">
        <v>33</v>
      </c>
      <c r="Q26" s="23">
        <v>41</v>
      </c>
      <c r="R26" s="23">
        <v>33</v>
      </c>
      <c r="S26" s="23">
        <v>41</v>
      </c>
      <c r="T26" s="23">
        <v>33</v>
      </c>
      <c r="U26" s="23">
        <v>41</v>
      </c>
      <c r="V26" s="23">
        <v>33</v>
      </c>
      <c r="W26" s="23">
        <v>41</v>
      </c>
      <c r="X26" s="23">
        <v>33</v>
      </c>
      <c r="Y26" s="23">
        <v>41</v>
      </c>
      <c r="Z26" s="23">
        <v>33</v>
      </c>
      <c r="AA26" s="23">
        <v>41</v>
      </c>
      <c r="AB26" s="23">
        <v>33</v>
      </c>
      <c r="AC26" s="23">
        <v>41</v>
      </c>
      <c r="AD26" s="23">
        <v>33</v>
      </c>
      <c r="AE26" s="23">
        <v>41</v>
      </c>
      <c r="AF26" s="23">
        <v>33</v>
      </c>
      <c r="AG26" s="23">
        <v>41</v>
      </c>
      <c r="AH26" s="23">
        <v>33</v>
      </c>
      <c r="AI26" s="23">
        <v>41</v>
      </c>
      <c r="AJ26" s="23">
        <v>33</v>
      </c>
      <c r="AK26" s="23">
        <v>41</v>
      </c>
      <c r="AL26" s="23">
        <v>33</v>
      </c>
      <c r="AM26" s="23">
        <v>41</v>
      </c>
      <c r="AN26" s="23">
        <v>33</v>
      </c>
      <c r="AO26" s="23">
        <v>41</v>
      </c>
      <c r="AP26" s="23">
        <v>33</v>
      </c>
      <c r="AQ26" s="23">
        <v>41</v>
      </c>
      <c r="AR26" s="23">
        <v>33</v>
      </c>
      <c r="AS26" s="23">
        <v>41</v>
      </c>
      <c r="AT26" s="23">
        <v>33</v>
      </c>
      <c r="AU26" s="23">
        <v>41</v>
      </c>
      <c r="AV26" s="23">
        <v>33</v>
      </c>
      <c r="AW26" s="23">
        <v>41</v>
      </c>
      <c r="AX26" s="23">
        <v>33</v>
      </c>
      <c r="AY26" s="23">
        <v>41</v>
      </c>
      <c r="AZ26" s="23">
        <v>33</v>
      </c>
      <c r="BA26" s="23">
        <v>41</v>
      </c>
      <c r="BB26" s="23">
        <v>33</v>
      </c>
      <c r="BC26" s="23">
        <v>41</v>
      </c>
      <c r="BD26" s="23">
        <v>33</v>
      </c>
      <c r="BE26" s="15">
        <v>41</v>
      </c>
      <c r="BF26" s="75">
        <v>33</v>
      </c>
      <c r="BG26" s="12"/>
      <c r="BH26" s="194" t="s">
        <v>50</v>
      </c>
      <c r="BI26" s="195"/>
      <c r="BJ26" s="104">
        <f>'detail par semaine'!JO23</f>
        <v>0</v>
      </c>
      <c r="BK26" s="65">
        <f>'detail par semaine'!JP23</f>
        <v>0</v>
      </c>
      <c r="BL26" s="65">
        <f>'detail par semaine'!JQ23</f>
        <v>0</v>
      </c>
      <c r="BM26" s="65"/>
      <c r="BN26" s="65">
        <f>'detail par semaine'!JS23</f>
        <v>0</v>
      </c>
      <c r="BO26" s="67">
        <f t="shared" si="5"/>
        <v>0.54500000000001236</v>
      </c>
      <c r="BQ26" s="70">
        <f t="shared" si="6"/>
        <v>94</v>
      </c>
    </row>
    <row r="27" spans="1:69" s="1" customFormat="1" ht="25.25" customHeight="1" x14ac:dyDescent="0.2">
      <c r="A27" s="62"/>
      <c r="B27" s="10" t="s">
        <v>47</v>
      </c>
      <c r="C27" s="41" t="s">
        <v>82</v>
      </c>
      <c r="D27" s="32">
        <v>37</v>
      </c>
      <c r="E27" s="38">
        <v>14.125</v>
      </c>
      <c r="F27" s="23">
        <v>33</v>
      </c>
      <c r="G27" s="60">
        <v>38</v>
      </c>
      <c r="H27" s="23">
        <v>33</v>
      </c>
      <c r="I27" s="23">
        <v>41</v>
      </c>
      <c r="J27" s="60">
        <v>40.75</v>
      </c>
      <c r="K27" s="60">
        <v>41.25</v>
      </c>
      <c r="L27" s="23">
        <v>33</v>
      </c>
      <c r="M27" s="23">
        <v>37</v>
      </c>
      <c r="N27" s="23">
        <v>37</v>
      </c>
      <c r="O27" s="23">
        <v>37</v>
      </c>
      <c r="P27" s="23">
        <v>37</v>
      </c>
      <c r="Q27" s="23">
        <v>41</v>
      </c>
      <c r="R27" s="23">
        <v>33</v>
      </c>
      <c r="S27" s="23">
        <v>41</v>
      </c>
      <c r="T27" s="23">
        <v>33</v>
      </c>
      <c r="U27" s="23">
        <v>41</v>
      </c>
      <c r="V27" s="23">
        <v>33</v>
      </c>
      <c r="W27" s="23">
        <v>41</v>
      </c>
      <c r="X27" s="23">
        <v>33</v>
      </c>
      <c r="Y27" s="23">
        <v>41</v>
      </c>
      <c r="Z27" s="23">
        <v>33</v>
      </c>
      <c r="AA27" s="23">
        <v>41</v>
      </c>
      <c r="AB27" s="23">
        <v>33</v>
      </c>
      <c r="AC27" s="23">
        <v>41</v>
      </c>
      <c r="AD27" s="23">
        <v>33</v>
      </c>
      <c r="AE27" s="23">
        <v>41</v>
      </c>
      <c r="AF27" s="23">
        <v>33</v>
      </c>
      <c r="AG27" s="23">
        <v>41</v>
      </c>
      <c r="AH27" s="23">
        <v>33</v>
      </c>
      <c r="AI27" s="23">
        <v>41</v>
      </c>
      <c r="AJ27" s="23">
        <v>33</v>
      </c>
      <c r="AK27" s="23">
        <v>41</v>
      </c>
      <c r="AL27" s="23">
        <v>33</v>
      </c>
      <c r="AM27" s="23">
        <v>41</v>
      </c>
      <c r="AN27" s="23">
        <v>33</v>
      </c>
      <c r="AO27" s="23">
        <v>41</v>
      </c>
      <c r="AP27" s="23">
        <v>33</v>
      </c>
      <c r="AQ27" s="23">
        <v>41</v>
      </c>
      <c r="AR27" s="23">
        <v>33</v>
      </c>
      <c r="AS27" s="23">
        <v>41</v>
      </c>
      <c r="AT27" s="23">
        <v>33</v>
      </c>
      <c r="AU27" s="23">
        <v>41</v>
      </c>
      <c r="AV27" s="23">
        <v>33</v>
      </c>
      <c r="AW27" s="23">
        <v>41</v>
      </c>
      <c r="AX27" s="23">
        <v>33</v>
      </c>
      <c r="AY27" s="23">
        <v>41</v>
      </c>
      <c r="AZ27" s="23">
        <v>33</v>
      </c>
      <c r="BA27" s="23">
        <v>41</v>
      </c>
      <c r="BB27" s="23">
        <v>33</v>
      </c>
      <c r="BC27" s="23">
        <v>41</v>
      </c>
      <c r="BD27" s="23">
        <v>33</v>
      </c>
      <c r="BE27" s="15">
        <v>41</v>
      </c>
      <c r="BF27" s="75">
        <v>33</v>
      </c>
      <c r="BG27" s="12"/>
      <c r="BH27" s="194" t="s">
        <v>47</v>
      </c>
      <c r="BI27" s="195"/>
      <c r="BJ27" s="104">
        <f>'detail par semaine'!JO24</f>
        <v>8</v>
      </c>
      <c r="BK27" s="65">
        <f>'detail par semaine'!JP24</f>
        <v>0</v>
      </c>
      <c r="BL27" s="65">
        <f>'detail par semaine'!JQ24</f>
        <v>10</v>
      </c>
      <c r="BM27" s="65"/>
      <c r="BN27" s="65">
        <f>'detail par semaine'!JS24</f>
        <v>-3</v>
      </c>
      <c r="BO27" s="67">
        <f t="shared" si="5"/>
        <v>21.125</v>
      </c>
      <c r="BQ27" s="69">
        <f t="shared" si="6"/>
        <v>102</v>
      </c>
    </row>
    <row r="28" spans="1:69" s="1" customFormat="1" ht="25.25" customHeight="1" x14ac:dyDescent="0.2">
      <c r="A28" s="62"/>
      <c r="B28" s="10" t="s">
        <v>33</v>
      </c>
      <c r="C28" s="41" t="s">
        <v>82</v>
      </c>
      <c r="D28" s="32">
        <v>37</v>
      </c>
      <c r="E28" s="38">
        <v>14.997499999999999</v>
      </c>
      <c r="F28" s="23">
        <v>33</v>
      </c>
      <c r="G28" s="23">
        <v>41</v>
      </c>
      <c r="H28" s="23">
        <v>33</v>
      </c>
      <c r="I28" s="23">
        <v>41</v>
      </c>
      <c r="J28" s="23">
        <v>33</v>
      </c>
      <c r="K28" s="23">
        <v>41</v>
      </c>
      <c r="L28" s="60">
        <v>40.75</v>
      </c>
      <c r="M28" s="23">
        <v>41</v>
      </c>
      <c r="N28" s="23">
        <v>33</v>
      </c>
      <c r="O28" s="60">
        <v>41.25</v>
      </c>
      <c r="P28" s="60">
        <v>40.75</v>
      </c>
      <c r="Q28" s="23">
        <v>41</v>
      </c>
      <c r="R28" s="23">
        <v>33</v>
      </c>
      <c r="S28" s="23">
        <v>41</v>
      </c>
      <c r="T28" s="23">
        <v>33</v>
      </c>
      <c r="U28" s="23">
        <v>41</v>
      </c>
      <c r="V28" s="23">
        <v>33</v>
      </c>
      <c r="W28" s="23">
        <v>41</v>
      </c>
      <c r="X28" s="23">
        <v>33</v>
      </c>
      <c r="Y28" s="23">
        <v>41</v>
      </c>
      <c r="Z28" s="23">
        <v>33</v>
      </c>
      <c r="AA28" s="23">
        <v>41</v>
      </c>
      <c r="AB28" s="23">
        <v>33</v>
      </c>
      <c r="AC28" s="23">
        <v>41</v>
      </c>
      <c r="AD28" s="23">
        <v>33</v>
      </c>
      <c r="AE28" s="23">
        <v>41</v>
      </c>
      <c r="AF28" s="23">
        <v>33</v>
      </c>
      <c r="AG28" s="23">
        <v>41</v>
      </c>
      <c r="AH28" s="23">
        <v>33</v>
      </c>
      <c r="AI28" s="23">
        <v>41</v>
      </c>
      <c r="AJ28" s="23">
        <v>33</v>
      </c>
      <c r="AK28" s="23">
        <v>41</v>
      </c>
      <c r="AL28" s="23">
        <v>33</v>
      </c>
      <c r="AM28" s="23">
        <v>41</v>
      </c>
      <c r="AN28" s="23">
        <v>33</v>
      </c>
      <c r="AO28" s="23">
        <v>41</v>
      </c>
      <c r="AP28" s="23">
        <v>33</v>
      </c>
      <c r="AQ28" s="23">
        <v>41</v>
      </c>
      <c r="AR28" s="23">
        <v>33</v>
      </c>
      <c r="AS28" s="23">
        <v>41</v>
      </c>
      <c r="AT28" s="23">
        <v>33</v>
      </c>
      <c r="AU28" s="23">
        <v>41</v>
      </c>
      <c r="AV28" s="23">
        <v>33</v>
      </c>
      <c r="AW28" s="23">
        <v>41</v>
      </c>
      <c r="AX28" s="23">
        <v>33</v>
      </c>
      <c r="AY28" s="23">
        <v>41</v>
      </c>
      <c r="AZ28" s="23">
        <v>33</v>
      </c>
      <c r="BA28" s="23">
        <v>41</v>
      </c>
      <c r="BB28" s="23">
        <v>33</v>
      </c>
      <c r="BC28" s="23">
        <v>41</v>
      </c>
      <c r="BD28" s="23">
        <v>33</v>
      </c>
      <c r="BE28" s="15">
        <v>41</v>
      </c>
      <c r="BF28" s="75">
        <v>33</v>
      </c>
      <c r="BG28" s="12"/>
      <c r="BH28" s="194" t="s">
        <v>33</v>
      </c>
      <c r="BI28" s="195"/>
      <c r="BJ28" s="104">
        <f>'detail par semaine'!JO25</f>
        <v>15.75</v>
      </c>
      <c r="BK28" s="65">
        <f>'detail par semaine'!JP25</f>
        <v>0</v>
      </c>
      <c r="BL28" s="65">
        <f>'detail par semaine'!JQ25</f>
        <v>19.6875</v>
      </c>
      <c r="BM28" s="65"/>
      <c r="BN28" s="65">
        <f>'detail par semaine'!JS25</f>
        <v>0</v>
      </c>
      <c r="BO28" s="67">
        <f t="shared" si="5"/>
        <v>34.685000000000002</v>
      </c>
      <c r="BQ28" s="70">
        <f t="shared" si="6"/>
        <v>109.75</v>
      </c>
    </row>
    <row r="29" spans="1:69" s="1" customFormat="1" ht="25.25" customHeight="1" x14ac:dyDescent="0.2">
      <c r="A29" s="62"/>
      <c r="B29" s="10" t="s">
        <v>122</v>
      </c>
      <c r="C29" s="41" t="s">
        <v>82</v>
      </c>
      <c r="D29" s="32">
        <v>37</v>
      </c>
      <c r="E29" s="38">
        <v>0</v>
      </c>
      <c r="F29" s="23">
        <v>41</v>
      </c>
      <c r="G29" s="23">
        <v>33</v>
      </c>
      <c r="H29" s="60">
        <v>39.5</v>
      </c>
      <c r="I29" s="23">
        <v>33</v>
      </c>
      <c r="J29" s="60">
        <v>34.5</v>
      </c>
      <c r="K29" s="23">
        <v>33</v>
      </c>
      <c r="L29" s="60">
        <v>39.5</v>
      </c>
      <c r="M29" s="23">
        <v>33</v>
      </c>
      <c r="N29" s="23">
        <v>41</v>
      </c>
      <c r="O29" s="60">
        <v>37.5</v>
      </c>
      <c r="P29" s="23">
        <v>41</v>
      </c>
      <c r="Q29" s="23">
        <v>33</v>
      </c>
      <c r="R29" s="23">
        <v>41</v>
      </c>
      <c r="S29" s="23">
        <v>33</v>
      </c>
      <c r="T29" s="23">
        <v>41</v>
      </c>
      <c r="U29" s="23">
        <v>33</v>
      </c>
      <c r="V29" s="23">
        <v>41</v>
      </c>
      <c r="W29" s="23">
        <v>33</v>
      </c>
      <c r="X29" s="23">
        <v>41</v>
      </c>
      <c r="Y29" s="23">
        <v>33</v>
      </c>
      <c r="Z29" s="23">
        <v>41</v>
      </c>
      <c r="AA29" s="23">
        <v>33</v>
      </c>
      <c r="AB29" s="23">
        <v>41</v>
      </c>
      <c r="AC29" s="23">
        <v>33</v>
      </c>
      <c r="AD29" s="23">
        <v>41</v>
      </c>
      <c r="AE29" s="23">
        <v>33</v>
      </c>
      <c r="AF29" s="23">
        <v>41</v>
      </c>
      <c r="AG29" s="23">
        <v>33</v>
      </c>
      <c r="AH29" s="23">
        <v>41</v>
      </c>
      <c r="AI29" s="23">
        <v>33</v>
      </c>
      <c r="AJ29" s="23">
        <v>41</v>
      </c>
      <c r="AK29" s="23">
        <v>33</v>
      </c>
      <c r="AL29" s="23">
        <v>41</v>
      </c>
      <c r="AM29" s="23">
        <v>33</v>
      </c>
      <c r="AN29" s="23">
        <v>41</v>
      </c>
      <c r="AO29" s="23">
        <v>33</v>
      </c>
      <c r="AP29" s="23">
        <v>41</v>
      </c>
      <c r="AQ29" s="23">
        <v>33</v>
      </c>
      <c r="AR29" s="23">
        <v>41</v>
      </c>
      <c r="AS29" s="23">
        <v>33</v>
      </c>
      <c r="AT29" s="23">
        <v>41</v>
      </c>
      <c r="AU29" s="23">
        <v>33</v>
      </c>
      <c r="AV29" s="23">
        <v>41</v>
      </c>
      <c r="AW29" s="23">
        <v>33</v>
      </c>
      <c r="AX29" s="23">
        <v>41</v>
      </c>
      <c r="AY29" s="23">
        <v>33</v>
      </c>
      <c r="AZ29" s="23">
        <v>41</v>
      </c>
      <c r="BA29" s="23">
        <v>33</v>
      </c>
      <c r="BB29" s="23">
        <v>41</v>
      </c>
      <c r="BC29" s="23">
        <v>33</v>
      </c>
      <c r="BD29" s="23">
        <v>41</v>
      </c>
      <c r="BE29" s="23">
        <v>33</v>
      </c>
      <c r="BF29" s="75">
        <v>41</v>
      </c>
      <c r="BG29" s="12"/>
      <c r="BH29" s="196" t="s">
        <v>122</v>
      </c>
      <c r="BI29" s="197"/>
      <c r="BJ29" s="104">
        <f>'detail par semaine'!JO26</f>
        <v>4.5</v>
      </c>
      <c r="BK29" s="65">
        <f>'detail par semaine'!JP26</f>
        <v>0</v>
      </c>
      <c r="BL29" s="65">
        <f>'detail par semaine'!JQ26</f>
        <v>5.625</v>
      </c>
      <c r="BM29" s="65"/>
      <c r="BN29" s="65">
        <f>'detail par semaine'!JS26</f>
        <v>-9.5</v>
      </c>
      <c r="BO29" s="67">
        <f t="shared" si="5"/>
        <v>-3.875</v>
      </c>
      <c r="BQ29" s="70">
        <f t="shared" si="6"/>
        <v>98.5</v>
      </c>
    </row>
    <row r="30" spans="1:69" s="1" customFormat="1" ht="25.25" customHeight="1" x14ac:dyDescent="0.2">
      <c r="A30" s="62"/>
      <c r="B30" s="10" t="s">
        <v>114</v>
      </c>
      <c r="C30" s="41" t="s">
        <v>82</v>
      </c>
      <c r="D30" s="32">
        <v>37</v>
      </c>
      <c r="E30" s="38">
        <v>8.36</v>
      </c>
      <c r="F30" s="23">
        <v>41</v>
      </c>
      <c r="G30" s="23">
        <v>33</v>
      </c>
      <c r="H30" s="23">
        <v>41</v>
      </c>
      <c r="I30" s="23">
        <v>33</v>
      </c>
      <c r="J30" s="60">
        <v>41.25</v>
      </c>
      <c r="K30" s="60">
        <v>40.75</v>
      </c>
      <c r="L30" s="60">
        <v>41.25</v>
      </c>
      <c r="M30" s="60">
        <v>40.75</v>
      </c>
      <c r="N30" s="23">
        <v>41</v>
      </c>
      <c r="O30" s="23">
        <v>33</v>
      </c>
      <c r="P30" s="23">
        <v>41</v>
      </c>
      <c r="Q30" s="23">
        <v>33</v>
      </c>
      <c r="R30" s="23">
        <v>41</v>
      </c>
      <c r="S30" s="23">
        <v>33</v>
      </c>
      <c r="T30" s="23">
        <v>41</v>
      </c>
      <c r="U30" s="23">
        <v>33</v>
      </c>
      <c r="V30" s="23">
        <v>41</v>
      </c>
      <c r="W30" s="23">
        <v>33</v>
      </c>
      <c r="X30" s="23">
        <v>41</v>
      </c>
      <c r="Y30" s="23">
        <v>33</v>
      </c>
      <c r="Z30" s="23">
        <v>41</v>
      </c>
      <c r="AA30" s="23">
        <v>33</v>
      </c>
      <c r="AB30" s="23">
        <v>41</v>
      </c>
      <c r="AC30" s="23">
        <v>33</v>
      </c>
      <c r="AD30" s="23">
        <v>41</v>
      </c>
      <c r="AE30" s="23">
        <v>33</v>
      </c>
      <c r="AF30" s="23">
        <v>41</v>
      </c>
      <c r="AG30" s="23">
        <v>33</v>
      </c>
      <c r="AH30" s="23">
        <v>41</v>
      </c>
      <c r="AI30" s="23">
        <v>33</v>
      </c>
      <c r="AJ30" s="23">
        <v>41</v>
      </c>
      <c r="AK30" s="23">
        <v>33</v>
      </c>
      <c r="AL30" s="23">
        <v>41</v>
      </c>
      <c r="AM30" s="23">
        <v>33</v>
      </c>
      <c r="AN30" s="23">
        <v>41</v>
      </c>
      <c r="AO30" s="23">
        <v>33</v>
      </c>
      <c r="AP30" s="23">
        <v>41</v>
      </c>
      <c r="AQ30" s="23">
        <v>33</v>
      </c>
      <c r="AR30" s="23">
        <v>41</v>
      </c>
      <c r="AS30" s="23">
        <v>33</v>
      </c>
      <c r="AT30" s="23">
        <v>41</v>
      </c>
      <c r="AU30" s="23">
        <v>33</v>
      </c>
      <c r="AV30" s="23">
        <v>41</v>
      </c>
      <c r="AW30" s="23">
        <v>33</v>
      </c>
      <c r="AX30" s="23">
        <v>41</v>
      </c>
      <c r="AY30" s="23">
        <v>33</v>
      </c>
      <c r="AZ30" s="23">
        <v>41</v>
      </c>
      <c r="BA30" s="23">
        <v>33</v>
      </c>
      <c r="BB30" s="23">
        <v>41</v>
      </c>
      <c r="BC30" s="23">
        <v>33</v>
      </c>
      <c r="BD30" s="23">
        <v>41</v>
      </c>
      <c r="BE30" s="23">
        <v>33</v>
      </c>
      <c r="BF30" s="75">
        <v>41</v>
      </c>
      <c r="BG30" s="12"/>
      <c r="BH30" s="196" t="s">
        <v>114</v>
      </c>
      <c r="BI30" s="197"/>
      <c r="BJ30" s="104">
        <f>'detail par semaine'!JO27</f>
        <v>16</v>
      </c>
      <c r="BK30" s="65">
        <f>'detail par semaine'!JP27</f>
        <v>0</v>
      </c>
      <c r="BL30" s="65">
        <f>'detail par semaine'!JQ27</f>
        <v>20</v>
      </c>
      <c r="BM30" s="65"/>
      <c r="BN30" s="65">
        <f>'detail par semaine'!JS27</f>
        <v>0</v>
      </c>
      <c r="BO30" s="67">
        <f t="shared" si="5"/>
        <v>28.36</v>
      </c>
      <c r="BQ30" s="70">
        <f t="shared" si="6"/>
        <v>110</v>
      </c>
    </row>
    <row r="31" spans="1:69" s="1" customFormat="1" ht="25.25" customHeight="1" x14ac:dyDescent="0.2">
      <c r="A31" s="62"/>
      <c r="B31" s="10" t="s">
        <v>115</v>
      </c>
      <c r="C31" s="41" t="s">
        <v>82</v>
      </c>
      <c r="D31" s="32">
        <v>37</v>
      </c>
      <c r="E31" s="38">
        <v>3.06</v>
      </c>
      <c r="F31" s="23">
        <v>41</v>
      </c>
      <c r="G31" s="23">
        <v>33</v>
      </c>
      <c r="H31" s="23">
        <v>41</v>
      </c>
      <c r="I31" s="23">
        <v>41</v>
      </c>
      <c r="J31" s="23">
        <v>33</v>
      </c>
      <c r="K31" s="23">
        <v>41</v>
      </c>
      <c r="L31" s="23">
        <v>33</v>
      </c>
      <c r="M31" s="128">
        <v>37</v>
      </c>
      <c r="N31" s="128">
        <v>37</v>
      </c>
      <c r="O31" s="128">
        <v>37</v>
      </c>
      <c r="P31" s="128">
        <v>37</v>
      </c>
      <c r="Q31" s="128">
        <v>37</v>
      </c>
      <c r="R31" s="128">
        <v>37</v>
      </c>
      <c r="S31" s="128">
        <v>37</v>
      </c>
      <c r="T31" s="128">
        <v>37</v>
      </c>
      <c r="U31" s="128">
        <v>37</v>
      </c>
      <c r="V31" s="128">
        <v>37</v>
      </c>
      <c r="W31" s="128">
        <v>37</v>
      </c>
      <c r="X31" s="128">
        <v>37</v>
      </c>
      <c r="Y31" s="128">
        <v>37</v>
      </c>
      <c r="Z31" s="128">
        <v>37</v>
      </c>
      <c r="AA31" s="128">
        <v>37</v>
      </c>
      <c r="AB31" s="128">
        <v>37</v>
      </c>
      <c r="AC31" s="128">
        <v>37</v>
      </c>
      <c r="AD31" s="128">
        <v>37</v>
      </c>
      <c r="AE31" s="128">
        <v>37</v>
      </c>
      <c r="AF31" s="128">
        <v>37</v>
      </c>
      <c r="AG31" s="128">
        <v>37</v>
      </c>
      <c r="AH31" s="128">
        <v>37</v>
      </c>
      <c r="AI31" s="128">
        <v>37</v>
      </c>
      <c r="AJ31" s="128">
        <v>37</v>
      </c>
      <c r="AK31" s="128">
        <v>37</v>
      </c>
      <c r="AL31" s="128">
        <v>37</v>
      </c>
      <c r="AM31" s="128">
        <v>37</v>
      </c>
      <c r="AN31" s="128">
        <v>37</v>
      </c>
      <c r="AO31" s="128">
        <v>37</v>
      </c>
      <c r="AP31" s="128">
        <v>37</v>
      </c>
      <c r="AQ31" s="128">
        <v>37</v>
      </c>
      <c r="AR31" s="128">
        <v>37</v>
      </c>
      <c r="AS31" s="128">
        <v>37</v>
      </c>
      <c r="AT31" s="128">
        <v>37</v>
      </c>
      <c r="AU31" s="128">
        <v>37</v>
      </c>
      <c r="AV31" s="128">
        <v>37</v>
      </c>
      <c r="AW31" s="128">
        <v>37</v>
      </c>
      <c r="AX31" s="128">
        <v>37</v>
      </c>
      <c r="AY31" s="128">
        <v>37</v>
      </c>
      <c r="AZ31" s="128">
        <v>37</v>
      </c>
      <c r="BA31" s="128">
        <v>37</v>
      </c>
      <c r="BB31" s="128">
        <v>37</v>
      </c>
      <c r="BC31" s="128">
        <v>37</v>
      </c>
      <c r="BD31" s="128">
        <v>37</v>
      </c>
      <c r="BE31" s="128">
        <v>37</v>
      </c>
      <c r="BF31" s="128">
        <v>37</v>
      </c>
      <c r="BG31" s="12"/>
      <c r="BH31" s="196" t="s">
        <v>115</v>
      </c>
      <c r="BI31" s="197"/>
      <c r="BJ31" s="104">
        <f>'detail par semaine'!JO28</f>
        <v>0</v>
      </c>
      <c r="BK31" s="65">
        <f>'detail par semaine'!JP28</f>
        <v>0</v>
      </c>
      <c r="BL31" s="65">
        <f>'detail par semaine'!JQ28</f>
        <v>0</v>
      </c>
      <c r="BM31" s="65"/>
      <c r="BN31" s="65">
        <f>'detail par semaine'!JS28</f>
        <v>0</v>
      </c>
      <c r="BO31" s="67">
        <f t="shared" si="5"/>
        <v>3.06</v>
      </c>
      <c r="BQ31" s="70">
        <f t="shared" si="6"/>
        <v>94</v>
      </c>
    </row>
    <row r="32" spans="1:69" s="1" customFormat="1" ht="25.25" customHeight="1" x14ac:dyDescent="0.2">
      <c r="A32" s="62"/>
      <c r="B32" s="10" t="s">
        <v>77</v>
      </c>
      <c r="C32" s="41" t="s">
        <v>82</v>
      </c>
      <c r="D32" s="32">
        <v>37</v>
      </c>
      <c r="E32" s="38">
        <v>15.002499999999998</v>
      </c>
      <c r="F32" s="23">
        <v>33</v>
      </c>
      <c r="G32" s="23">
        <v>41</v>
      </c>
      <c r="H32" s="23">
        <v>33</v>
      </c>
      <c r="I32" s="23">
        <v>41</v>
      </c>
      <c r="J32" s="23">
        <v>33</v>
      </c>
      <c r="K32" s="23">
        <v>41</v>
      </c>
      <c r="L32" s="23">
        <v>33</v>
      </c>
      <c r="M32" s="23">
        <v>41</v>
      </c>
      <c r="N32" s="23">
        <v>33</v>
      </c>
      <c r="O32" s="23">
        <v>33</v>
      </c>
      <c r="P32" s="128">
        <v>37</v>
      </c>
      <c r="Q32" s="128">
        <v>37</v>
      </c>
      <c r="R32" s="128">
        <v>37</v>
      </c>
      <c r="S32" s="128">
        <v>37</v>
      </c>
      <c r="T32" s="128">
        <v>37</v>
      </c>
      <c r="U32" s="128">
        <v>37</v>
      </c>
      <c r="V32" s="128">
        <v>37</v>
      </c>
      <c r="W32" s="128">
        <v>37</v>
      </c>
      <c r="X32" s="128">
        <v>37</v>
      </c>
      <c r="Y32" s="128">
        <v>37</v>
      </c>
      <c r="Z32" s="128">
        <v>37</v>
      </c>
      <c r="AA32" s="128">
        <v>37</v>
      </c>
      <c r="AB32" s="128">
        <v>37</v>
      </c>
      <c r="AC32" s="128">
        <v>37</v>
      </c>
      <c r="AD32" s="128">
        <v>37</v>
      </c>
      <c r="AE32" s="128">
        <v>37</v>
      </c>
      <c r="AF32" s="128">
        <v>37</v>
      </c>
      <c r="AG32" s="128">
        <v>37</v>
      </c>
      <c r="AH32" s="128">
        <v>37</v>
      </c>
      <c r="AI32" s="128">
        <v>37</v>
      </c>
      <c r="AJ32" s="128">
        <v>37</v>
      </c>
      <c r="AK32" s="128">
        <v>37</v>
      </c>
      <c r="AL32" s="128">
        <v>37</v>
      </c>
      <c r="AM32" s="128">
        <v>37</v>
      </c>
      <c r="AN32" s="128">
        <v>37</v>
      </c>
      <c r="AO32" s="128">
        <v>37</v>
      </c>
      <c r="AP32" s="128">
        <v>37</v>
      </c>
      <c r="AQ32" s="128">
        <v>37</v>
      </c>
      <c r="AR32" s="128">
        <v>37</v>
      </c>
      <c r="AS32" s="128">
        <v>37</v>
      </c>
      <c r="AT32" s="128">
        <v>37</v>
      </c>
      <c r="AU32" s="128">
        <v>37</v>
      </c>
      <c r="AV32" s="128">
        <v>37</v>
      </c>
      <c r="AW32" s="128">
        <v>37</v>
      </c>
      <c r="AX32" s="128">
        <v>37</v>
      </c>
      <c r="AY32" s="128">
        <v>37</v>
      </c>
      <c r="AZ32" s="128">
        <v>37</v>
      </c>
      <c r="BA32" s="128">
        <v>37</v>
      </c>
      <c r="BB32" s="128">
        <v>37</v>
      </c>
      <c r="BC32" s="128">
        <v>37</v>
      </c>
      <c r="BD32" s="128">
        <v>37</v>
      </c>
      <c r="BE32" s="128">
        <v>37</v>
      </c>
      <c r="BF32" s="128">
        <v>37</v>
      </c>
      <c r="BG32" s="12"/>
      <c r="BH32" s="194" t="s">
        <v>77</v>
      </c>
      <c r="BI32" s="195"/>
      <c r="BJ32" s="104">
        <f>'detail par semaine'!JO29</f>
        <v>0</v>
      </c>
      <c r="BK32" s="65">
        <f>'detail par semaine'!JP29</f>
        <v>0</v>
      </c>
      <c r="BL32" s="65">
        <f>'detail par semaine'!JQ29</f>
        <v>0</v>
      </c>
      <c r="BM32" s="65"/>
      <c r="BN32" s="65">
        <f>'detail par semaine'!JS29</f>
        <v>-8</v>
      </c>
      <c r="BO32" s="67">
        <f t="shared" si="5"/>
        <v>7.0024999999999977</v>
      </c>
      <c r="BQ32" s="70">
        <f t="shared" si="6"/>
        <v>94</v>
      </c>
    </row>
    <row r="33" spans="1:69" s="1" customFormat="1" ht="25.25" customHeight="1" x14ac:dyDescent="0.2">
      <c r="A33" s="62"/>
      <c r="B33" s="10" t="s">
        <v>129</v>
      </c>
      <c r="C33" s="41" t="s">
        <v>82</v>
      </c>
      <c r="D33" s="32">
        <v>37</v>
      </c>
      <c r="E33" s="38">
        <v>0</v>
      </c>
      <c r="F33" s="23">
        <v>33</v>
      </c>
      <c r="G33" s="23">
        <v>41</v>
      </c>
      <c r="H33" s="23">
        <v>33</v>
      </c>
      <c r="I33" s="23">
        <v>41</v>
      </c>
      <c r="J33" s="60">
        <v>40.75</v>
      </c>
      <c r="K33" s="60">
        <v>41.25</v>
      </c>
      <c r="L33" s="60">
        <v>40.75</v>
      </c>
      <c r="M33" s="60">
        <v>41.25</v>
      </c>
      <c r="N33" s="23">
        <v>33</v>
      </c>
      <c r="O33" s="23">
        <v>41</v>
      </c>
      <c r="P33" s="60">
        <v>40.75</v>
      </c>
      <c r="Q33" s="23">
        <v>41</v>
      </c>
      <c r="R33" s="23">
        <v>33</v>
      </c>
      <c r="S33" s="23">
        <v>41</v>
      </c>
      <c r="T33" s="23">
        <v>33</v>
      </c>
      <c r="U33" s="23">
        <v>41</v>
      </c>
      <c r="V33" s="23">
        <v>33</v>
      </c>
      <c r="W33" s="23">
        <v>41</v>
      </c>
      <c r="X33" s="23">
        <v>33</v>
      </c>
      <c r="Y33" s="23">
        <v>41</v>
      </c>
      <c r="Z33" s="23">
        <v>33</v>
      </c>
      <c r="AA33" s="23">
        <v>41</v>
      </c>
      <c r="AB33" s="23">
        <v>33</v>
      </c>
      <c r="AC33" s="23">
        <v>41</v>
      </c>
      <c r="AD33" s="23">
        <v>33</v>
      </c>
      <c r="AE33" s="23">
        <v>41</v>
      </c>
      <c r="AF33" s="23">
        <v>33</v>
      </c>
      <c r="AG33" s="23">
        <v>41</v>
      </c>
      <c r="AH33" s="23">
        <v>33</v>
      </c>
      <c r="AI33" s="23">
        <v>41</v>
      </c>
      <c r="AJ33" s="23">
        <v>33</v>
      </c>
      <c r="AK33" s="23">
        <v>41</v>
      </c>
      <c r="AL33" s="23">
        <v>33</v>
      </c>
      <c r="AM33" s="23">
        <v>41</v>
      </c>
      <c r="AN33" s="23">
        <v>33</v>
      </c>
      <c r="AO33" s="23">
        <v>41</v>
      </c>
      <c r="AP33" s="23">
        <v>33</v>
      </c>
      <c r="AQ33" s="23">
        <v>41</v>
      </c>
      <c r="AR33" s="23">
        <v>33</v>
      </c>
      <c r="AS33" s="23">
        <v>41</v>
      </c>
      <c r="AT33" s="23">
        <v>33</v>
      </c>
      <c r="AU33" s="23">
        <v>41</v>
      </c>
      <c r="AV33" s="23">
        <v>33</v>
      </c>
      <c r="AW33" s="23">
        <v>41</v>
      </c>
      <c r="AX33" s="23">
        <v>33</v>
      </c>
      <c r="AY33" s="23">
        <v>41</v>
      </c>
      <c r="AZ33" s="23">
        <v>33</v>
      </c>
      <c r="BA33" s="23">
        <v>41</v>
      </c>
      <c r="BB33" s="23">
        <v>33</v>
      </c>
      <c r="BC33" s="23">
        <v>41</v>
      </c>
      <c r="BD33" s="23">
        <v>33</v>
      </c>
      <c r="BE33" s="15">
        <v>41</v>
      </c>
      <c r="BF33" s="75">
        <v>33</v>
      </c>
      <c r="BG33" s="12"/>
      <c r="BH33" s="196" t="s">
        <v>129</v>
      </c>
      <c r="BI33" s="197"/>
      <c r="BJ33" s="104">
        <f>'detail par semaine'!JO30</f>
        <v>23.75</v>
      </c>
      <c r="BK33" s="65">
        <f>'detail par semaine'!JP30</f>
        <v>0</v>
      </c>
      <c r="BL33" s="65">
        <f>'detail par semaine'!JQ30</f>
        <v>29.6875</v>
      </c>
      <c r="BM33" s="65"/>
      <c r="BN33" s="65">
        <f>'detail par semaine'!JS30</f>
        <v>0</v>
      </c>
      <c r="BO33" s="67">
        <f t="shared" si="5"/>
        <v>29.6875</v>
      </c>
      <c r="BQ33" s="70"/>
    </row>
    <row r="34" spans="1:69" s="1" customFormat="1" ht="25.25" customHeight="1" x14ac:dyDescent="0.2">
      <c r="A34" s="62"/>
      <c r="B34" s="10" t="s">
        <v>68</v>
      </c>
      <c r="C34" s="41" t="s">
        <v>82</v>
      </c>
      <c r="D34" s="32">
        <v>37</v>
      </c>
      <c r="E34" s="38">
        <v>15</v>
      </c>
      <c r="F34" s="23">
        <v>33</v>
      </c>
      <c r="G34" s="23">
        <v>41</v>
      </c>
      <c r="H34" s="23">
        <v>33</v>
      </c>
      <c r="I34" s="23">
        <v>41</v>
      </c>
      <c r="J34" s="23">
        <v>33</v>
      </c>
      <c r="K34" s="60">
        <v>39.5</v>
      </c>
      <c r="L34" s="60">
        <v>40.75</v>
      </c>
      <c r="M34" s="60">
        <v>41.25</v>
      </c>
      <c r="N34" s="23">
        <v>33</v>
      </c>
      <c r="O34" s="23">
        <v>41</v>
      </c>
      <c r="P34" s="23">
        <v>33</v>
      </c>
      <c r="Q34" s="23">
        <v>41</v>
      </c>
      <c r="R34" s="23">
        <v>33</v>
      </c>
      <c r="S34" s="23">
        <v>41</v>
      </c>
      <c r="T34" s="23">
        <v>33</v>
      </c>
      <c r="U34" s="23">
        <v>41</v>
      </c>
      <c r="V34" s="23">
        <v>33</v>
      </c>
      <c r="W34" s="23">
        <v>41</v>
      </c>
      <c r="X34" s="23">
        <v>33</v>
      </c>
      <c r="Y34" s="23">
        <v>41</v>
      </c>
      <c r="Z34" s="23">
        <v>33</v>
      </c>
      <c r="AA34" s="23">
        <v>41</v>
      </c>
      <c r="AB34" s="23">
        <v>33</v>
      </c>
      <c r="AC34" s="23">
        <v>41</v>
      </c>
      <c r="AD34" s="23">
        <v>33</v>
      </c>
      <c r="AE34" s="23">
        <v>41</v>
      </c>
      <c r="AF34" s="23">
        <v>33</v>
      </c>
      <c r="AG34" s="23">
        <v>41</v>
      </c>
      <c r="AH34" s="23">
        <v>33</v>
      </c>
      <c r="AI34" s="23">
        <v>41</v>
      </c>
      <c r="AJ34" s="23">
        <v>33</v>
      </c>
      <c r="AK34" s="23">
        <v>41</v>
      </c>
      <c r="AL34" s="23">
        <v>33</v>
      </c>
      <c r="AM34" s="23">
        <v>41</v>
      </c>
      <c r="AN34" s="23">
        <v>33</v>
      </c>
      <c r="AO34" s="23">
        <v>41</v>
      </c>
      <c r="AP34" s="23">
        <v>33</v>
      </c>
      <c r="AQ34" s="23">
        <v>41</v>
      </c>
      <c r="AR34" s="23">
        <v>33</v>
      </c>
      <c r="AS34" s="23">
        <v>41</v>
      </c>
      <c r="AT34" s="23">
        <v>33</v>
      </c>
      <c r="AU34" s="23">
        <v>41</v>
      </c>
      <c r="AV34" s="23">
        <v>33</v>
      </c>
      <c r="AW34" s="23">
        <v>41</v>
      </c>
      <c r="AX34" s="23">
        <v>33</v>
      </c>
      <c r="AY34" s="23">
        <v>41</v>
      </c>
      <c r="AZ34" s="23">
        <v>33</v>
      </c>
      <c r="BA34" s="23">
        <v>41</v>
      </c>
      <c r="BB34" s="23">
        <v>33</v>
      </c>
      <c r="BC34" s="23">
        <v>41</v>
      </c>
      <c r="BD34" s="23">
        <v>33</v>
      </c>
      <c r="BE34" s="15">
        <v>41</v>
      </c>
      <c r="BF34" s="75">
        <v>33</v>
      </c>
      <c r="BG34" s="12"/>
      <c r="BH34" s="194" t="s">
        <v>68</v>
      </c>
      <c r="BI34" s="195"/>
      <c r="BJ34" s="104">
        <f>'detail par semaine'!JO31</f>
        <v>6.5</v>
      </c>
      <c r="BK34" s="65">
        <f>'detail par semaine'!JP31</f>
        <v>0</v>
      </c>
      <c r="BL34" s="65">
        <f>'detail par semaine'!JQ31</f>
        <v>8.125</v>
      </c>
      <c r="BM34" s="65"/>
      <c r="BN34" s="65">
        <f>'detail par semaine'!JS31</f>
        <v>0</v>
      </c>
      <c r="BO34" s="67">
        <f t="shared" si="5"/>
        <v>23.125</v>
      </c>
      <c r="BQ34" s="70">
        <f t="shared" si="6"/>
        <v>100.5</v>
      </c>
    </row>
    <row r="35" spans="1:69" s="1" customFormat="1" ht="25.25" customHeight="1" x14ac:dyDescent="0.2">
      <c r="A35" s="62"/>
      <c r="B35" s="10" t="s">
        <v>80</v>
      </c>
      <c r="C35" s="41" t="s">
        <v>82</v>
      </c>
      <c r="D35" s="32">
        <v>37</v>
      </c>
      <c r="E35" s="38">
        <v>2.0625</v>
      </c>
      <c r="F35" s="23">
        <v>33</v>
      </c>
      <c r="G35" s="60">
        <v>40</v>
      </c>
      <c r="H35" s="23">
        <v>33</v>
      </c>
      <c r="I35" s="23">
        <v>41</v>
      </c>
      <c r="J35" s="60">
        <v>31.25</v>
      </c>
      <c r="K35" s="23">
        <v>41</v>
      </c>
      <c r="L35" s="23">
        <v>33</v>
      </c>
      <c r="M35" s="23">
        <v>41</v>
      </c>
      <c r="N35" s="23">
        <v>33</v>
      </c>
      <c r="O35" s="60">
        <v>37.5</v>
      </c>
      <c r="P35" s="60">
        <v>40.25</v>
      </c>
      <c r="Q35" s="23">
        <v>41</v>
      </c>
      <c r="R35" s="23">
        <v>33</v>
      </c>
      <c r="S35" s="23">
        <v>41</v>
      </c>
      <c r="T35" s="23">
        <v>33</v>
      </c>
      <c r="U35" s="23">
        <v>41</v>
      </c>
      <c r="V35" s="23">
        <v>33</v>
      </c>
      <c r="W35" s="23">
        <v>41</v>
      </c>
      <c r="X35" s="23">
        <v>33</v>
      </c>
      <c r="Y35" s="23">
        <v>41</v>
      </c>
      <c r="Z35" s="23">
        <v>33</v>
      </c>
      <c r="AA35" s="23">
        <v>41</v>
      </c>
      <c r="AB35" s="23">
        <v>33</v>
      </c>
      <c r="AC35" s="23">
        <v>41</v>
      </c>
      <c r="AD35" s="23">
        <v>33</v>
      </c>
      <c r="AE35" s="23">
        <v>41</v>
      </c>
      <c r="AF35" s="23">
        <v>33</v>
      </c>
      <c r="AG35" s="23">
        <v>41</v>
      </c>
      <c r="AH35" s="23">
        <v>33</v>
      </c>
      <c r="AI35" s="23">
        <v>41</v>
      </c>
      <c r="AJ35" s="23">
        <v>33</v>
      </c>
      <c r="AK35" s="23">
        <v>41</v>
      </c>
      <c r="AL35" s="23">
        <v>33</v>
      </c>
      <c r="AM35" s="23">
        <v>41</v>
      </c>
      <c r="AN35" s="23">
        <v>33</v>
      </c>
      <c r="AO35" s="23">
        <v>41</v>
      </c>
      <c r="AP35" s="23">
        <v>33</v>
      </c>
      <c r="AQ35" s="23">
        <v>41</v>
      </c>
      <c r="AR35" s="23">
        <v>33</v>
      </c>
      <c r="AS35" s="23">
        <v>41</v>
      </c>
      <c r="AT35" s="23">
        <v>33</v>
      </c>
      <c r="AU35" s="23">
        <v>41</v>
      </c>
      <c r="AV35" s="23">
        <v>33</v>
      </c>
      <c r="AW35" s="23">
        <v>41</v>
      </c>
      <c r="AX35" s="23">
        <v>33</v>
      </c>
      <c r="AY35" s="23">
        <v>41</v>
      </c>
      <c r="AZ35" s="23">
        <v>33</v>
      </c>
      <c r="BA35" s="23">
        <v>41</v>
      </c>
      <c r="BB35" s="23">
        <v>33</v>
      </c>
      <c r="BC35" s="23">
        <v>41</v>
      </c>
      <c r="BD35" s="23">
        <v>33</v>
      </c>
      <c r="BE35" s="15">
        <v>41</v>
      </c>
      <c r="BF35" s="75">
        <v>33</v>
      </c>
      <c r="BG35" s="12"/>
      <c r="BH35" s="194" t="s">
        <v>80</v>
      </c>
      <c r="BI35" s="195"/>
      <c r="BJ35" s="104">
        <f>'detail par semaine'!JO32</f>
        <v>3.75</v>
      </c>
      <c r="BK35" s="65">
        <f>'detail par semaine'!JP32</f>
        <v>0</v>
      </c>
      <c r="BL35" s="65">
        <f>'detail par semaine'!JQ32</f>
        <v>4.6875</v>
      </c>
      <c r="BM35" s="65"/>
      <c r="BN35" s="65">
        <f>'detail par semaine'!JS32</f>
        <v>-2.75</v>
      </c>
      <c r="BO35" s="67">
        <f t="shared" si="5"/>
        <v>4</v>
      </c>
      <c r="BQ35" s="69">
        <f t="shared" si="6"/>
        <v>97.75</v>
      </c>
    </row>
    <row r="36" spans="1:69" s="1" customFormat="1" ht="25.25" customHeight="1" x14ac:dyDescent="0.2">
      <c r="A36" s="62"/>
      <c r="B36" s="10" t="s">
        <v>123</v>
      </c>
      <c r="C36" s="41" t="s">
        <v>82</v>
      </c>
      <c r="D36" s="32">
        <v>37</v>
      </c>
      <c r="E36" s="38">
        <v>8.69</v>
      </c>
      <c r="F36" s="23">
        <v>33</v>
      </c>
      <c r="G36" s="23">
        <v>41</v>
      </c>
      <c r="H36" s="23">
        <v>33</v>
      </c>
      <c r="I36" s="23">
        <v>41</v>
      </c>
      <c r="J36" s="23">
        <v>33</v>
      </c>
      <c r="K36" s="60">
        <v>38.25</v>
      </c>
      <c r="L36" s="23">
        <v>33</v>
      </c>
      <c r="M36" s="23">
        <v>41</v>
      </c>
      <c r="N36" s="60">
        <v>27.75</v>
      </c>
      <c r="O36" s="23">
        <v>41</v>
      </c>
      <c r="P36" s="23">
        <v>33</v>
      </c>
      <c r="Q36" s="23">
        <v>41</v>
      </c>
      <c r="R36" s="23">
        <v>33</v>
      </c>
      <c r="S36" s="23">
        <v>41</v>
      </c>
      <c r="T36" s="23">
        <v>33</v>
      </c>
      <c r="U36" s="23">
        <v>41</v>
      </c>
      <c r="V36" s="23">
        <v>33</v>
      </c>
      <c r="W36" s="23">
        <v>41</v>
      </c>
      <c r="X36" s="23">
        <v>33</v>
      </c>
      <c r="Y36" s="23">
        <v>41</v>
      </c>
      <c r="Z36" s="23">
        <v>33</v>
      </c>
      <c r="AA36" s="23">
        <v>41</v>
      </c>
      <c r="AB36" s="23">
        <v>33</v>
      </c>
      <c r="AC36" s="23">
        <v>41</v>
      </c>
      <c r="AD36" s="23">
        <v>33</v>
      </c>
      <c r="AE36" s="23">
        <v>41</v>
      </c>
      <c r="AF36" s="23">
        <v>33</v>
      </c>
      <c r="AG36" s="23">
        <v>41</v>
      </c>
      <c r="AH36" s="23">
        <v>33</v>
      </c>
      <c r="AI36" s="23">
        <v>41</v>
      </c>
      <c r="AJ36" s="23">
        <v>33</v>
      </c>
      <c r="AK36" s="23">
        <v>41</v>
      </c>
      <c r="AL36" s="23">
        <v>33</v>
      </c>
      <c r="AM36" s="23">
        <v>41</v>
      </c>
      <c r="AN36" s="23">
        <v>33</v>
      </c>
      <c r="AO36" s="23">
        <v>41</v>
      </c>
      <c r="AP36" s="23">
        <v>33</v>
      </c>
      <c r="AQ36" s="23">
        <v>41</v>
      </c>
      <c r="AR36" s="23">
        <v>33</v>
      </c>
      <c r="AS36" s="23">
        <v>41</v>
      </c>
      <c r="AT36" s="23">
        <v>33</v>
      </c>
      <c r="AU36" s="23">
        <v>41</v>
      </c>
      <c r="AV36" s="23">
        <v>33</v>
      </c>
      <c r="AW36" s="23">
        <v>41</v>
      </c>
      <c r="AX36" s="23">
        <v>33</v>
      </c>
      <c r="AY36" s="23">
        <v>41</v>
      </c>
      <c r="AZ36" s="23">
        <v>33</v>
      </c>
      <c r="BA36" s="23">
        <v>41</v>
      </c>
      <c r="BB36" s="23">
        <v>33</v>
      </c>
      <c r="BC36" s="23">
        <v>41</v>
      </c>
      <c r="BD36" s="23">
        <v>33</v>
      </c>
      <c r="BE36" s="15">
        <v>41</v>
      </c>
      <c r="BF36" s="75">
        <v>33</v>
      </c>
      <c r="BG36" s="12"/>
      <c r="BH36" s="194" t="s">
        <v>123</v>
      </c>
      <c r="BI36" s="195"/>
      <c r="BJ36" s="104">
        <f>'detail par semaine'!JO33</f>
        <v>1</v>
      </c>
      <c r="BK36" s="65">
        <f>'detail par semaine'!JP33</f>
        <v>0</v>
      </c>
      <c r="BL36" s="65">
        <f>'detail par semaine'!JQ33</f>
        <v>1.25</v>
      </c>
      <c r="BM36" s="65"/>
      <c r="BN36" s="65">
        <f>'detail par semaine'!JS33</f>
        <v>-5.25</v>
      </c>
      <c r="BO36" s="67">
        <f t="shared" si="5"/>
        <v>4.6899999999999995</v>
      </c>
      <c r="BQ36" s="69">
        <f t="shared" si="6"/>
        <v>95</v>
      </c>
    </row>
    <row r="37" spans="1:69" s="1" customFormat="1" ht="25.25" customHeight="1" x14ac:dyDescent="0.2">
      <c r="A37" s="62"/>
      <c r="B37" s="10" t="s">
        <v>121</v>
      </c>
      <c r="C37" s="41" t="s">
        <v>82</v>
      </c>
      <c r="D37" s="32">
        <v>37</v>
      </c>
      <c r="E37" s="38">
        <v>5.69</v>
      </c>
      <c r="F37" s="23">
        <v>41</v>
      </c>
      <c r="G37" s="23">
        <v>39</v>
      </c>
      <c r="H37" s="23">
        <v>38</v>
      </c>
      <c r="I37" s="60">
        <v>40.75</v>
      </c>
      <c r="J37" s="60">
        <v>33.25</v>
      </c>
      <c r="K37" s="60">
        <v>41.75</v>
      </c>
      <c r="L37" s="23">
        <v>33</v>
      </c>
      <c r="M37" s="23">
        <v>41</v>
      </c>
      <c r="N37" s="23">
        <v>33</v>
      </c>
      <c r="O37" s="23">
        <v>41</v>
      </c>
      <c r="P37" s="23">
        <v>33</v>
      </c>
      <c r="Q37" s="23">
        <v>41</v>
      </c>
      <c r="R37" s="23">
        <v>33</v>
      </c>
      <c r="S37" s="23">
        <v>41</v>
      </c>
      <c r="T37" s="23">
        <v>33</v>
      </c>
      <c r="U37" s="23">
        <v>41</v>
      </c>
      <c r="V37" s="23">
        <v>33</v>
      </c>
      <c r="W37" s="23">
        <v>41</v>
      </c>
      <c r="X37" s="23">
        <v>33</v>
      </c>
      <c r="Y37" s="23">
        <v>41</v>
      </c>
      <c r="Z37" s="23">
        <v>33</v>
      </c>
      <c r="AA37" s="23">
        <v>41</v>
      </c>
      <c r="AB37" s="23">
        <v>33</v>
      </c>
      <c r="AC37" s="23">
        <v>41</v>
      </c>
      <c r="AD37" s="23">
        <v>33</v>
      </c>
      <c r="AE37" s="23">
        <v>41</v>
      </c>
      <c r="AF37" s="23">
        <v>33</v>
      </c>
      <c r="AG37" s="23">
        <v>41</v>
      </c>
      <c r="AH37" s="23">
        <v>33</v>
      </c>
      <c r="AI37" s="23">
        <v>41</v>
      </c>
      <c r="AJ37" s="23">
        <v>33</v>
      </c>
      <c r="AK37" s="23">
        <v>41</v>
      </c>
      <c r="AL37" s="23">
        <v>33</v>
      </c>
      <c r="AM37" s="23">
        <v>41</v>
      </c>
      <c r="AN37" s="23">
        <v>33</v>
      </c>
      <c r="AO37" s="23">
        <v>41</v>
      </c>
      <c r="AP37" s="23">
        <v>33</v>
      </c>
      <c r="AQ37" s="23">
        <v>41</v>
      </c>
      <c r="AR37" s="23">
        <v>33</v>
      </c>
      <c r="AS37" s="23">
        <v>41</v>
      </c>
      <c r="AT37" s="23">
        <v>33</v>
      </c>
      <c r="AU37" s="23">
        <v>41</v>
      </c>
      <c r="AV37" s="23">
        <v>33</v>
      </c>
      <c r="AW37" s="23">
        <v>41</v>
      </c>
      <c r="AX37" s="23">
        <v>33</v>
      </c>
      <c r="AY37" s="23">
        <v>41</v>
      </c>
      <c r="AZ37" s="23">
        <v>33</v>
      </c>
      <c r="BA37" s="23">
        <v>41</v>
      </c>
      <c r="BB37" s="23">
        <v>33</v>
      </c>
      <c r="BC37" s="23">
        <v>41</v>
      </c>
      <c r="BD37" s="23">
        <v>33</v>
      </c>
      <c r="BE37" s="15">
        <v>41</v>
      </c>
      <c r="BF37" s="75">
        <v>33</v>
      </c>
      <c r="BG37" s="12"/>
      <c r="BH37" s="194" t="s">
        <v>121</v>
      </c>
      <c r="BI37" s="195"/>
      <c r="BJ37" s="104">
        <f>'detail par semaine'!JO34</f>
        <v>3.75</v>
      </c>
      <c r="BK37" s="65">
        <f>'detail par semaine'!JP34</f>
        <v>0</v>
      </c>
      <c r="BL37" s="65">
        <f>'detail par semaine'!JQ34</f>
        <v>4.6875</v>
      </c>
      <c r="BM37" s="65"/>
      <c r="BN37" s="65">
        <f>'detail par semaine'!JS34</f>
        <v>0</v>
      </c>
      <c r="BO37" s="67">
        <f t="shared" si="5"/>
        <v>10.377500000000001</v>
      </c>
      <c r="BQ37" s="69">
        <f t="shared" si="6"/>
        <v>97.75</v>
      </c>
    </row>
    <row r="38" spans="1:69" s="1" customFormat="1" ht="25.25" customHeight="1" x14ac:dyDescent="0.2">
      <c r="A38" s="62"/>
      <c r="B38" s="10" t="s">
        <v>35</v>
      </c>
      <c r="C38" s="41" t="s">
        <v>106</v>
      </c>
      <c r="D38" s="32">
        <v>39</v>
      </c>
      <c r="E38" s="38">
        <v>0</v>
      </c>
      <c r="F38" s="23">
        <v>39</v>
      </c>
      <c r="G38" s="23">
        <v>39</v>
      </c>
      <c r="H38" s="23">
        <v>39</v>
      </c>
      <c r="I38" s="23">
        <v>39</v>
      </c>
      <c r="J38" s="23">
        <v>39</v>
      </c>
      <c r="K38" s="23">
        <v>39</v>
      </c>
      <c r="L38" s="23">
        <v>39</v>
      </c>
      <c r="M38" s="23">
        <v>39</v>
      </c>
      <c r="N38" s="23">
        <v>39</v>
      </c>
      <c r="O38" s="23">
        <v>39</v>
      </c>
      <c r="P38" s="23">
        <v>39</v>
      </c>
      <c r="Q38" s="23">
        <v>39</v>
      </c>
      <c r="R38" s="23">
        <v>39</v>
      </c>
      <c r="S38" s="23">
        <v>39</v>
      </c>
      <c r="T38" s="23">
        <v>39</v>
      </c>
      <c r="U38" s="23">
        <v>39</v>
      </c>
      <c r="V38" s="23">
        <v>39</v>
      </c>
      <c r="W38" s="23">
        <v>39</v>
      </c>
      <c r="X38" s="23">
        <v>39</v>
      </c>
      <c r="Y38" s="23">
        <v>39</v>
      </c>
      <c r="Z38" s="23">
        <v>39</v>
      </c>
      <c r="AA38" s="23">
        <v>39</v>
      </c>
      <c r="AB38" s="23">
        <v>39</v>
      </c>
      <c r="AC38" s="23">
        <v>39</v>
      </c>
      <c r="AD38" s="23">
        <v>39</v>
      </c>
      <c r="AE38" s="23">
        <v>39</v>
      </c>
      <c r="AF38" s="23">
        <v>39</v>
      </c>
      <c r="AG38" s="23">
        <v>39</v>
      </c>
      <c r="AH38" s="23">
        <v>39</v>
      </c>
      <c r="AI38" s="23">
        <v>39</v>
      </c>
      <c r="AJ38" s="23">
        <v>39</v>
      </c>
      <c r="AK38" s="23">
        <v>39</v>
      </c>
      <c r="AL38" s="23">
        <v>39</v>
      </c>
      <c r="AM38" s="23">
        <v>39</v>
      </c>
      <c r="AN38" s="23">
        <v>39</v>
      </c>
      <c r="AO38" s="23">
        <v>39</v>
      </c>
      <c r="AP38" s="23">
        <v>39</v>
      </c>
      <c r="AQ38" s="23">
        <v>39</v>
      </c>
      <c r="AR38" s="23">
        <v>39</v>
      </c>
      <c r="AS38" s="23">
        <v>39</v>
      </c>
      <c r="AT38" s="23">
        <v>39</v>
      </c>
      <c r="AU38" s="23">
        <v>39</v>
      </c>
      <c r="AV38" s="23">
        <v>39</v>
      </c>
      <c r="AW38" s="23">
        <v>39</v>
      </c>
      <c r="AX38" s="23">
        <v>39</v>
      </c>
      <c r="AY38" s="23">
        <v>39</v>
      </c>
      <c r="AZ38" s="23">
        <v>39</v>
      </c>
      <c r="BA38" s="23">
        <v>39</v>
      </c>
      <c r="BB38" s="23">
        <v>39</v>
      </c>
      <c r="BC38" s="23">
        <v>39</v>
      </c>
      <c r="BD38" s="23">
        <v>39</v>
      </c>
      <c r="BE38" s="23">
        <v>39</v>
      </c>
      <c r="BF38" s="75">
        <v>39</v>
      </c>
      <c r="BG38" s="12"/>
      <c r="BH38" s="194" t="str">
        <f>+B38</f>
        <v>RECCHIA Laetitia</v>
      </c>
      <c r="BI38" s="195"/>
      <c r="BJ38" s="104">
        <f>'detail par semaine'!JO35</f>
        <v>0</v>
      </c>
      <c r="BK38" s="65">
        <f>'detail par semaine'!JP35</f>
        <v>0</v>
      </c>
      <c r="BL38" s="65">
        <f>'detail par semaine'!JQ35</f>
        <v>0</v>
      </c>
      <c r="BM38" s="65"/>
      <c r="BN38" s="65">
        <f>'detail par semaine'!JS35</f>
        <v>0</v>
      </c>
      <c r="BO38" s="67">
        <f t="shared" si="5"/>
        <v>0</v>
      </c>
      <c r="BQ38" s="70">
        <f t="shared" si="6"/>
        <v>94</v>
      </c>
    </row>
    <row r="39" spans="1:69" s="1" customFormat="1" ht="25.25" customHeight="1" x14ac:dyDescent="0.2">
      <c r="A39" s="62"/>
      <c r="B39" s="10" t="s">
        <v>69</v>
      </c>
      <c r="C39" s="41" t="s">
        <v>82</v>
      </c>
      <c r="D39" s="32">
        <v>37</v>
      </c>
      <c r="E39" s="38">
        <v>13.63</v>
      </c>
      <c r="F39" s="23">
        <v>41</v>
      </c>
      <c r="G39" s="23">
        <v>33</v>
      </c>
      <c r="H39" s="23">
        <v>41</v>
      </c>
      <c r="I39" s="23">
        <v>33</v>
      </c>
      <c r="J39" s="60">
        <v>37.25</v>
      </c>
      <c r="K39" s="23">
        <v>33</v>
      </c>
      <c r="L39" s="23">
        <v>41</v>
      </c>
      <c r="M39" s="23">
        <v>33</v>
      </c>
      <c r="N39" s="60">
        <v>40.75</v>
      </c>
      <c r="O39" s="23">
        <v>33</v>
      </c>
      <c r="P39" s="23">
        <v>41</v>
      </c>
      <c r="Q39" s="23">
        <v>33</v>
      </c>
      <c r="R39" s="23">
        <v>41</v>
      </c>
      <c r="S39" s="23">
        <v>33</v>
      </c>
      <c r="T39" s="23">
        <v>41</v>
      </c>
      <c r="U39" s="23">
        <v>33</v>
      </c>
      <c r="V39" s="23">
        <v>41</v>
      </c>
      <c r="W39" s="23">
        <v>33</v>
      </c>
      <c r="X39" s="23">
        <v>41</v>
      </c>
      <c r="Y39" s="23">
        <v>33</v>
      </c>
      <c r="Z39" s="23">
        <v>41</v>
      </c>
      <c r="AA39" s="23">
        <v>33</v>
      </c>
      <c r="AB39" s="23">
        <v>41</v>
      </c>
      <c r="AC39" s="23">
        <v>33</v>
      </c>
      <c r="AD39" s="23">
        <v>41</v>
      </c>
      <c r="AE39" s="23">
        <v>33</v>
      </c>
      <c r="AF39" s="23">
        <v>41</v>
      </c>
      <c r="AG39" s="23">
        <v>33</v>
      </c>
      <c r="AH39" s="23">
        <v>41</v>
      </c>
      <c r="AI39" s="23">
        <v>33</v>
      </c>
      <c r="AJ39" s="23">
        <v>41</v>
      </c>
      <c r="AK39" s="23">
        <v>33</v>
      </c>
      <c r="AL39" s="23">
        <v>41</v>
      </c>
      <c r="AM39" s="23">
        <v>33</v>
      </c>
      <c r="AN39" s="23">
        <v>41</v>
      </c>
      <c r="AO39" s="23">
        <v>33</v>
      </c>
      <c r="AP39" s="23">
        <v>41</v>
      </c>
      <c r="AQ39" s="23">
        <v>33</v>
      </c>
      <c r="AR39" s="23">
        <v>41</v>
      </c>
      <c r="AS39" s="23">
        <v>33</v>
      </c>
      <c r="AT39" s="23">
        <v>41</v>
      </c>
      <c r="AU39" s="23">
        <v>33</v>
      </c>
      <c r="AV39" s="23">
        <v>41</v>
      </c>
      <c r="AW39" s="23">
        <v>33</v>
      </c>
      <c r="AX39" s="23">
        <v>41</v>
      </c>
      <c r="AY39" s="23">
        <v>33</v>
      </c>
      <c r="AZ39" s="23">
        <v>41</v>
      </c>
      <c r="BA39" s="23">
        <v>33</v>
      </c>
      <c r="BB39" s="23">
        <v>41</v>
      </c>
      <c r="BC39" s="23">
        <v>33</v>
      </c>
      <c r="BD39" s="23">
        <v>41</v>
      </c>
      <c r="BE39" s="23">
        <v>33</v>
      </c>
      <c r="BF39" s="75">
        <v>41</v>
      </c>
      <c r="BG39" s="12"/>
      <c r="BH39" s="196" t="s">
        <v>69</v>
      </c>
      <c r="BI39" s="197"/>
      <c r="BJ39" s="104">
        <f>'detail par semaine'!JO36</f>
        <v>0</v>
      </c>
      <c r="BK39" s="65">
        <f>'detail par semaine'!JP36</f>
        <v>0</v>
      </c>
      <c r="BL39" s="65">
        <f>'detail par semaine'!JQ36</f>
        <v>0</v>
      </c>
      <c r="BM39" s="65"/>
      <c r="BN39" s="65">
        <f>'detail par semaine'!JS36</f>
        <v>-4</v>
      </c>
      <c r="BO39" s="67">
        <f t="shared" si="5"/>
        <v>9.6300000000000008</v>
      </c>
      <c r="BQ39" s="69">
        <f t="shared" si="6"/>
        <v>94</v>
      </c>
    </row>
    <row r="40" spans="1:69" s="1" customFormat="1" ht="25.25" customHeight="1" x14ac:dyDescent="0.2">
      <c r="A40" s="62"/>
      <c r="B40" s="10" t="s">
        <v>70</v>
      </c>
      <c r="C40" s="41" t="s">
        <v>111</v>
      </c>
      <c r="D40" s="32">
        <v>39</v>
      </c>
      <c r="E40" s="38">
        <v>1.2400000000000047</v>
      </c>
      <c r="F40" s="23">
        <v>39</v>
      </c>
      <c r="G40" s="60">
        <v>39.75</v>
      </c>
      <c r="H40" s="60">
        <v>39.25</v>
      </c>
      <c r="I40" s="60">
        <v>39.75</v>
      </c>
      <c r="J40" s="23">
        <v>39</v>
      </c>
      <c r="K40" s="60">
        <v>39.25</v>
      </c>
      <c r="L40" s="23">
        <v>39</v>
      </c>
      <c r="M40" s="60">
        <v>39.5</v>
      </c>
      <c r="N40" s="60">
        <v>39.25</v>
      </c>
      <c r="O40" s="23">
        <v>39</v>
      </c>
      <c r="P40" s="60">
        <v>41.25</v>
      </c>
      <c r="Q40" s="23">
        <v>39</v>
      </c>
      <c r="R40" s="23">
        <v>39</v>
      </c>
      <c r="S40" s="23">
        <v>39</v>
      </c>
      <c r="T40" s="23">
        <v>39</v>
      </c>
      <c r="U40" s="23">
        <v>39</v>
      </c>
      <c r="V40" s="23">
        <v>39</v>
      </c>
      <c r="W40" s="23">
        <v>39</v>
      </c>
      <c r="X40" s="23">
        <v>39</v>
      </c>
      <c r="Y40" s="23">
        <v>39</v>
      </c>
      <c r="Z40" s="23">
        <v>39</v>
      </c>
      <c r="AA40" s="23">
        <v>39</v>
      </c>
      <c r="AB40" s="23">
        <v>39</v>
      </c>
      <c r="AC40" s="23">
        <v>39</v>
      </c>
      <c r="AD40" s="23">
        <v>39</v>
      </c>
      <c r="AE40" s="23">
        <v>39</v>
      </c>
      <c r="AF40" s="23">
        <v>39</v>
      </c>
      <c r="AG40" s="23">
        <v>39</v>
      </c>
      <c r="AH40" s="23">
        <v>39</v>
      </c>
      <c r="AI40" s="23">
        <v>39</v>
      </c>
      <c r="AJ40" s="23">
        <v>39</v>
      </c>
      <c r="AK40" s="23">
        <v>39</v>
      </c>
      <c r="AL40" s="23">
        <v>39</v>
      </c>
      <c r="AM40" s="23">
        <v>39</v>
      </c>
      <c r="AN40" s="23">
        <v>39</v>
      </c>
      <c r="AO40" s="23">
        <v>39</v>
      </c>
      <c r="AP40" s="23">
        <v>39</v>
      </c>
      <c r="AQ40" s="23">
        <v>39</v>
      </c>
      <c r="AR40" s="23">
        <v>39</v>
      </c>
      <c r="AS40" s="23">
        <v>39</v>
      </c>
      <c r="AT40" s="23">
        <v>39</v>
      </c>
      <c r="AU40" s="23">
        <v>39</v>
      </c>
      <c r="AV40" s="23">
        <v>39</v>
      </c>
      <c r="AW40" s="23">
        <v>39</v>
      </c>
      <c r="AX40" s="23">
        <v>39</v>
      </c>
      <c r="AY40" s="23">
        <v>39</v>
      </c>
      <c r="AZ40" s="23">
        <v>39</v>
      </c>
      <c r="BA40" s="23">
        <v>39</v>
      </c>
      <c r="BB40" s="23">
        <v>39</v>
      </c>
      <c r="BC40" s="23">
        <v>39</v>
      </c>
      <c r="BD40" s="23">
        <v>39</v>
      </c>
      <c r="BE40" s="23">
        <v>39</v>
      </c>
      <c r="BF40" s="75">
        <v>39</v>
      </c>
      <c r="BG40" s="12"/>
      <c r="BH40" s="196" t="s">
        <v>70</v>
      </c>
      <c r="BI40" s="197"/>
      <c r="BJ40" s="104">
        <f>'detail par semaine'!JO37</f>
        <v>5</v>
      </c>
      <c r="BK40" s="65">
        <f>'detail par semaine'!JP37</f>
        <v>0</v>
      </c>
      <c r="BL40" s="65">
        <f>'detail par semaine'!JQ37</f>
        <v>6.25</v>
      </c>
      <c r="BM40" s="65"/>
      <c r="BN40" s="65">
        <f>'detail par semaine'!JS37</f>
        <v>0</v>
      </c>
      <c r="BO40" s="67">
        <f t="shared" si="5"/>
        <v>7.4900000000000047</v>
      </c>
      <c r="BQ40" s="70">
        <f t="shared" si="6"/>
        <v>99</v>
      </c>
    </row>
    <row r="41" spans="1:69" s="1" customFormat="1" ht="25.25" customHeight="1" x14ac:dyDescent="0.2">
      <c r="A41" s="62"/>
      <c r="B41" s="10" t="s">
        <v>75</v>
      </c>
      <c r="C41" s="41" t="s">
        <v>82</v>
      </c>
      <c r="D41" s="32">
        <v>37</v>
      </c>
      <c r="E41" s="38">
        <v>13.999999999999996</v>
      </c>
      <c r="F41" s="23">
        <v>33</v>
      </c>
      <c r="G41" s="60">
        <v>39</v>
      </c>
      <c r="H41" s="60">
        <v>39</v>
      </c>
      <c r="I41" s="60">
        <v>39</v>
      </c>
      <c r="J41" s="60">
        <v>39</v>
      </c>
      <c r="K41" s="60">
        <v>39</v>
      </c>
      <c r="L41" s="60">
        <v>39</v>
      </c>
      <c r="M41" s="23">
        <v>37</v>
      </c>
      <c r="N41" s="23">
        <v>41</v>
      </c>
      <c r="O41" s="60">
        <v>39.25</v>
      </c>
      <c r="P41" s="60">
        <v>25.5</v>
      </c>
      <c r="Q41" s="23">
        <v>41</v>
      </c>
      <c r="R41" s="23">
        <v>33</v>
      </c>
      <c r="S41" s="23">
        <v>41</v>
      </c>
      <c r="T41" s="23">
        <v>33</v>
      </c>
      <c r="U41" s="23">
        <v>41</v>
      </c>
      <c r="V41" s="23">
        <v>33</v>
      </c>
      <c r="W41" s="23">
        <v>41</v>
      </c>
      <c r="X41" s="23">
        <v>33</v>
      </c>
      <c r="Y41" s="23">
        <v>41</v>
      </c>
      <c r="Z41" s="23">
        <v>33</v>
      </c>
      <c r="AA41" s="23">
        <v>41</v>
      </c>
      <c r="AB41" s="23">
        <v>33</v>
      </c>
      <c r="AC41" s="23">
        <v>41</v>
      </c>
      <c r="AD41" s="23">
        <v>33</v>
      </c>
      <c r="AE41" s="23">
        <v>41</v>
      </c>
      <c r="AF41" s="23">
        <v>33</v>
      </c>
      <c r="AG41" s="23">
        <v>41</v>
      </c>
      <c r="AH41" s="23">
        <v>33</v>
      </c>
      <c r="AI41" s="23">
        <v>41</v>
      </c>
      <c r="AJ41" s="23">
        <v>33</v>
      </c>
      <c r="AK41" s="23">
        <v>41</v>
      </c>
      <c r="AL41" s="23">
        <v>33</v>
      </c>
      <c r="AM41" s="23">
        <v>41</v>
      </c>
      <c r="AN41" s="23">
        <v>33</v>
      </c>
      <c r="AO41" s="23">
        <v>41</v>
      </c>
      <c r="AP41" s="23">
        <v>33</v>
      </c>
      <c r="AQ41" s="23">
        <v>41</v>
      </c>
      <c r="AR41" s="23">
        <v>33</v>
      </c>
      <c r="AS41" s="23">
        <v>41</v>
      </c>
      <c r="AT41" s="23">
        <v>33</v>
      </c>
      <c r="AU41" s="23">
        <v>41</v>
      </c>
      <c r="AV41" s="23">
        <v>33</v>
      </c>
      <c r="AW41" s="23">
        <v>41</v>
      </c>
      <c r="AX41" s="23">
        <v>33</v>
      </c>
      <c r="AY41" s="23">
        <v>41</v>
      </c>
      <c r="AZ41" s="23">
        <v>33</v>
      </c>
      <c r="BA41" s="23">
        <v>41</v>
      </c>
      <c r="BB41" s="23">
        <v>33</v>
      </c>
      <c r="BC41" s="23">
        <v>41</v>
      </c>
      <c r="BD41" s="23">
        <v>33</v>
      </c>
      <c r="BE41" s="15">
        <v>41</v>
      </c>
      <c r="BF41" s="75">
        <v>33</v>
      </c>
      <c r="BG41" s="12"/>
      <c r="BH41" s="194" t="s">
        <v>75</v>
      </c>
      <c r="BI41" s="195"/>
      <c r="BJ41" s="104">
        <f>'detail par semaine'!JO38</f>
        <v>16</v>
      </c>
      <c r="BK41" s="65">
        <f>'detail par semaine'!JP38</f>
        <v>0</v>
      </c>
      <c r="BL41" s="65">
        <f>'detail par semaine'!JQ38</f>
        <v>20</v>
      </c>
      <c r="BM41" s="65"/>
      <c r="BN41" s="65">
        <f>'detail par semaine'!JS38</f>
        <v>-9.25</v>
      </c>
      <c r="BO41" s="67">
        <f t="shared" si="5"/>
        <v>24.75</v>
      </c>
      <c r="BQ41" s="70">
        <f t="shared" si="6"/>
        <v>110</v>
      </c>
    </row>
    <row r="42" spans="1:69" s="1" customFormat="1" ht="25.25" customHeight="1" x14ac:dyDescent="0.2">
      <c r="A42" s="62"/>
      <c r="B42" s="10" t="s">
        <v>37</v>
      </c>
      <c r="C42" s="41" t="s">
        <v>82</v>
      </c>
      <c r="D42" s="32">
        <v>37</v>
      </c>
      <c r="E42" s="38">
        <v>13.56</v>
      </c>
      <c r="F42" s="23">
        <v>41</v>
      </c>
      <c r="G42" s="23">
        <v>33</v>
      </c>
      <c r="H42" s="23">
        <v>41</v>
      </c>
      <c r="I42" s="23">
        <v>33</v>
      </c>
      <c r="J42" s="60">
        <v>41.25</v>
      </c>
      <c r="K42" s="60">
        <v>40.75</v>
      </c>
      <c r="L42" s="60">
        <v>41.25</v>
      </c>
      <c r="M42" s="60">
        <v>40.75</v>
      </c>
      <c r="N42" s="23">
        <v>41</v>
      </c>
      <c r="O42" s="23">
        <v>33</v>
      </c>
      <c r="P42" s="23">
        <v>41</v>
      </c>
      <c r="Q42" s="23">
        <v>33</v>
      </c>
      <c r="R42" s="23">
        <v>41</v>
      </c>
      <c r="S42" s="23">
        <v>33</v>
      </c>
      <c r="T42" s="23">
        <v>41</v>
      </c>
      <c r="U42" s="23">
        <v>33</v>
      </c>
      <c r="V42" s="23">
        <v>41</v>
      </c>
      <c r="W42" s="23">
        <v>33</v>
      </c>
      <c r="X42" s="23">
        <v>41</v>
      </c>
      <c r="Y42" s="23">
        <v>33</v>
      </c>
      <c r="Z42" s="23">
        <v>41</v>
      </c>
      <c r="AA42" s="23">
        <v>33</v>
      </c>
      <c r="AB42" s="23">
        <v>41</v>
      </c>
      <c r="AC42" s="23">
        <v>33</v>
      </c>
      <c r="AD42" s="23">
        <v>41</v>
      </c>
      <c r="AE42" s="23">
        <v>33</v>
      </c>
      <c r="AF42" s="23">
        <v>41</v>
      </c>
      <c r="AG42" s="23">
        <v>33</v>
      </c>
      <c r="AH42" s="23">
        <v>41</v>
      </c>
      <c r="AI42" s="23">
        <v>33</v>
      </c>
      <c r="AJ42" s="23">
        <v>41</v>
      </c>
      <c r="AK42" s="23">
        <v>33</v>
      </c>
      <c r="AL42" s="23">
        <v>41</v>
      </c>
      <c r="AM42" s="23">
        <v>33</v>
      </c>
      <c r="AN42" s="23">
        <v>41</v>
      </c>
      <c r="AO42" s="23">
        <v>33</v>
      </c>
      <c r="AP42" s="23">
        <v>41</v>
      </c>
      <c r="AQ42" s="23">
        <v>33</v>
      </c>
      <c r="AR42" s="23">
        <v>41</v>
      </c>
      <c r="AS42" s="23">
        <v>33</v>
      </c>
      <c r="AT42" s="23">
        <v>41</v>
      </c>
      <c r="AU42" s="23">
        <v>33</v>
      </c>
      <c r="AV42" s="23">
        <v>41</v>
      </c>
      <c r="AW42" s="23">
        <v>33</v>
      </c>
      <c r="AX42" s="23">
        <v>41</v>
      </c>
      <c r="AY42" s="23">
        <v>33</v>
      </c>
      <c r="AZ42" s="23">
        <v>41</v>
      </c>
      <c r="BA42" s="23">
        <v>33</v>
      </c>
      <c r="BB42" s="23">
        <v>41</v>
      </c>
      <c r="BC42" s="23">
        <v>33</v>
      </c>
      <c r="BD42" s="23">
        <v>41</v>
      </c>
      <c r="BE42" s="23">
        <v>33</v>
      </c>
      <c r="BF42" s="75">
        <v>41</v>
      </c>
      <c r="BG42" s="12"/>
      <c r="BH42" s="196" t="s">
        <v>37</v>
      </c>
      <c r="BI42" s="197"/>
      <c r="BJ42" s="104">
        <f>'detail par semaine'!JO39</f>
        <v>16</v>
      </c>
      <c r="BK42" s="65">
        <f>'detail par semaine'!JP39</f>
        <v>0</v>
      </c>
      <c r="BL42" s="65">
        <f>'detail par semaine'!JQ39</f>
        <v>20</v>
      </c>
      <c r="BM42" s="65"/>
      <c r="BN42" s="65">
        <f>'detail par semaine'!JS39</f>
        <v>0</v>
      </c>
      <c r="BO42" s="67">
        <f t="shared" si="5"/>
        <v>33.56</v>
      </c>
      <c r="BQ42" s="70">
        <f t="shared" si="6"/>
        <v>110</v>
      </c>
    </row>
    <row r="43" spans="1:69" s="1" customFormat="1" ht="25.25" customHeight="1" x14ac:dyDescent="0.2">
      <c r="A43" s="62"/>
      <c r="B43" s="10" t="s">
        <v>73</v>
      </c>
      <c r="C43" s="41" t="s">
        <v>82</v>
      </c>
      <c r="D43" s="32">
        <v>37</v>
      </c>
      <c r="E43" s="38">
        <v>15</v>
      </c>
      <c r="F43" s="23">
        <v>33</v>
      </c>
      <c r="G43" s="60">
        <v>41.25</v>
      </c>
      <c r="H43" s="23">
        <v>33</v>
      </c>
      <c r="I43" s="23">
        <v>41</v>
      </c>
      <c r="J43" s="23">
        <v>33</v>
      </c>
      <c r="K43" s="23">
        <v>41</v>
      </c>
      <c r="L43" s="23">
        <v>33</v>
      </c>
      <c r="M43" s="60">
        <v>41.25</v>
      </c>
      <c r="N43" s="60">
        <v>40.75</v>
      </c>
      <c r="O43" s="60">
        <v>41.25</v>
      </c>
      <c r="P43" s="23">
        <v>33</v>
      </c>
      <c r="Q43" s="23">
        <v>41</v>
      </c>
      <c r="R43" s="23">
        <v>33</v>
      </c>
      <c r="S43" s="23">
        <v>41</v>
      </c>
      <c r="T43" s="23">
        <v>33</v>
      </c>
      <c r="U43" s="23">
        <v>41</v>
      </c>
      <c r="V43" s="23">
        <v>33</v>
      </c>
      <c r="W43" s="23">
        <v>41</v>
      </c>
      <c r="X43" s="23">
        <v>33</v>
      </c>
      <c r="Y43" s="23">
        <v>41</v>
      </c>
      <c r="Z43" s="23">
        <v>33</v>
      </c>
      <c r="AA43" s="23">
        <v>41</v>
      </c>
      <c r="AB43" s="23">
        <v>33</v>
      </c>
      <c r="AC43" s="23">
        <v>41</v>
      </c>
      <c r="AD43" s="23">
        <v>33</v>
      </c>
      <c r="AE43" s="23">
        <v>41</v>
      </c>
      <c r="AF43" s="23">
        <v>33</v>
      </c>
      <c r="AG43" s="23">
        <v>41</v>
      </c>
      <c r="AH43" s="23">
        <v>33</v>
      </c>
      <c r="AI43" s="23">
        <v>41</v>
      </c>
      <c r="AJ43" s="23">
        <v>33</v>
      </c>
      <c r="AK43" s="23">
        <v>41</v>
      </c>
      <c r="AL43" s="23">
        <v>33</v>
      </c>
      <c r="AM43" s="23">
        <v>41</v>
      </c>
      <c r="AN43" s="23">
        <v>33</v>
      </c>
      <c r="AO43" s="23">
        <v>41</v>
      </c>
      <c r="AP43" s="23">
        <v>33</v>
      </c>
      <c r="AQ43" s="23">
        <v>41</v>
      </c>
      <c r="AR43" s="23">
        <v>33</v>
      </c>
      <c r="AS43" s="23">
        <v>41</v>
      </c>
      <c r="AT43" s="23">
        <v>33</v>
      </c>
      <c r="AU43" s="23">
        <v>41</v>
      </c>
      <c r="AV43" s="23">
        <v>33</v>
      </c>
      <c r="AW43" s="23">
        <v>41</v>
      </c>
      <c r="AX43" s="23">
        <v>33</v>
      </c>
      <c r="AY43" s="23">
        <v>41</v>
      </c>
      <c r="AZ43" s="23">
        <v>33</v>
      </c>
      <c r="BA43" s="23">
        <v>41</v>
      </c>
      <c r="BB43" s="23">
        <v>33</v>
      </c>
      <c r="BC43" s="23">
        <v>41</v>
      </c>
      <c r="BD43" s="23">
        <v>33</v>
      </c>
      <c r="BE43" s="15">
        <v>41</v>
      </c>
      <c r="BF43" s="75">
        <v>33</v>
      </c>
      <c r="BG43" s="12"/>
      <c r="BH43" s="194" t="s">
        <v>73</v>
      </c>
      <c r="BI43" s="195"/>
      <c r="BJ43" s="104">
        <f>'detail par semaine'!JO40</f>
        <v>8.5</v>
      </c>
      <c r="BK43" s="65">
        <f>'detail par semaine'!JP40</f>
        <v>0</v>
      </c>
      <c r="BL43" s="65">
        <f>'detail par semaine'!JQ40</f>
        <v>10.625</v>
      </c>
      <c r="BM43" s="65"/>
      <c r="BN43" s="65">
        <f>'detail par semaine'!JS40</f>
        <v>0</v>
      </c>
      <c r="BO43" s="67">
        <f t="shared" si="5"/>
        <v>25.625</v>
      </c>
      <c r="BQ43" s="70">
        <f t="shared" si="6"/>
        <v>102.5</v>
      </c>
    </row>
    <row r="44" spans="1:69" s="1" customFormat="1" ht="25.25" customHeight="1" x14ac:dyDescent="0.2">
      <c r="A44" s="62"/>
      <c r="B44" s="10" t="s">
        <v>48</v>
      </c>
      <c r="C44" s="41" t="s">
        <v>82</v>
      </c>
      <c r="D44" s="32">
        <v>37</v>
      </c>
      <c r="E44" s="38">
        <v>13.42</v>
      </c>
      <c r="F44" s="23">
        <v>33</v>
      </c>
      <c r="G44" s="23">
        <v>41</v>
      </c>
      <c r="H44" s="23">
        <v>33</v>
      </c>
      <c r="I44" s="23">
        <v>37</v>
      </c>
      <c r="J44" s="23">
        <v>37</v>
      </c>
      <c r="K44" s="23">
        <v>37</v>
      </c>
      <c r="L44" s="23">
        <v>37</v>
      </c>
      <c r="M44" s="23">
        <v>37</v>
      </c>
      <c r="N44" s="23">
        <v>37</v>
      </c>
      <c r="O44" s="23">
        <v>37</v>
      </c>
      <c r="P44" s="23">
        <v>37</v>
      </c>
      <c r="Q44" s="23">
        <v>41</v>
      </c>
      <c r="R44" s="23">
        <v>33</v>
      </c>
      <c r="S44" s="23">
        <v>41</v>
      </c>
      <c r="T44" s="23">
        <v>33</v>
      </c>
      <c r="U44" s="23">
        <v>41</v>
      </c>
      <c r="V44" s="23">
        <v>33</v>
      </c>
      <c r="W44" s="23">
        <v>41</v>
      </c>
      <c r="X44" s="23">
        <v>33</v>
      </c>
      <c r="Y44" s="23">
        <v>41</v>
      </c>
      <c r="Z44" s="23">
        <v>33</v>
      </c>
      <c r="AA44" s="23">
        <v>41</v>
      </c>
      <c r="AB44" s="23">
        <v>33</v>
      </c>
      <c r="AC44" s="23">
        <v>41</v>
      </c>
      <c r="AD44" s="23">
        <v>33</v>
      </c>
      <c r="AE44" s="23">
        <v>41</v>
      </c>
      <c r="AF44" s="23">
        <v>33</v>
      </c>
      <c r="AG44" s="23">
        <v>41</v>
      </c>
      <c r="AH44" s="23">
        <v>33</v>
      </c>
      <c r="AI44" s="23">
        <v>41</v>
      </c>
      <c r="AJ44" s="23">
        <v>33</v>
      </c>
      <c r="AK44" s="23">
        <v>41</v>
      </c>
      <c r="AL44" s="23">
        <v>33</v>
      </c>
      <c r="AM44" s="23">
        <v>41</v>
      </c>
      <c r="AN44" s="23">
        <v>33</v>
      </c>
      <c r="AO44" s="23">
        <v>41</v>
      </c>
      <c r="AP44" s="23">
        <v>33</v>
      </c>
      <c r="AQ44" s="23">
        <v>41</v>
      </c>
      <c r="AR44" s="23">
        <v>33</v>
      </c>
      <c r="AS44" s="23">
        <v>41</v>
      </c>
      <c r="AT44" s="23">
        <v>33</v>
      </c>
      <c r="AU44" s="23">
        <v>41</v>
      </c>
      <c r="AV44" s="23">
        <v>33</v>
      </c>
      <c r="AW44" s="23">
        <v>41</v>
      </c>
      <c r="AX44" s="23">
        <v>33</v>
      </c>
      <c r="AY44" s="23">
        <v>41</v>
      </c>
      <c r="AZ44" s="23">
        <v>33</v>
      </c>
      <c r="BA44" s="23">
        <v>41</v>
      </c>
      <c r="BB44" s="23">
        <v>33</v>
      </c>
      <c r="BC44" s="23">
        <v>41</v>
      </c>
      <c r="BD44" s="23">
        <v>33</v>
      </c>
      <c r="BE44" s="15">
        <v>41</v>
      </c>
      <c r="BF44" s="75">
        <v>33</v>
      </c>
      <c r="BG44" s="12"/>
      <c r="BH44" s="194" t="s">
        <v>48</v>
      </c>
      <c r="BI44" s="195"/>
      <c r="BJ44" s="104">
        <f>'detail par semaine'!JO41</f>
        <v>0</v>
      </c>
      <c r="BK44" s="65">
        <f>'detail par semaine'!JP41</f>
        <v>0</v>
      </c>
      <c r="BL44" s="65">
        <f>'detail par semaine'!JQ41</f>
        <v>0</v>
      </c>
      <c r="BM44" s="65"/>
      <c r="BN44" s="65">
        <f>'detail par semaine'!JS41</f>
        <v>0</v>
      </c>
      <c r="BO44" s="67">
        <f t="shared" si="5"/>
        <v>13.42</v>
      </c>
      <c r="BQ44" s="70">
        <f t="shared" si="6"/>
        <v>94</v>
      </c>
    </row>
    <row r="45" spans="1:69" s="1" customFormat="1" ht="25.25" customHeight="1" x14ac:dyDescent="0.2">
      <c r="A45" s="62"/>
      <c r="B45" s="10" t="s">
        <v>42</v>
      </c>
      <c r="C45" s="41" t="s">
        <v>82</v>
      </c>
      <c r="D45" s="32">
        <v>37</v>
      </c>
      <c r="E45" s="38">
        <v>5.4824999999999973</v>
      </c>
      <c r="F45" s="23">
        <v>33</v>
      </c>
      <c r="G45" s="23">
        <v>41</v>
      </c>
      <c r="H45" s="23">
        <v>33</v>
      </c>
      <c r="I45" s="23">
        <v>41</v>
      </c>
      <c r="J45" s="60">
        <v>40.75</v>
      </c>
      <c r="K45" s="60">
        <v>41.25</v>
      </c>
      <c r="L45" s="23">
        <v>33</v>
      </c>
      <c r="M45" s="23">
        <v>41</v>
      </c>
      <c r="N45" s="60">
        <v>40.75</v>
      </c>
      <c r="O45" s="23">
        <v>41</v>
      </c>
      <c r="P45" s="23">
        <v>33</v>
      </c>
      <c r="Q45" s="23">
        <v>41</v>
      </c>
      <c r="R45" s="23">
        <v>33</v>
      </c>
      <c r="S45" s="23">
        <v>41</v>
      </c>
      <c r="T45" s="23">
        <v>33</v>
      </c>
      <c r="U45" s="23">
        <v>41</v>
      </c>
      <c r="V45" s="23">
        <v>33</v>
      </c>
      <c r="W45" s="23">
        <v>41</v>
      </c>
      <c r="X45" s="23">
        <v>33</v>
      </c>
      <c r="Y45" s="23">
        <v>41</v>
      </c>
      <c r="Z45" s="23">
        <v>33</v>
      </c>
      <c r="AA45" s="23">
        <v>41</v>
      </c>
      <c r="AB45" s="23">
        <v>33</v>
      </c>
      <c r="AC45" s="23">
        <v>41</v>
      </c>
      <c r="AD45" s="23">
        <v>33</v>
      </c>
      <c r="AE45" s="23">
        <v>41</v>
      </c>
      <c r="AF45" s="23">
        <v>33</v>
      </c>
      <c r="AG45" s="23">
        <v>41</v>
      </c>
      <c r="AH45" s="23">
        <v>33</v>
      </c>
      <c r="AI45" s="23">
        <v>41</v>
      </c>
      <c r="AJ45" s="23">
        <v>33</v>
      </c>
      <c r="AK45" s="23">
        <v>41</v>
      </c>
      <c r="AL45" s="23">
        <v>33</v>
      </c>
      <c r="AM45" s="23">
        <v>41</v>
      </c>
      <c r="AN45" s="23">
        <v>33</v>
      </c>
      <c r="AO45" s="23">
        <v>41</v>
      </c>
      <c r="AP45" s="23">
        <v>33</v>
      </c>
      <c r="AQ45" s="23">
        <v>41</v>
      </c>
      <c r="AR45" s="23">
        <v>33</v>
      </c>
      <c r="AS45" s="23">
        <v>41</v>
      </c>
      <c r="AT45" s="23">
        <v>33</v>
      </c>
      <c r="AU45" s="23">
        <v>41</v>
      </c>
      <c r="AV45" s="23">
        <v>33</v>
      </c>
      <c r="AW45" s="23">
        <v>41</v>
      </c>
      <c r="AX45" s="23">
        <v>33</v>
      </c>
      <c r="AY45" s="23">
        <v>41</v>
      </c>
      <c r="AZ45" s="23">
        <v>33</v>
      </c>
      <c r="BA45" s="23">
        <v>41</v>
      </c>
      <c r="BB45" s="23">
        <v>33</v>
      </c>
      <c r="BC45" s="23">
        <v>41</v>
      </c>
      <c r="BD45" s="23">
        <v>33</v>
      </c>
      <c r="BE45" s="15">
        <v>41</v>
      </c>
      <c r="BF45" s="75">
        <v>33</v>
      </c>
      <c r="BG45" s="12"/>
      <c r="BH45" s="194" t="s">
        <v>42</v>
      </c>
      <c r="BI45" s="195"/>
      <c r="BJ45" s="104">
        <f>'detail par semaine'!JO42</f>
        <v>15.75</v>
      </c>
      <c r="BK45" s="65">
        <f>'detail par semaine'!JP42</f>
        <v>0</v>
      </c>
      <c r="BL45" s="65">
        <f>'detail par semaine'!JQ42</f>
        <v>19.6875</v>
      </c>
      <c r="BM45" s="65"/>
      <c r="BN45" s="65">
        <f>'detail par semaine'!JS42</f>
        <v>0</v>
      </c>
      <c r="BO45" s="67">
        <f t="shared" si="5"/>
        <v>25.169999999999998</v>
      </c>
      <c r="BQ45" s="70">
        <f t="shared" si="6"/>
        <v>109.75</v>
      </c>
    </row>
    <row r="46" spans="1:69" s="1" customFormat="1" ht="25.25" customHeight="1" x14ac:dyDescent="0.2">
      <c r="A46" s="62"/>
      <c r="B46" s="10" t="s">
        <v>79</v>
      </c>
      <c r="C46" s="41" t="s">
        <v>82</v>
      </c>
      <c r="D46" s="32">
        <v>37</v>
      </c>
      <c r="E46" s="38">
        <v>0</v>
      </c>
      <c r="F46" s="23"/>
      <c r="G46" s="23">
        <v>37</v>
      </c>
      <c r="H46" s="23">
        <v>37</v>
      </c>
      <c r="I46" s="23">
        <v>37</v>
      </c>
      <c r="J46" s="23">
        <v>37</v>
      </c>
      <c r="K46" s="23">
        <v>37</v>
      </c>
      <c r="L46" s="23">
        <v>37</v>
      </c>
      <c r="M46" s="23">
        <v>37</v>
      </c>
      <c r="N46" s="23">
        <v>37</v>
      </c>
      <c r="O46" s="23">
        <v>37</v>
      </c>
      <c r="P46" s="23">
        <v>33</v>
      </c>
      <c r="Q46" s="23">
        <v>41</v>
      </c>
      <c r="R46" s="23">
        <v>33</v>
      </c>
      <c r="S46" s="23">
        <v>41</v>
      </c>
      <c r="T46" s="23">
        <v>33</v>
      </c>
      <c r="U46" s="23">
        <v>41</v>
      </c>
      <c r="V46" s="23">
        <v>33</v>
      </c>
      <c r="W46" s="23">
        <v>41</v>
      </c>
      <c r="X46" s="23">
        <v>33</v>
      </c>
      <c r="Y46" s="23">
        <v>41</v>
      </c>
      <c r="Z46" s="23">
        <v>33</v>
      </c>
      <c r="AA46" s="23">
        <v>41</v>
      </c>
      <c r="AB46" s="23">
        <v>33</v>
      </c>
      <c r="AC46" s="23">
        <v>41</v>
      </c>
      <c r="AD46" s="23">
        <v>33</v>
      </c>
      <c r="AE46" s="23">
        <v>41</v>
      </c>
      <c r="AF46" s="23">
        <v>33</v>
      </c>
      <c r="AG46" s="23">
        <v>41</v>
      </c>
      <c r="AH46" s="23">
        <v>33</v>
      </c>
      <c r="AI46" s="23">
        <v>41</v>
      </c>
      <c r="AJ46" s="23">
        <v>33</v>
      </c>
      <c r="AK46" s="23">
        <v>41</v>
      </c>
      <c r="AL46" s="23">
        <v>33</v>
      </c>
      <c r="AM46" s="23">
        <v>41</v>
      </c>
      <c r="AN46" s="23">
        <v>33</v>
      </c>
      <c r="AO46" s="23">
        <v>41</v>
      </c>
      <c r="AP46" s="23">
        <v>33</v>
      </c>
      <c r="AQ46" s="23">
        <v>41</v>
      </c>
      <c r="AR46" s="23">
        <v>33</v>
      </c>
      <c r="AS46" s="23">
        <v>41</v>
      </c>
      <c r="AT46" s="23">
        <v>33</v>
      </c>
      <c r="AU46" s="23">
        <v>41</v>
      </c>
      <c r="AV46" s="23">
        <v>33</v>
      </c>
      <c r="AW46" s="23">
        <v>41</v>
      </c>
      <c r="AX46" s="23">
        <v>33</v>
      </c>
      <c r="AY46" s="23">
        <v>41</v>
      </c>
      <c r="AZ46" s="23">
        <v>33</v>
      </c>
      <c r="BA46" s="23">
        <v>41</v>
      </c>
      <c r="BB46" s="23">
        <v>33</v>
      </c>
      <c r="BC46" s="23">
        <v>41</v>
      </c>
      <c r="BD46" s="23">
        <v>33</v>
      </c>
      <c r="BE46" s="15">
        <v>41</v>
      </c>
      <c r="BF46" s="75">
        <v>33</v>
      </c>
      <c r="BG46" s="12"/>
      <c r="BH46" s="194" t="s">
        <v>79</v>
      </c>
      <c r="BI46" s="195"/>
      <c r="BJ46" s="104">
        <f>'detail par semaine'!JO43</f>
        <v>0</v>
      </c>
      <c r="BK46" s="65">
        <f>'detail par semaine'!JP43</f>
        <v>0</v>
      </c>
      <c r="BL46" s="65">
        <f>'detail par semaine'!JQ43</f>
        <v>0</v>
      </c>
      <c r="BM46" s="65"/>
      <c r="BN46" s="65">
        <f>'detail par semaine'!JS43</f>
        <v>-4</v>
      </c>
      <c r="BO46" s="67">
        <f t="shared" si="5"/>
        <v>-4</v>
      </c>
      <c r="BQ46" s="69">
        <f t="shared" si="6"/>
        <v>94</v>
      </c>
    </row>
    <row r="47" spans="1:69" s="1" customFormat="1" ht="25.25" customHeight="1" x14ac:dyDescent="0.2">
      <c r="A47" s="62"/>
      <c r="B47" s="10" t="s">
        <v>84</v>
      </c>
      <c r="C47" s="41" t="s">
        <v>82</v>
      </c>
      <c r="D47" s="32">
        <v>37</v>
      </c>
      <c r="E47" s="38">
        <v>9.35</v>
      </c>
      <c r="F47" s="23">
        <v>33</v>
      </c>
      <c r="G47" s="60">
        <v>38</v>
      </c>
      <c r="H47" s="60">
        <v>38</v>
      </c>
      <c r="I47" s="23">
        <v>33</v>
      </c>
      <c r="J47" s="23">
        <v>41</v>
      </c>
      <c r="K47" s="23">
        <v>33</v>
      </c>
      <c r="L47" s="23">
        <v>41</v>
      </c>
      <c r="M47" s="23">
        <v>37.5</v>
      </c>
      <c r="N47" s="23">
        <v>41</v>
      </c>
      <c r="O47" s="60">
        <v>37.5</v>
      </c>
      <c r="P47" s="23">
        <v>41</v>
      </c>
      <c r="Q47" s="23">
        <v>33</v>
      </c>
      <c r="R47" s="23">
        <v>41</v>
      </c>
      <c r="S47" s="23">
        <v>33</v>
      </c>
      <c r="T47" s="23">
        <v>41</v>
      </c>
      <c r="U47" s="23">
        <v>33</v>
      </c>
      <c r="V47" s="23">
        <v>41</v>
      </c>
      <c r="W47" s="23">
        <v>33</v>
      </c>
      <c r="X47" s="23">
        <v>41</v>
      </c>
      <c r="Y47" s="23">
        <v>33</v>
      </c>
      <c r="Z47" s="23">
        <v>41</v>
      </c>
      <c r="AA47" s="23">
        <v>33</v>
      </c>
      <c r="AB47" s="23">
        <v>41</v>
      </c>
      <c r="AC47" s="23">
        <v>33</v>
      </c>
      <c r="AD47" s="23">
        <v>41</v>
      </c>
      <c r="AE47" s="23">
        <v>33</v>
      </c>
      <c r="AF47" s="23">
        <v>41</v>
      </c>
      <c r="AG47" s="23">
        <v>33</v>
      </c>
      <c r="AH47" s="23">
        <v>41</v>
      </c>
      <c r="AI47" s="23">
        <v>33</v>
      </c>
      <c r="AJ47" s="23">
        <v>41</v>
      </c>
      <c r="AK47" s="23">
        <v>33</v>
      </c>
      <c r="AL47" s="23">
        <v>41</v>
      </c>
      <c r="AM47" s="23">
        <v>33</v>
      </c>
      <c r="AN47" s="23">
        <v>41</v>
      </c>
      <c r="AO47" s="23">
        <v>33</v>
      </c>
      <c r="AP47" s="23">
        <v>41</v>
      </c>
      <c r="AQ47" s="23">
        <v>33</v>
      </c>
      <c r="AR47" s="23">
        <v>41</v>
      </c>
      <c r="AS47" s="23">
        <v>33</v>
      </c>
      <c r="AT47" s="23">
        <v>41</v>
      </c>
      <c r="AU47" s="23">
        <v>33</v>
      </c>
      <c r="AV47" s="23">
        <v>41</v>
      </c>
      <c r="AW47" s="23">
        <v>33</v>
      </c>
      <c r="AX47" s="23">
        <v>41</v>
      </c>
      <c r="AY47" s="23">
        <v>33</v>
      </c>
      <c r="AZ47" s="23">
        <v>41</v>
      </c>
      <c r="BA47" s="23">
        <v>33</v>
      </c>
      <c r="BB47" s="23">
        <v>41</v>
      </c>
      <c r="BC47" s="23">
        <v>33</v>
      </c>
      <c r="BD47" s="23">
        <v>41</v>
      </c>
      <c r="BE47" s="23">
        <v>33</v>
      </c>
      <c r="BF47" s="75">
        <v>41</v>
      </c>
      <c r="BG47" s="12"/>
      <c r="BH47" s="194" t="s">
        <v>84</v>
      </c>
      <c r="BI47" s="195"/>
      <c r="BJ47" s="104">
        <f>'detail par semaine'!JO44</f>
        <v>11</v>
      </c>
      <c r="BK47" s="65">
        <f>'detail par semaine'!JP44</f>
        <v>0</v>
      </c>
      <c r="BL47" s="65">
        <f>'detail par semaine'!JQ44</f>
        <v>13.75</v>
      </c>
      <c r="BM47" s="65"/>
      <c r="BN47" s="65">
        <f>'detail par semaine'!JS44</f>
        <v>0</v>
      </c>
      <c r="BO47" s="67">
        <f t="shared" si="5"/>
        <v>23.1</v>
      </c>
      <c r="BQ47" s="70">
        <f t="shared" si="6"/>
        <v>105</v>
      </c>
    </row>
    <row r="48" spans="1:69" s="1" customFormat="1" ht="25.25" customHeight="1" x14ac:dyDescent="0.2">
      <c r="A48" s="62"/>
      <c r="B48" s="10" t="s">
        <v>71</v>
      </c>
      <c r="C48" s="41" t="s">
        <v>82</v>
      </c>
      <c r="D48" s="32">
        <v>37</v>
      </c>
      <c r="E48" s="38">
        <v>0</v>
      </c>
      <c r="F48" s="23">
        <v>41</v>
      </c>
      <c r="G48" s="23">
        <v>33</v>
      </c>
      <c r="H48" s="23">
        <v>41</v>
      </c>
      <c r="I48" s="23">
        <v>33</v>
      </c>
      <c r="J48" s="60">
        <v>41.25</v>
      </c>
      <c r="K48" s="60">
        <v>40.75</v>
      </c>
      <c r="L48" s="60">
        <v>41.25</v>
      </c>
      <c r="M48" s="60">
        <v>40.75</v>
      </c>
      <c r="N48" s="60">
        <v>41.25</v>
      </c>
      <c r="O48" s="60">
        <v>40.75</v>
      </c>
      <c r="P48" s="60">
        <v>41.25</v>
      </c>
      <c r="Q48" s="23">
        <v>33</v>
      </c>
      <c r="R48" s="23">
        <v>41</v>
      </c>
      <c r="S48" s="23">
        <v>33</v>
      </c>
      <c r="T48" s="23">
        <v>41</v>
      </c>
      <c r="U48" s="23">
        <v>33</v>
      </c>
      <c r="V48" s="23">
        <v>41</v>
      </c>
      <c r="W48" s="23">
        <v>33</v>
      </c>
      <c r="X48" s="23">
        <v>41</v>
      </c>
      <c r="Y48" s="23">
        <v>33</v>
      </c>
      <c r="Z48" s="23">
        <v>41</v>
      </c>
      <c r="AA48" s="23">
        <v>33</v>
      </c>
      <c r="AB48" s="23">
        <v>41</v>
      </c>
      <c r="AC48" s="23">
        <v>33</v>
      </c>
      <c r="AD48" s="23">
        <v>41</v>
      </c>
      <c r="AE48" s="23">
        <v>33</v>
      </c>
      <c r="AF48" s="23">
        <v>41</v>
      </c>
      <c r="AG48" s="23">
        <v>33</v>
      </c>
      <c r="AH48" s="23">
        <v>41</v>
      </c>
      <c r="AI48" s="23">
        <v>33</v>
      </c>
      <c r="AJ48" s="23">
        <v>41</v>
      </c>
      <c r="AK48" s="23">
        <v>33</v>
      </c>
      <c r="AL48" s="23">
        <v>41</v>
      </c>
      <c r="AM48" s="23">
        <v>33</v>
      </c>
      <c r="AN48" s="23">
        <v>41</v>
      </c>
      <c r="AO48" s="23">
        <v>33</v>
      </c>
      <c r="AP48" s="23">
        <v>41</v>
      </c>
      <c r="AQ48" s="23">
        <v>33</v>
      </c>
      <c r="AR48" s="23">
        <v>41</v>
      </c>
      <c r="AS48" s="23">
        <v>33</v>
      </c>
      <c r="AT48" s="23">
        <v>41</v>
      </c>
      <c r="AU48" s="23">
        <v>33</v>
      </c>
      <c r="AV48" s="23">
        <v>41</v>
      </c>
      <c r="AW48" s="23">
        <v>33</v>
      </c>
      <c r="AX48" s="23">
        <v>41</v>
      </c>
      <c r="AY48" s="23">
        <v>33</v>
      </c>
      <c r="AZ48" s="23">
        <v>41</v>
      </c>
      <c r="BA48" s="23">
        <v>33</v>
      </c>
      <c r="BB48" s="23">
        <v>41</v>
      </c>
      <c r="BC48" s="23">
        <v>33</v>
      </c>
      <c r="BD48" s="23">
        <v>41</v>
      </c>
      <c r="BE48" s="23">
        <v>33</v>
      </c>
      <c r="BF48" s="75">
        <v>41</v>
      </c>
      <c r="BG48" s="12"/>
      <c r="BH48" s="194" t="s">
        <v>71</v>
      </c>
      <c r="BI48" s="195"/>
      <c r="BJ48" s="104">
        <f>'detail par semaine'!JO45</f>
        <v>24.25</v>
      </c>
      <c r="BK48" s="65">
        <f>'detail par semaine'!JP45</f>
        <v>0</v>
      </c>
      <c r="BL48" s="65">
        <f>'detail par semaine'!JQ45</f>
        <v>30.3125</v>
      </c>
      <c r="BM48" s="65"/>
      <c r="BN48" s="65">
        <f>'detail par semaine'!JS45</f>
        <v>0</v>
      </c>
      <c r="BO48" s="67">
        <f t="shared" si="5"/>
        <v>30.3125</v>
      </c>
      <c r="BQ48" s="70">
        <f t="shared" si="6"/>
        <v>118.25</v>
      </c>
    </row>
    <row r="49" spans="1:69" s="1" customFormat="1" ht="25.25" customHeight="1" thickBot="1" x14ac:dyDescent="0.25">
      <c r="A49" s="62"/>
      <c r="B49" s="11" t="s">
        <v>72</v>
      </c>
      <c r="C49" s="47" t="s">
        <v>82</v>
      </c>
      <c r="D49" s="34">
        <v>37</v>
      </c>
      <c r="E49" s="73">
        <v>11.81</v>
      </c>
      <c r="F49" s="23">
        <v>33</v>
      </c>
      <c r="G49" s="23">
        <v>33</v>
      </c>
      <c r="H49" s="23">
        <v>41</v>
      </c>
      <c r="I49" s="23">
        <v>33</v>
      </c>
      <c r="J49" s="23">
        <v>41</v>
      </c>
      <c r="K49" s="23">
        <v>33</v>
      </c>
      <c r="L49" s="23">
        <v>41</v>
      </c>
      <c r="M49" s="23">
        <v>33</v>
      </c>
      <c r="N49" s="23">
        <v>41</v>
      </c>
      <c r="O49" s="23">
        <v>33</v>
      </c>
      <c r="P49" s="23">
        <v>41</v>
      </c>
      <c r="Q49" s="23">
        <v>33</v>
      </c>
      <c r="R49" s="23">
        <v>41</v>
      </c>
      <c r="S49" s="23">
        <v>33</v>
      </c>
      <c r="T49" s="23">
        <v>41</v>
      </c>
      <c r="U49" s="23">
        <v>33</v>
      </c>
      <c r="V49" s="23">
        <v>41</v>
      </c>
      <c r="W49" s="23">
        <v>33</v>
      </c>
      <c r="X49" s="23">
        <v>41</v>
      </c>
      <c r="Y49" s="23">
        <v>33</v>
      </c>
      <c r="Z49" s="23">
        <v>41</v>
      </c>
      <c r="AA49" s="23">
        <v>33</v>
      </c>
      <c r="AB49" s="23">
        <v>41</v>
      </c>
      <c r="AC49" s="23">
        <v>33</v>
      </c>
      <c r="AD49" s="23">
        <v>41</v>
      </c>
      <c r="AE49" s="23">
        <v>33</v>
      </c>
      <c r="AF49" s="23">
        <v>41</v>
      </c>
      <c r="AG49" s="23">
        <v>33</v>
      </c>
      <c r="AH49" s="23">
        <v>41</v>
      </c>
      <c r="AI49" s="23">
        <v>33</v>
      </c>
      <c r="AJ49" s="23">
        <v>41</v>
      </c>
      <c r="AK49" s="23">
        <v>33</v>
      </c>
      <c r="AL49" s="23">
        <v>41</v>
      </c>
      <c r="AM49" s="23">
        <v>33</v>
      </c>
      <c r="AN49" s="23">
        <v>41</v>
      </c>
      <c r="AO49" s="23">
        <v>33</v>
      </c>
      <c r="AP49" s="23">
        <v>41</v>
      </c>
      <c r="AQ49" s="23">
        <v>33</v>
      </c>
      <c r="AR49" s="23">
        <v>41</v>
      </c>
      <c r="AS49" s="23">
        <v>33</v>
      </c>
      <c r="AT49" s="23">
        <v>41</v>
      </c>
      <c r="AU49" s="23">
        <v>33</v>
      </c>
      <c r="AV49" s="23">
        <v>41</v>
      </c>
      <c r="AW49" s="23">
        <v>33</v>
      </c>
      <c r="AX49" s="23">
        <v>41</v>
      </c>
      <c r="AY49" s="23">
        <v>33</v>
      </c>
      <c r="AZ49" s="23">
        <v>41</v>
      </c>
      <c r="BA49" s="23">
        <v>33</v>
      </c>
      <c r="BB49" s="23">
        <v>41</v>
      </c>
      <c r="BC49" s="23">
        <v>33</v>
      </c>
      <c r="BD49" s="23">
        <v>41</v>
      </c>
      <c r="BE49" s="23">
        <v>33</v>
      </c>
      <c r="BF49" s="75">
        <v>41</v>
      </c>
      <c r="BG49" s="12"/>
      <c r="BH49" s="183" t="s">
        <v>72</v>
      </c>
      <c r="BI49" s="184"/>
      <c r="BJ49" s="104">
        <f>'detail par semaine'!JO46</f>
        <v>0</v>
      </c>
      <c r="BK49" s="65">
        <f>'detail par semaine'!JP46</f>
        <v>0</v>
      </c>
      <c r="BL49" s="65">
        <f>'detail par semaine'!JQ46</f>
        <v>0</v>
      </c>
      <c r="BM49" s="66"/>
      <c r="BN49" s="66">
        <f>'detail par semaine'!JS46</f>
        <v>0</v>
      </c>
      <c r="BO49" s="67">
        <f t="shared" si="5"/>
        <v>11.81</v>
      </c>
      <c r="BQ49" s="71">
        <f t="shared" si="6"/>
        <v>94</v>
      </c>
    </row>
    <row r="50" spans="1:69" s="1" customFormat="1" ht="25.25" customHeight="1" thickBot="1" x14ac:dyDescent="0.2">
      <c r="A50" s="61"/>
      <c r="B50"/>
      <c r="C50"/>
      <c r="D50"/>
      <c r="E50" s="43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 s="7"/>
      <c r="AY50"/>
      <c r="AZ50"/>
      <c r="BA50"/>
      <c r="BB50"/>
      <c r="BC50"/>
      <c r="BD50"/>
      <c r="BE50"/>
      <c r="BF50"/>
      <c r="BH50"/>
      <c r="BI50"/>
      <c r="BM50" s="35"/>
    </row>
    <row r="51" spans="1:69" ht="25.25" customHeight="1" thickTop="1" x14ac:dyDescent="0.2">
      <c r="B51" s="12"/>
      <c r="C51" s="12"/>
      <c r="D51" s="12"/>
      <c r="E51" s="25"/>
      <c r="F51" s="22" t="s">
        <v>132</v>
      </c>
      <c r="G51" s="49"/>
      <c r="H51" s="49"/>
      <c r="I51" s="49"/>
      <c r="J51" s="49"/>
      <c r="K51" s="49"/>
      <c r="L51" s="49"/>
      <c r="M51" s="49"/>
      <c r="N51" s="50"/>
      <c r="O51" s="57"/>
      <c r="P51" s="57"/>
      <c r="Q51" s="57"/>
      <c r="R51" s="57"/>
      <c r="S51" s="57"/>
      <c r="T51" s="57"/>
      <c r="U51" s="57"/>
      <c r="V51" s="57"/>
      <c r="W51" s="57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3"/>
      <c r="AJ51" s="3"/>
      <c r="AK51" s="3"/>
      <c r="AL51" s="3"/>
      <c r="AM51" s="3"/>
      <c r="AN51" s="3"/>
      <c r="AO51" s="3"/>
      <c r="AP51" s="8"/>
      <c r="AQ51" s="3"/>
      <c r="AR51" s="3"/>
      <c r="AS51" s="3"/>
      <c r="AT51" s="3"/>
      <c r="AU51" s="3"/>
      <c r="AV51" s="3"/>
      <c r="AW51" s="3"/>
      <c r="AX51" s="6"/>
      <c r="AY51" s="3"/>
      <c r="AZ51" s="3"/>
      <c r="BA51" s="3"/>
      <c r="BB51" s="3"/>
      <c r="BC51" s="3"/>
      <c r="BD51" s="3"/>
      <c r="BE51" s="3"/>
      <c r="BF51" s="1"/>
    </row>
    <row r="52" spans="1:69" s="1" customFormat="1" ht="25.25" customHeight="1" x14ac:dyDescent="0.15">
      <c r="A52" s="61"/>
      <c r="B52" s="16"/>
      <c r="C52" s="16"/>
      <c r="D52" s="16"/>
      <c r="E52" s="44"/>
      <c r="F52" s="51"/>
      <c r="G52" s="21" t="s">
        <v>127</v>
      </c>
      <c r="H52" s="27"/>
      <c r="I52" s="27"/>
      <c r="J52" s="27"/>
      <c r="K52" s="27"/>
      <c r="L52" s="27"/>
      <c r="M52" s="27"/>
      <c r="N52" s="52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9"/>
      <c r="AY52" s="16"/>
      <c r="AZ52" s="16"/>
      <c r="BA52" s="16"/>
      <c r="BB52" s="16"/>
      <c r="BC52" s="16"/>
      <c r="BD52" s="16"/>
      <c r="BE52" s="16"/>
      <c r="BF52" s="16"/>
      <c r="BG52" s="5"/>
      <c r="BM52" s="35"/>
    </row>
    <row r="53" spans="1:69" s="16" customFormat="1" ht="25.25" customHeight="1" x14ac:dyDescent="0.15">
      <c r="A53" s="61"/>
      <c r="E53" s="44"/>
      <c r="F53" s="51"/>
      <c r="G53" s="21" t="s">
        <v>128</v>
      </c>
      <c r="H53" s="27"/>
      <c r="I53" s="27"/>
      <c r="J53" s="27"/>
      <c r="K53" s="27"/>
      <c r="L53" s="27"/>
      <c r="M53" s="27"/>
      <c r="N53" s="52"/>
      <c r="AX53" s="19"/>
      <c r="BG53" s="19"/>
      <c r="BM53" s="18"/>
    </row>
    <row r="54" spans="1:69" s="16" customFormat="1" ht="25.25" customHeight="1" x14ac:dyDescent="0.2">
      <c r="A54" s="61"/>
      <c r="E54" s="44"/>
      <c r="F54" s="51"/>
      <c r="G54" s="21" t="s">
        <v>49</v>
      </c>
      <c r="H54" s="27"/>
      <c r="I54" s="27"/>
      <c r="J54" s="27"/>
      <c r="K54" s="27"/>
      <c r="L54" s="27"/>
      <c r="M54" s="27"/>
      <c r="N54" s="52"/>
      <c r="T54" s="1"/>
      <c r="U54" s="1"/>
      <c r="V54" s="1"/>
      <c r="W54" s="1"/>
      <c r="X54" s="1"/>
      <c r="AH54" s="12"/>
      <c r="AI54" s="3"/>
      <c r="AO54" s="3"/>
      <c r="AP54" s="3"/>
      <c r="AQ54" s="3"/>
      <c r="AR54" s="3"/>
      <c r="AS54" s="3"/>
      <c r="AT54" s="3"/>
      <c r="AU54" s="3"/>
      <c r="AV54" s="3"/>
      <c r="AW54" s="3"/>
      <c r="AX54" s="6"/>
      <c r="AY54" s="3"/>
      <c r="AZ54" s="3"/>
      <c r="BA54" s="3"/>
      <c r="BB54" s="3"/>
      <c r="BC54" s="3"/>
      <c r="BD54" s="3"/>
      <c r="BE54" s="3"/>
      <c r="BF54" s="1"/>
      <c r="BG54" s="19"/>
      <c r="BM54" s="18"/>
    </row>
    <row r="55" spans="1:69" s="1" customFormat="1" ht="25.25" customHeight="1" thickBot="1" x14ac:dyDescent="0.25">
      <c r="A55" s="61"/>
      <c r="B55" s="16"/>
      <c r="C55" s="16"/>
      <c r="D55" s="16"/>
      <c r="E55" s="44"/>
      <c r="F55" s="51"/>
      <c r="G55" s="21"/>
      <c r="H55" s="27"/>
      <c r="I55" s="27"/>
      <c r="J55" s="27"/>
      <c r="K55" s="27"/>
      <c r="L55" s="27"/>
      <c r="M55" s="27"/>
      <c r="N55" s="52"/>
      <c r="AH55" s="12"/>
      <c r="AJ55" s="16"/>
      <c r="AK55" s="16"/>
      <c r="AL55" s="16"/>
      <c r="AM55" s="16"/>
      <c r="AN55" s="16"/>
      <c r="AO55" s="3"/>
      <c r="AP55" s="3"/>
      <c r="AQ55" s="3"/>
      <c r="AR55" s="3"/>
      <c r="AS55" s="3"/>
      <c r="AT55" s="3"/>
      <c r="AU55" s="3"/>
      <c r="AV55" s="3"/>
      <c r="AW55" s="3"/>
      <c r="AX55" s="6"/>
      <c r="AY55" s="3"/>
      <c r="AZ55" s="3"/>
      <c r="BA55" s="3"/>
      <c r="BB55" s="3"/>
      <c r="BC55" s="3"/>
      <c r="BD55" s="3"/>
      <c r="BE55" s="3"/>
      <c r="BG55" s="5"/>
      <c r="BM55" s="35"/>
    </row>
    <row r="56" spans="1:69" s="1" customFormat="1" ht="25.25" customHeight="1" x14ac:dyDescent="0.2">
      <c r="A56" s="61"/>
      <c r="B56" s="16"/>
      <c r="C56" s="16"/>
      <c r="D56" s="16"/>
      <c r="E56" s="44"/>
      <c r="F56" s="51"/>
      <c r="G56" s="21" t="s">
        <v>117</v>
      </c>
      <c r="H56" s="21"/>
      <c r="I56" s="21"/>
      <c r="J56" s="27"/>
      <c r="K56" s="27"/>
      <c r="L56" s="27"/>
      <c r="M56" s="27"/>
      <c r="N56" s="52"/>
      <c r="AH56" s="12"/>
      <c r="AJ56" s="16"/>
      <c r="AK56" s="16"/>
      <c r="AL56" s="16"/>
      <c r="AM56" s="16"/>
      <c r="AN56" s="16"/>
      <c r="BG56" s="5"/>
      <c r="BM56" s="35"/>
      <c r="BP56" s="185"/>
      <c r="BQ56" s="185"/>
    </row>
    <row r="57" spans="1:69" s="1" customFormat="1" ht="25.25" customHeight="1" x14ac:dyDescent="0.2">
      <c r="A57" s="61"/>
      <c r="B57" s="16"/>
      <c r="C57" s="16"/>
      <c r="D57" s="16"/>
      <c r="E57" s="44"/>
      <c r="F57" s="51"/>
      <c r="G57" s="21" t="s">
        <v>53</v>
      </c>
      <c r="H57" s="21"/>
      <c r="I57" s="21"/>
      <c r="J57" s="27"/>
      <c r="K57" s="27"/>
      <c r="L57" s="27"/>
      <c r="M57" s="27"/>
      <c r="N57" s="52"/>
      <c r="AH57" s="12"/>
      <c r="AJ57" s="16"/>
      <c r="AK57" s="16"/>
      <c r="AL57" s="16"/>
      <c r="AM57" s="16"/>
      <c r="AN57" s="16"/>
      <c r="BI57" s="2"/>
      <c r="BM57" s="35"/>
      <c r="BP57" s="186"/>
      <c r="BQ57" s="186"/>
    </row>
    <row r="58" spans="1:69" s="1" customFormat="1" ht="25.25" customHeight="1" thickBot="1" x14ac:dyDescent="0.25">
      <c r="A58" s="61"/>
      <c r="B58" s="16"/>
      <c r="C58" s="16"/>
      <c r="D58" s="16"/>
      <c r="E58" s="44"/>
      <c r="F58" s="53"/>
      <c r="G58" s="54"/>
      <c r="H58" s="54"/>
      <c r="I58" s="54"/>
      <c r="J58" s="54"/>
      <c r="K58" s="54"/>
      <c r="L58" s="54"/>
      <c r="M58" s="54"/>
      <c r="N58" s="55"/>
      <c r="AH58" s="12"/>
      <c r="AI58" s="3"/>
      <c r="AJ58" s="16"/>
      <c r="AK58" s="16"/>
      <c r="AL58" s="16"/>
      <c r="AM58" s="16"/>
      <c r="AN58" s="16"/>
      <c r="AO58" s="3"/>
      <c r="AR58" s="3"/>
      <c r="AS58" s="3"/>
      <c r="AT58" s="3"/>
      <c r="AU58" s="3"/>
      <c r="AV58" s="3"/>
      <c r="AW58" s="3"/>
      <c r="AX58" s="6"/>
      <c r="AY58" s="3"/>
      <c r="AZ58" s="3"/>
      <c r="BA58" s="3"/>
      <c r="BB58" s="3"/>
      <c r="BC58" s="3"/>
      <c r="BD58" s="3"/>
      <c r="BE58" s="3"/>
      <c r="BI58" s="2"/>
      <c r="BM58" s="35"/>
      <c r="BP58" s="187"/>
      <c r="BQ58" s="187"/>
    </row>
    <row r="59" spans="1:69" s="1" customFormat="1" ht="25.25" customHeight="1" thickTop="1" thickBot="1" x14ac:dyDescent="0.25">
      <c r="A59" s="61"/>
      <c r="B59" s="16"/>
      <c r="C59" s="16"/>
      <c r="D59" s="16"/>
      <c r="E59" s="44"/>
      <c r="AH59" s="12"/>
      <c r="AI59" s="3"/>
      <c r="AJ59" s="16"/>
      <c r="AK59" s="16"/>
      <c r="AL59" s="16"/>
      <c r="AM59" s="16"/>
      <c r="AN59" s="16"/>
      <c r="AO59" s="3"/>
      <c r="AP59" s="3"/>
      <c r="AQ59" s="3"/>
      <c r="AR59" s="3"/>
      <c r="AS59" s="3"/>
      <c r="AT59" s="3"/>
      <c r="AU59" s="3"/>
      <c r="AV59" s="3"/>
      <c r="AW59" s="3"/>
      <c r="AX59" s="6"/>
      <c r="AY59" s="3"/>
      <c r="AZ59" s="3"/>
      <c r="BA59" s="3"/>
      <c r="BB59" s="3"/>
      <c r="BC59" s="3"/>
      <c r="BD59" s="3"/>
      <c r="BE59" s="3"/>
      <c r="BG59" s="5"/>
      <c r="BM59" s="35"/>
    </row>
    <row r="60" spans="1:69" s="1" customFormat="1" ht="25.25" customHeight="1" thickTop="1" x14ac:dyDescent="0.2">
      <c r="A60" s="61"/>
      <c r="B60" s="16"/>
      <c r="C60" s="16"/>
      <c r="D60" s="16"/>
      <c r="E60" s="44"/>
      <c r="F60" s="188" t="s">
        <v>124</v>
      </c>
      <c r="G60" s="189"/>
      <c r="H60" s="189"/>
      <c r="I60" s="189"/>
      <c r="J60" s="189"/>
      <c r="K60" s="189"/>
      <c r="L60" s="189"/>
      <c r="M60" s="189"/>
      <c r="N60" s="189"/>
      <c r="O60" s="189"/>
      <c r="P60" s="190"/>
      <c r="AH60" s="12"/>
      <c r="AI60" s="3"/>
      <c r="AJ60" s="16"/>
      <c r="AK60" s="16"/>
      <c r="AL60" s="16"/>
      <c r="AM60" s="16"/>
      <c r="AN60" s="16"/>
      <c r="AO60" s="3"/>
      <c r="AR60" s="3"/>
      <c r="AS60" s="3"/>
      <c r="AT60" s="3"/>
      <c r="AU60" s="3"/>
      <c r="AV60" s="3"/>
      <c r="AW60" s="3"/>
      <c r="AX60" s="6"/>
      <c r="AY60" s="3"/>
      <c r="AZ60" s="3"/>
      <c r="BA60" s="3"/>
      <c r="BB60" s="3"/>
      <c r="BC60" s="3"/>
      <c r="BD60" s="3"/>
      <c r="BE60" s="3"/>
      <c r="BG60" s="5"/>
      <c r="BM60" s="35"/>
    </row>
    <row r="61" spans="1:69" s="1" customFormat="1" ht="25.25" customHeight="1" thickBot="1" x14ac:dyDescent="0.25">
      <c r="A61" s="61"/>
      <c r="B61" s="16"/>
      <c r="C61" s="16"/>
      <c r="D61" s="16"/>
      <c r="E61" s="44"/>
      <c r="F61" s="191"/>
      <c r="G61" s="192"/>
      <c r="H61" s="192"/>
      <c r="I61" s="192"/>
      <c r="J61" s="192"/>
      <c r="K61" s="192"/>
      <c r="L61" s="192"/>
      <c r="M61" s="192"/>
      <c r="N61" s="192"/>
      <c r="O61" s="192"/>
      <c r="P61" s="193"/>
      <c r="AH61" s="12"/>
      <c r="AI61" s="3"/>
      <c r="AJ61" s="16"/>
      <c r="AK61" s="16"/>
      <c r="AL61" s="16"/>
      <c r="AM61" s="16"/>
      <c r="AN61" s="16"/>
      <c r="AO61" s="3"/>
      <c r="AR61" s="3"/>
      <c r="AS61" s="3"/>
      <c r="AT61" s="3"/>
      <c r="AU61" s="3"/>
      <c r="AV61" s="3"/>
      <c r="AW61" s="3"/>
      <c r="AX61" s="6"/>
      <c r="AY61" s="3"/>
      <c r="AZ61" s="3"/>
      <c r="BA61" s="3"/>
      <c r="BB61" s="3"/>
      <c r="BC61" s="3"/>
      <c r="BD61" s="3"/>
      <c r="BE61" s="3"/>
      <c r="BG61" s="5"/>
      <c r="BM61" s="35"/>
    </row>
    <row r="62" spans="1:69" s="1" customFormat="1" ht="25.25" customHeight="1" thickTop="1" x14ac:dyDescent="0.2">
      <c r="A62" s="61"/>
      <c r="B62" s="16"/>
      <c r="C62" s="16"/>
      <c r="D62" s="16"/>
      <c r="E62" s="44"/>
      <c r="AH62" s="12"/>
      <c r="AI62" s="3"/>
      <c r="AJ62" s="16"/>
      <c r="AK62" s="16"/>
      <c r="AL62" s="16"/>
      <c r="AM62" s="16"/>
      <c r="AN62" s="16"/>
      <c r="AO62" s="3"/>
      <c r="AP62" s="3"/>
      <c r="AQ62" s="3"/>
      <c r="AR62" s="3"/>
      <c r="AS62" s="3"/>
      <c r="AT62" s="3"/>
      <c r="AU62" s="3"/>
      <c r="AV62" s="3"/>
      <c r="AW62" s="3"/>
      <c r="AX62" s="6"/>
      <c r="AY62" s="3"/>
      <c r="AZ62" s="3"/>
      <c r="BA62" s="3"/>
      <c r="BB62" s="3"/>
      <c r="BC62" s="3"/>
      <c r="BD62" s="3"/>
      <c r="BE62" s="3"/>
      <c r="BG62" s="5"/>
      <c r="BM62" s="35"/>
    </row>
    <row r="63" spans="1:69" s="1" customFormat="1" ht="25.25" customHeight="1" x14ac:dyDescent="0.2">
      <c r="A63" s="61"/>
      <c r="B63" s="16"/>
      <c r="C63" s="16"/>
      <c r="D63" s="16"/>
      <c r="E63" s="44"/>
      <c r="AH63" s="12"/>
      <c r="AI63" s="3"/>
      <c r="AJ63" s="16"/>
      <c r="AK63" s="16"/>
      <c r="AL63" s="16"/>
      <c r="AM63" s="16"/>
      <c r="AN63" s="16"/>
      <c r="AO63" s="3"/>
      <c r="AP63" s="3"/>
      <c r="AQ63" s="3"/>
      <c r="AR63" s="3"/>
      <c r="AS63" s="3"/>
      <c r="AT63" s="3"/>
      <c r="AU63" s="3"/>
      <c r="AV63" s="3"/>
      <c r="AW63" s="3"/>
      <c r="AX63" s="6"/>
      <c r="AY63" s="3"/>
      <c r="AZ63" s="3"/>
      <c r="BA63" s="3"/>
      <c r="BB63" s="3"/>
      <c r="BC63" s="3"/>
      <c r="BD63" s="3"/>
      <c r="BE63" s="3"/>
      <c r="BG63" s="5"/>
      <c r="BM63" s="35"/>
    </row>
    <row r="64" spans="1:69" s="1" customFormat="1" ht="25.25" customHeight="1" x14ac:dyDescent="0.2">
      <c r="A64" s="61"/>
      <c r="B64" s="16"/>
      <c r="C64" s="16"/>
      <c r="D64" s="16"/>
      <c r="E64" s="44"/>
      <c r="AH64" s="12"/>
      <c r="AI64" s="3"/>
      <c r="AJ64" s="16"/>
      <c r="AK64" s="16"/>
      <c r="AL64" s="16"/>
      <c r="AM64" s="16"/>
      <c r="AN64" s="16"/>
      <c r="AO64" s="3"/>
      <c r="AP64" s="3"/>
      <c r="AQ64" s="3"/>
      <c r="AR64" s="3"/>
      <c r="AS64" s="3"/>
      <c r="AT64" s="3"/>
      <c r="AU64" s="3"/>
      <c r="AV64" s="3"/>
      <c r="AW64" s="3"/>
      <c r="AX64" s="6"/>
      <c r="AY64" s="3"/>
      <c r="AZ64" s="3"/>
      <c r="BA64" s="3"/>
      <c r="BB64" s="3"/>
      <c r="BC64" s="3"/>
      <c r="BD64" s="3"/>
      <c r="BE64" s="3"/>
      <c r="BG64" s="5"/>
      <c r="BM64" s="35"/>
    </row>
    <row r="65" spans="1:65" s="1" customFormat="1" ht="25.25" customHeight="1" x14ac:dyDescent="0.2">
      <c r="A65" s="61"/>
      <c r="B65" s="16"/>
      <c r="C65" s="16"/>
      <c r="D65" s="16"/>
      <c r="E65" s="44"/>
      <c r="AH65" s="12"/>
      <c r="AI65" s="3"/>
      <c r="AJ65" s="16"/>
      <c r="AK65" s="16"/>
      <c r="AL65" s="16"/>
      <c r="AM65" s="16"/>
      <c r="AN65" s="16"/>
      <c r="AO65" s="3"/>
      <c r="AP65" s="3"/>
      <c r="AQ65" s="3"/>
      <c r="AR65" s="3"/>
      <c r="AS65" s="3"/>
      <c r="AT65" s="3"/>
      <c r="AU65" s="3"/>
      <c r="AV65" s="3"/>
      <c r="AW65" s="3"/>
      <c r="AX65" s="6"/>
      <c r="AY65" s="3"/>
      <c r="AZ65" s="3"/>
      <c r="BA65" s="3"/>
      <c r="BB65" s="3"/>
      <c r="BC65" s="3"/>
      <c r="BD65" s="3"/>
      <c r="BE65" s="3"/>
      <c r="BG65" s="5"/>
      <c r="BM65" s="35"/>
    </row>
    <row r="66" spans="1:65" s="1" customFormat="1" ht="25.25" customHeight="1" x14ac:dyDescent="0.2">
      <c r="A66" s="61"/>
      <c r="B66" s="16"/>
      <c r="C66" s="16"/>
      <c r="D66" s="16"/>
      <c r="E66" s="44"/>
      <c r="AH66" s="12"/>
      <c r="AI66" s="3"/>
      <c r="AJ66" s="16"/>
      <c r="AK66" s="16"/>
      <c r="AL66" s="16"/>
      <c r="AM66" s="16"/>
      <c r="AN66" s="16"/>
      <c r="AO66" s="3"/>
      <c r="AP66" s="3"/>
      <c r="AQ66" s="3"/>
      <c r="AR66" s="3"/>
      <c r="AS66" s="3"/>
      <c r="AT66" s="3"/>
      <c r="AU66" s="3"/>
      <c r="AV66" s="3"/>
      <c r="AW66" s="3"/>
      <c r="AX66" s="6"/>
      <c r="AY66" s="3"/>
      <c r="AZ66" s="3"/>
      <c r="BA66" s="3"/>
      <c r="BB66" s="3"/>
      <c r="BC66" s="3"/>
      <c r="BD66" s="3"/>
      <c r="BE66" s="3"/>
      <c r="BG66" s="5"/>
      <c r="BM66" s="35"/>
    </row>
    <row r="67" spans="1:65" s="1" customFormat="1" ht="25.25" customHeight="1" x14ac:dyDescent="0.2">
      <c r="A67" s="61"/>
      <c r="B67" s="16"/>
      <c r="C67" s="16"/>
      <c r="D67" s="16"/>
      <c r="E67" s="44"/>
      <c r="AH67" s="12"/>
      <c r="AI67" s="3"/>
      <c r="AJ67" s="16"/>
      <c r="AK67" s="16"/>
      <c r="AL67" s="16"/>
      <c r="AM67" s="16"/>
      <c r="AN67" s="16"/>
      <c r="AO67" s="3"/>
      <c r="AP67" s="3"/>
      <c r="AQ67" s="3"/>
      <c r="AR67" s="3"/>
      <c r="AS67" s="3"/>
      <c r="AT67" s="3"/>
      <c r="AU67" s="3"/>
      <c r="AV67" s="3"/>
      <c r="AW67" s="3"/>
      <c r="AX67" s="6"/>
      <c r="AY67" s="3"/>
      <c r="AZ67" s="3"/>
      <c r="BA67" s="3"/>
      <c r="BB67" s="3"/>
      <c r="BC67" s="3"/>
      <c r="BD67" s="3"/>
      <c r="BE67" s="3"/>
      <c r="BG67" s="5"/>
      <c r="BM67" s="35"/>
    </row>
    <row r="68" spans="1:65" s="1" customFormat="1" ht="25.25" customHeight="1" x14ac:dyDescent="0.2">
      <c r="A68" s="61"/>
      <c r="B68" s="16"/>
      <c r="C68" s="16"/>
      <c r="D68" s="16"/>
      <c r="E68" s="44"/>
      <c r="AH68" s="12"/>
      <c r="AI68" s="3"/>
      <c r="AJ68" s="16"/>
      <c r="AK68" s="16"/>
      <c r="AL68" s="16"/>
      <c r="AM68" s="16"/>
      <c r="AN68" s="16"/>
      <c r="AO68" s="3"/>
      <c r="AP68" s="3"/>
      <c r="AQ68" s="3"/>
      <c r="AR68" s="3"/>
      <c r="AS68" s="3"/>
      <c r="AT68" s="3"/>
      <c r="AU68" s="3"/>
      <c r="AV68" s="3"/>
      <c r="AW68" s="3"/>
      <c r="AX68" s="6"/>
      <c r="AY68" s="3"/>
      <c r="AZ68" s="3"/>
      <c r="BA68" s="3"/>
      <c r="BB68" s="3"/>
      <c r="BC68" s="3"/>
      <c r="BD68" s="3"/>
      <c r="BE68" s="3"/>
      <c r="BG68" s="5"/>
      <c r="BM68" s="35"/>
    </row>
    <row r="69" spans="1:65" s="1" customFormat="1" ht="25.25" customHeight="1" x14ac:dyDescent="0.2">
      <c r="A69" s="61"/>
      <c r="B69" s="16"/>
      <c r="C69" s="16"/>
      <c r="D69" s="16"/>
      <c r="E69" s="44"/>
      <c r="AH69" s="12"/>
      <c r="AI69" s="3"/>
      <c r="AJ69" s="16"/>
      <c r="AK69" s="16"/>
      <c r="AL69" s="16"/>
      <c r="AM69" s="16"/>
      <c r="AN69" s="16"/>
      <c r="AO69" s="3"/>
      <c r="AP69" s="3"/>
      <c r="AQ69" s="3"/>
      <c r="AR69" s="3"/>
      <c r="AS69" s="3"/>
      <c r="AT69" s="3"/>
      <c r="AU69" s="3"/>
      <c r="AV69" s="3"/>
      <c r="AW69" s="3"/>
      <c r="AX69" s="6"/>
      <c r="AY69" s="3"/>
      <c r="AZ69" s="3"/>
      <c r="BA69" s="3"/>
      <c r="BB69" s="3"/>
      <c r="BC69" s="3"/>
      <c r="BD69" s="3"/>
      <c r="BE69" s="3"/>
      <c r="BG69" s="5"/>
      <c r="BM69" s="35"/>
    </row>
    <row r="70" spans="1:65" s="1" customFormat="1" ht="25.25" customHeight="1" x14ac:dyDescent="0.2">
      <c r="A70" s="61"/>
      <c r="B70" s="16"/>
      <c r="C70" s="16"/>
      <c r="D70" s="16"/>
      <c r="E70" s="44"/>
      <c r="AH70" s="12"/>
      <c r="AI70" s="3"/>
      <c r="AJ70" s="16"/>
      <c r="AK70" s="16"/>
      <c r="AL70" s="16"/>
      <c r="AM70" s="16"/>
      <c r="AN70" s="16"/>
      <c r="AO70" s="3"/>
      <c r="AP70" s="3"/>
      <c r="AQ70" s="3"/>
      <c r="AR70" s="3"/>
      <c r="AS70" s="3"/>
      <c r="AT70" s="3"/>
      <c r="AU70" s="3"/>
      <c r="AV70" s="3"/>
      <c r="AW70" s="3"/>
      <c r="AX70" s="6"/>
      <c r="AY70" s="3"/>
      <c r="AZ70" s="3"/>
      <c r="BA70" s="3"/>
      <c r="BB70" s="3"/>
      <c r="BC70" s="3"/>
      <c r="BD70" s="3"/>
      <c r="BE70" s="3"/>
      <c r="BG70" s="5"/>
      <c r="BM70" s="35"/>
    </row>
    <row r="71" spans="1:65" s="1" customFormat="1" ht="25.25" customHeight="1" x14ac:dyDescent="0.2">
      <c r="A71" s="61"/>
      <c r="B71" s="16"/>
      <c r="C71" s="16"/>
      <c r="D71" s="16"/>
      <c r="E71" s="44"/>
      <c r="AH71" s="12"/>
      <c r="AI71" s="3"/>
      <c r="AJ71" s="16"/>
      <c r="AK71" s="16"/>
      <c r="AL71" s="16"/>
      <c r="AM71" s="16"/>
      <c r="AN71" s="16"/>
      <c r="AO71" s="3"/>
      <c r="AP71" s="3"/>
      <c r="AQ71" s="3"/>
      <c r="AR71" s="3"/>
      <c r="AS71" s="3"/>
      <c r="AT71" s="3"/>
      <c r="AU71" s="3"/>
      <c r="AV71" s="3"/>
      <c r="AW71" s="3"/>
      <c r="AX71" s="6"/>
      <c r="AY71" s="3"/>
      <c r="AZ71" s="3"/>
      <c r="BA71" s="3"/>
      <c r="BB71" s="3"/>
      <c r="BC71" s="3"/>
      <c r="BD71" s="3"/>
      <c r="BE71" s="3"/>
      <c r="BG71" s="5"/>
      <c r="BM71" s="35"/>
    </row>
    <row r="72" spans="1:65" s="1" customFormat="1" ht="25.25" customHeight="1" x14ac:dyDescent="0.2">
      <c r="A72" s="61"/>
      <c r="B72" s="16"/>
      <c r="C72" s="16"/>
      <c r="D72" s="16"/>
      <c r="E72" s="44"/>
      <c r="AH72" s="12"/>
      <c r="AI72" s="3"/>
      <c r="AJ72" s="16"/>
      <c r="AK72" s="16"/>
      <c r="AL72" s="16"/>
      <c r="AM72" s="16"/>
      <c r="AN72" s="16"/>
      <c r="AO72" s="3"/>
      <c r="AP72" s="3"/>
      <c r="AQ72" s="3"/>
      <c r="AR72" s="3"/>
      <c r="AS72" s="3"/>
      <c r="AT72" s="3"/>
      <c r="AU72" s="3"/>
      <c r="AV72" s="3"/>
      <c r="AW72" s="3"/>
      <c r="AX72" s="6"/>
      <c r="AY72" s="3"/>
      <c r="AZ72" s="3"/>
      <c r="BA72" s="3"/>
      <c r="BB72" s="3"/>
      <c r="BC72" s="3"/>
      <c r="BD72" s="3"/>
      <c r="BE72" s="3"/>
      <c r="BG72" s="5"/>
      <c r="BM72" s="35"/>
    </row>
    <row r="73" spans="1:65" s="1" customFormat="1" ht="25.25" customHeight="1" x14ac:dyDescent="0.2">
      <c r="A73" s="61"/>
      <c r="B73" s="16"/>
      <c r="C73" s="16"/>
      <c r="D73" s="16"/>
      <c r="E73" s="44"/>
      <c r="AH73" s="12"/>
      <c r="AI73" s="3"/>
      <c r="AJ73" s="16"/>
      <c r="AK73" s="16"/>
      <c r="AL73" s="16"/>
      <c r="AM73" s="16"/>
      <c r="AN73" s="16"/>
      <c r="AO73" s="3"/>
      <c r="AP73" s="3"/>
      <c r="AQ73" s="3"/>
      <c r="AR73" s="3"/>
      <c r="AS73" s="3"/>
      <c r="AT73" s="3"/>
      <c r="AU73" s="3"/>
      <c r="AV73" s="3"/>
      <c r="AW73" s="3"/>
      <c r="AX73" s="6"/>
      <c r="AY73" s="3"/>
      <c r="AZ73" s="3"/>
      <c r="BA73" s="3"/>
      <c r="BB73" s="3"/>
      <c r="BC73" s="3"/>
      <c r="BD73" s="3"/>
      <c r="BE73" s="3"/>
      <c r="BG73" s="5"/>
      <c r="BM73" s="35"/>
    </row>
    <row r="74" spans="1:65" s="1" customFormat="1" ht="25.25" customHeight="1" x14ac:dyDescent="0.2">
      <c r="A74" s="61"/>
      <c r="B74" s="16"/>
      <c r="C74" s="16"/>
      <c r="D74" s="16"/>
      <c r="E74" s="44"/>
      <c r="AH74" s="12"/>
      <c r="AI74" s="3"/>
      <c r="AJ74" s="16"/>
      <c r="AK74" s="16"/>
      <c r="AL74" s="16"/>
      <c r="AM74" s="16"/>
      <c r="AN74" s="16"/>
      <c r="AO74" s="3"/>
      <c r="AP74" s="3"/>
      <c r="AQ74" s="3"/>
      <c r="AR74" s="3"/>
      <c r="AS74" s="3"/>
      <c r="AT74" s="3"/>
      <c r="AU74" s="3"/>
      <c r="AV74" s="3"/>
      <c r="AW74" s="3"/>
      <c r="AX74" s="6"/>
      <c r="AY74" s="3"/>
      <c r="AZ74" s="3"/>
      <c r="BA74" s="3"/>
      <c r="BB74" s="3"/>
      <c r="BC74" s="3"/>
      <c r="BD74" s="3"/>
      <c r="BE74" s="3"/>
      <c r="BG74" s="5"/>
      <c r="BM74" s="35"/>
    </row>
    <row r="75" spans="1:65" s="1" customFormat="1" ht="25.25" customHeight="1" x14ac:dyDescent="0.2">
      <c r="A75" s="61"/>
      <c r="B75" s="16"/>
      <c r="C75" s="16"/>
      <c r="D75" s="16"/>
      <c r="E75" s="44"/>
      <c r="AH75" s="12"/>
      <c r="AI75" s="3"/>
      <c r="AJ75" s="16"/>
      <c r="AK75" s="16"/>
      <c r="AL75" s="16"/>
      <c r="AM75" s="16"/>
      <c r="AN75" s="16"/>
      <c r="AO75" s="3"/>
      <c r="AP75" s="3"/>
      <c r="AQ75" s="3"/>
      <c r="AR75" s="3"/>
      <c r="AS75" s="3"/>
      <c r="AT75" s="3"/>
      <c r="AU75" s="3"/>
      <c r="AV75" s="3"/>
      <c r="AW75" s="3"/>
      <c r="AX75" s="6"/>
      <c r="AY75" s="3"/>
      <c r="AZ75" s="3"/>
      <c r="BA75" s="3"/>
      <c r="BB75" s="3"/>
      <c r="BC75" s="3"/>
      <c r="BD75" s="3"/>
      <c r="BE75" s="3"/>
      <c r="BG75" s="5"/>
      <c r="BM75" s="35"/>
    </row>
    <row r="76" spans="1:65" s="1" customFormat="1" ht="25.25" customHeight="1" x14ac:dyDescent="0.2">
      <c r="A76" s="61"/>
      <c r="B76" s="16"/>
      <c r="C76" s="16"/>
      <c r="D76" s="16"/>
      <c r="E76" s="44"/>
      <c r="AH76" s="12"/>
      <c r="AI76" s="3"/>
      <c r="AJ76" s="16"/>
      <c r="AK76" s="16"/>
      <c r="AL76" s="16"/>
      <c r="AM76" s="16"/>
      <c r="AN76" s="16"/>
      <c r="AO76" s="3"/>
      <c r="AP76" s="3"/>
      <c r="AQ76" s="3"/>
      <c r="AR76" s="3"/>
      <c r="AS76" s="3"/>
      <c r="AT76" s="3"/>
      <c r="AU76" s="3"/>
      <c r="AV76" s="3"/>
      <c r="AW76" s="3"/>
      <c r="AX76" s="6"/>
      <c r="AY76" s="3"/>
      <c r="AZ76" s="3"/>
      <c r="BA76" s="3"/>
      <c r="BB76" s="3"/>
      <c r="BC76" s="3"/>
      <c r="BD76" s="3"/>
      <c r="BE76" s="3"/>
      <c r="BG76" s="5"/>
      <c r="BM76" s="35"/>
    </row>
    <row r="77" spans="1:65" s="1" customFormat="1" ht="25.25" customHeight="1" x14ac:dyDescent="0.2">
      <c r="A77" s="61"/>
      <c r="B77" s="16"/>
      <c r="C77" s="16"/>
      <c r="D77" s="16"/>
      <c r="E77" s="44"/>
      <c r="AH77" s="12"/>
      <c r="AI77" s="3"/>
      <c r="AJ77" s="16"/>
      <c r="AK77" s="16"/>
      <c r="AL77" s="16"/>
      <c r="AM77" s="16"/>
      <c r="AN77" s="16"/>
      <c r="AO77" s="3"/>
      <c r="AP77" s="3"/>
      <c r="AQ77" s="3"/>
      <c r="AR77" s="3"/>
      <c r="AS77" s="3"/>
      <c r="AT77" s="3"/>
      <c r="AU77" s="3"/>
      <c r="AV77" s="3"/>
      <c r="AW77" s="3"/>
      <c r="AX77" s="6"/>
      <c r="AY77" s="3"/>
      <c r="AZ77" s="3"/>
      <c r="BA77" s="3"/>
      <c r="BB77" s="3"/>
      <c r="BC77" s="3"/>
      <c r="BD77" s="3"/>
      <c r="BE77" s="3"/>
      <c r="BG77" s="5"/>
      <c r="BM77" s="35"/>
    </row>
    <row r="78" spans="1:65" s="1" customFormat="1" ht="25.25" customHeight="1" x14ac:dyDescent="0.2">
      <c r="A78" s="61"/>
      <c r="B78" s="16"/>
      <c r="C78" s="16"/>
      <c r="D78" s="16"/>
      <c r="E78" s="44"/>
      <c r="AH78" s="12"/>
      <c r="AI78" s="3"/>
      <c r="AJ78" s="16"/>
      <c r="AK78" s="16"/>
      <c r="AL78" s="16"/>
      <c r="AM78" s="16"/>
      <c r="AN78" s="16"/>
      <c r="AO78" s="3"/>
      <c r="AP78" s="3"/>
      <c r="AQ78" s="3"/>
      <c r="AR78" s="3"/>
      <c r="AS78" s="3"/>
      <c r="AT78" s="3"/>
      <c r="AU78" s="3"/>
      <c r="AV78" s="3"/>
      <c r="AW78" s="3"/>
      <c r="AX78" s="6"/>
      <c r="AY78" s="3"/>
      <c r="AZ78" s="3"/>
      <c r="BA78" s="3"/>
      <c r="BB78" s="3"/>
      <c r="BC78" s="3"/>
      <c r="BD78" s="3"/>
      <c r="BE78" s="3"/>
      <c r="BG78" s="5"/>
      <c r="BM78" s="35"/>
    </row>
    <row r="79" spans="1:65" s="1" customFormat="1" ht="25.25" customHeight="1" x14ac:dyDescent="0.2">
      <c r="A79" s="61"/>
      <c r="B79" s="16"/>
      <c r="C79" s="16"/>
      <c r="D79" s="16"/>
      <c r="E79" s="44"/>
      <c r="AH79" s="12"/>
      <c r="AI79" s="3"/>
      <c r="AJ79" s="16"/>
      <c r="AK79" s="16"/>
      <c r="AL79" s="16"/>
      <c r="AM79" s="16"/>
      <c r="AN79" s="16"/>
      <c r="AO79" s="3"/>
      <c r="AP79" s="3"/>
      <c r="AQ79" s="3"/>
      <c r="AR79" s="3"/>
      <c r="AS79" s="3"/>
      <c r="AT79" s="3"/>
      <c r="AU79" s="3"/>
      <c r="AV79" s="3"/>
      <c r="AW79" s="3"/>
      <c r="AX79" s="6"/>
      <c r="AY79" s="3"/>
      <c r="AZ79" s="3"/>
      <c r="BA79" s="3"/>
      <c r="BB79" s="3"/>
      <c r="BC79" s="3"/>
      <c r="BD79" s="3"/>
      <c r="BE79" s="3"/>
      <c r="BG79" s="5"/>
      <c r="BM79" s="35"/>
    </row>
    <row r="80" spans="1:65" s="1" customFormat="1" ht="25.25" customHeight="1" x14ac:dyDescent="0.2">
      <c r="A80" s="61"/>
      <c r="B80" s="16"/>
      <c r="C80" s="16"/>
      <c r="D80" s="16"/>
      <c r="E80" s="44"/>
      <c r="AH80" s="12"/>
      <c r="AI80" s="3"/>
      <c r="AJ80" s="16"/>
      <c r="AK80" s="16"/>
      <c r="AL80" s="16"/>
      <c r="AM80" s="16"/>
      <c r="AN80" s="16"/>
      <c r="AO80" s="3"/>
      <c r="AP80" s="3"/>
      <c r="AQ80" s="3"/>
      <c r="AR80" s="3"/>
      <c r="AS80" s="3"/>
      <c r="AT80" s="3"/>
      <c r="AU80" s="3"/>
      <c r="AV80" s="3"/>
      <c r="AW80" s="3"/>
      <c r="AX80" s="6"/>
      <c r="AY80" s="3"/>
      <c r="AZ80" s="3"/>
      <c r="BA80" s="3"/>
      <c r="BB80" s="3"/>
      <c r="BC80" s="3"/>
      <c r="BD80" s="3"/>
      <c r="BE80" s="3"/>
      <c r="BG80" s="5"/>
      <c r="BM80" s="35"/>
    </row>
    <row r="81" spans="1:65" s="1" customFormat="1" ht="25.25" customHeight="1" x14ac:dyDescent="0.2">
      <c r="A81" s="61"/>
      <c r="B81" s="16"/>
      <c r="C81" s="16"/>
      <c r="D81" s="16"/>
      <c r="E81" s="44"/>
      <c r="AH81" s="12"/>
      <c r="AI81" s="3"/>
      <c r="AJ81" s="16"/>
      <c r="AK81" s="16"/>
      <c r="AL81" s="16"/>
      <c r="AM81" s="16"/>
      <c r="AN81" s="16"/>
      <c r="AO81" s="3"/>
      <c r="AP81" s="3"/>
      <c r="AQ81" s="3"/>
      <c r="AR81" s="3"/>
      <c r="AS81" s="3"/>
      <c r="AT81" s="3"/>
      <c r="AU81" s="3"/>
      <c r="AV81" s="3"/>
      <c r="AW81" s="3"/>
      <c r="AX81" s="6"/>
      <c r="AY81" s="3"/>
      <c r="AZ81" s="3"/>
      <c r="BA81" s="3"/>
      <c r="BB81" s="3"/>
      <c r="BC81" s="3"/>
      <c r="BD81" s="3"/>
      <c r="BE81" s="3"/>
      <c r="BG81" s="5"/>
      <c r="BM81" s="35"/>
    </row>
    <row r="82" spans="1:65" s="1" customFormat="1" ht="25.25" customHeight="1" x14ac:dyDescent="0.2">
      <c r="A82" s="61"/>
      <c r="B82" s="16"/>
      <c r="C82" s="16"/>
      <c r="D82" s="16"/>
      <c r="E82" s="44"/>
      <c r="AH82" s="12"/>
      <c r="AI82" s="3"/>
      <c r="AJ82" s="16"/>
      <c r="AK82" s="16"/>
      <c r="AL82" s="16"/>
      <c r="AM82" s="16"/>
      <c r="AN82" s="16"/>
      <c r="AO82" s="3"/>
      <c r="AP82" s="3"/>
      <c r="AQ82" s="3"/>
      <c r="AR82" s="3"/>
      <c r="AS82" s="3"/>
      <c r="AT82" s="3"/>
      <c r="AU82" s="3"/>
      <c r="AV82" s="3"/>
      <c r="AW82" s="3"/>
      <c r="AX82" s="6"/>
      <c r="AY82" s="3"/>
      <c r="AZ82" s="3"/>
      <c r="BA82" s="3"/>
      <c r="BB82" s="3"/>
      <c r="BC82" s="3"/>
      <c r="BD82" s="3"/>
      <c r="BE82" s="3"/>
      <c r="BG82" s="5"/>
      <c r="BM82" s="35"/>
    </row>
    <row r="83" spans="1:65" s="1" customFormat="1" ht="25.25" customHeight="1" x14ac:dyDescent="0.2">
      <c r="A83" s="61"/>
      <c r="B83" s="16"/>
      <c r="C83" s="16"/>
      <c r="D83" s="16"/>
      <c r="E83" s="44"/>
      <c r="AH83" s="12"/>
      <c r="AI83" s="3"/>
      <c r="AJ83" s="16"/>
      <c r="AK83" s="16"/>
      <c r="AL83" s="16"/>
      <c r="AM83" s="16"/>
      <c r="AN83" s="16"/>
      <c r="AO83" s="3"/>
      <c r="AP83" s="3"/>
      <c r="AQ83" s="3"/>
      <c r="AR83" s="3"/>
      <c r="AS83" s="3"/>
      <c r="AT83" s="3"/>
      <c r="AU83" s="3"/>
      <c r="AV83" s="3"/>
      <c r="AW83" s="3"/>
      <c r="AX83" s="6"/>
      <c r="AY83" s="3"/>
      <c r="AZ83" s="3"/>
      <c r="BA83" s="3"/>
      <c r="BB83" s="3"/>
      <c r="BC83" s="3"/>
      <c r="BD83" s="3"/>
      <c r="BE83" s="3"/>
      <c r="BG83" s="5"/>
      <c r="BM83" s="35"/>
    </row>
    <row r="84" spans="1:65" s="1" customFormat="1" ht="25.25" customHeight="1" x14ac:dyDescent="0.2">
      <c r="A84" s="61"/>
      <c r="B84" s="16"/>
      <c r="C84" s="16"/>
      <c r="D84" s="16"/>
      <c r="E84" s="44"/>
      <c r="AH84" s="12"/>
      <c r="AI84" s="3"/>
      <c r="AJ84" s="16"/>
      <c r="AK84" s="16"/>
      <c r="AL84" s="16"/>
      <c r="AM84" s="16"/>
      <c r="AN84" s="16"/>
      <c r="AO84" s="3"/>
      <c r="AP84" s="3"/>
      <c r="AQ84" s="3"/>
      <c r="AR84" s="3"/>
      <c r="AS84" s="3"/>
      <c r="AT84" s="3"/>
      <c r="AU84" s="3"/>
      <c r="AV84" s="3"/>
      <c r="AW84" s="3"/>
      <c r="AX84" s="6"/>
      <c r="AY84" s="3"/>
      <c r="AZ84" s="3"/>
      <c r="BA84" s="3"/>
      <c r="BB84" s="3"/>
      <c r="BC84" s="3"/>
      <c r="BD84" s="3"/>
      <c r="BE84" s="3"/>
      <c r="BG84" s="5"/>
      <c r="BM84" s="35"/>
    </row>
    <row r="85" spans="1:65" s="1" customFormat="1" ht="25.25" customHeight="1" x14ac:dyDescent="0.2">
      <c r="A85" s="61"/>
      <c r="B85" s="16"/>
      <c r="C85" s="16"/>
      <c r="D85" s="16"/>
      <c r="E85" s="16"/>
      <c r="AH85" s="12"/>
      <c r="AI85" s="3"/>
      <c r="AJ85" s="16"/>
      <c r="AK85" s="16"/>
      <c r="AL85" s="16"/>
      <c r="AM85" s="16"/>
      <c r="AN85" s="16"/>
      <c r="AO85" s="3"/>
      <c r="AP85" s="3"/>
      <c r="AQ85" s="3"/>
      <c r="AR85" s="3"/>
      <c r="AS85" s="3"/>
      <c r="AT85" s="3"/>
      <c r="AU85" s="3"/>
      <c r="AV85" s="3"/>
      <c r="AW85" s="3"/>
      <c r="AX85" s="6"/>
      <c r="AY85" s="3"/>
      <c r="AZ85" s="3"/>
      <c r="BA85" s="3"/>
      <c r="BB85" s="3"/>
      <c r="BC85" s="3"/>
      <c r="BD85" s="3"/>
      <c r="BE85" s="3"/>
      <c r="BG85" s="5"/>
      <c r="BM85" s="35"/>
    </row>
    <row r="86" spans="1:65" s="1" customFormat="1" ht="25.25" customHeight="1" x14ac:dyDescent="0.2">
      <c r="A86" s="61"/>
      <c r="B86" s="16"/>
      <c r="C86" s="16"/>
      <c r="D86" s="16"/>
      <c r="E86" s="16"/>
      <c r="AH86" s="12"/>
      <c r="AI86" s="3"/>
      <c r="AJ86" s="16"/>
      <c r="AK86" s="16"/>
      <c r="AL86" s="16"/>
      <c r="AM86" s="16"/>
      <c r="AN86" s="16"/>
      <c r="AO86" s="3"/>
      <c r="AP86" s="3"/>
      <c r="AQ86" s="3"/>
      <c r="AR86" s="3"/>
      <c r="AS86" s="3"/>
      <c r="AT86" s="3"/>
      <c r="AU86" s="3"/>
      <c r="AV86" s="3"/>
      <c r="AW86" s="3"/>
      <c r="AX86" s="6"/>
      <c r="AY86" s="3"/>
      <c r="AZ86" s="3"/>
      <c r="BA86" s="3"/>
      <c r="BB86" s="3"/>
      <c r="BC86" s="3"/>
      <c r="BD86" s="3"/>
      <c r="BE86" s="3"/>
      <c r="BG86" s="5"/>
      <c r="BM86" s="35"/>
    </row>
    <row r="87" spans="1:65" s="1" customFormat="1" ht="25.25" customHeight="1" x14ac:dyDescent="0.15">
      <c r="A87" s="61"/>
      <c r="B87" s="16"/>
      <c r="C87" s="16"/>
      <c r="D87" s="16"/>
      <c r="E87" s="16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16"/>
      <c r="AK87" s="16"/>
      <c r="AL87" s="16"/>
      <c r="AM87" s="16"/>
      <c r="AN87" s="16"/>
      <c r="AO87" s="3"/>
      <c r="AP87" s="3"/>
      <c r="AQ87" s="3"/>
      <c r="AR87" s="3"/>
      <c r="AS87" s="3"/>
      <c r="AT87" s="3"/>
      <c r="AU87" s="3"/>
      <c r="AV87" s="3"/>
      <c r="AW87" s="3"/>
      <c r="AX87" s="6"/>
      <c r="AY87" s="3"/>
      <c r="AZ87" s="3"/>
      <c r="BA87" s="3"/>
      <c r="BB87" s="3"/>
      <c r="BC87" s="3"/>
      <c r="BD87" s="3"/>
      <c r="BE87" s="3"/>
      <c r="BG87" s="5"/>
      <c r="BM87" s="35"/>
    </row>
    <row r="88" spans="1:65" s="1" customFormat="1" x14ac:dyDescent="0.15">
      <c r="A88" s="61"/>
      <c r="B88" s="16"/>
      <c r="C88" s="16"/>
      <c r="D88" s="16"/>
      <c r="E88" s="16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 s="16"/>
      <c r="AK88" s="16"/>
      <c r="AL88" s="16"/>
      <c r="AM88" s="16"/>
      <c r="AN88" s="16"/>
      <c r="AO88"/>
      <c r="AP88"/>
      <c r="AQ88"/>
      <c r="AR88"/>
      <c r="AS88"/>
      <c r="AT88"/>
      <c r="AU88"/>
      <c r="AV88"/>
      <c r="AW88"/>
      <c r="AX88" s="7"/>
      <c r="AY88"/>
      <c r="AZ88"/>
      <c r="BA88"/>
      <c r="BB88"/>
      <c r="BC88"/>
      <c r="BD88"/>
      <c r="BE88"/>
      <c r="BF88"/>
      <c r="BG88" s="5"/>
      <c r="BM88" s="35"/>
    </row>
    <row r="89" spans="1:65" x14ac:dyDescent="0.15">
      <c r="B89" s="16"/>
      <c r="C89" s="16"/>
      <c r="D89" s="16"/>
      <c r="E89" s="16"/>
    </row>
    <row r="90" spans="1:65" ht="25.25" customHeight="1" x14ac:dyDescent="0.3">
      <c r="B90" s="20"/>
      <c r="C90" s="20"/>
      <c r="D90" s="20"/>
    </row>
    <row r="91" spans="1:65" ht="25.25" customHeight="1" x14ac:dyDescent="0.3">
      <c r="B91" s="20"/>
      <c r="C91" s="20"/>
      <c r="D91" s="20"/>
    </row>
    <row r="92" spans="1:65" ht="25.25" customHeight="1" x14ac:dyDescent="0.15"/>
  </sheetData>
  <mergeCells count="47">
    <mergeCell ref="B1:B2"/>
    <mergeCell ref="D1:AM2"/>
    <mergeCell ref="BH11:BI11"/>
    <mergeCell ref="BH12:BI12"/>
    <mergeCell ref="BH8:BI8"/>
    <mergeCell ref="BH10:BI10"/>
    <mergeCell ref="BH9:BI9"/>
    <mergeCell ref="BH18:BI18"/>
    <mergeCell ref="BH19:BI19"/>
    <mergeCell ref="BH20:BI20"/>
    <mergeCell ref="BH21:BI21"/>
    <mergeCell ref="BH13:BI13"/>
    <mergeCell ref="BH14:BI14"/>
    <mergeCell ref="BH15:BI15"/>
    <mergeCell ref="BH16:BI16"/>
    <mergeCell ref="BH17:BI17"/>
    <mergeCell ref="BH22:BI22"/>
    <mergeCell ref="BH23:BI23"/>
    <mergeCell ref="BH24:BI24"/>
    <mergeCell ref="BH25:BI25"/>
    <mergeCell ref="BH26:BI26"/>
    <mergeCell ref="BH35:BI35"/>
    <mergeCell ref="BH36:BI36"/>
    <mergeCell ref="BH37:BI37"/>
    <mergeCell ref="BH27:BI27"/>
    <mergeCell ref="BH28:BI28"/>
    <mergeCell ref="BH30:BI30"/>
    <mergeCell ref="BH31:BI31"/>
    <mergeCell ref="BH32:BI32"/>
    <mergeCell ref="BH33:BI33"/>
    <mergeCell ref="BH34:BI34"/>
    <mergeCell ref="BJ3:BO6"/>
    <mergeCell ref="BH49:BI49"/>
    <mergeCell ref="BP56:BQ58"/>
    <mergeCell ref="F60:P61"/>
    <mergeCell ref="BH44:BI44"/>
    <mergeCell ref="BH45:BI45"/>
    <mergeCell ref="BH46:BI46"/>
    <mergeCell ref="BH47:BI47"/>
    <mergeCell ref="BH48:BI48"/>
    <mergeCell ref="BH39:BI39"/>
    <mergeCell ref="BH40:BI40"/>
    <mergeCell ref="BH41:BI41"/>
    <mergeCell ref="BH42:BI42"/>
    <mergeCell ref="BH43:BI43"/>
    <mergeCell ref="BH38:BI38"/>
    <mergeCell ref="BH29:BI29"/>
  </mergeCells>
  <conditionalFormatting sqref="E8:E84">
    <cfRule type="expression" dxfId="21" priority="15" stopIfTrue="1">
      <formula>$E8&lt;0</formula>
    </cfRule>
  </conditionalFormatting>
  <conditionalFormatting sqref="E7:BF7">
    <cfRule type="expression" dxfId="20" priority="18" stopIfTrue="1">
      <formula>E6=1</formula>
    </cfRule>
  </conditionalFormatting>
  <conditionalFormatting sqref="F60 F8:BF51 T52:BF52 T53:X60 AH53:BF60 T61:BF67 F62:J67 F68:BF74 F75:J82 T75:BF82 F83:BF84">
    <cfRule type="expression" dxfId="19" priority="16" stopIfTrue="1">
      <formula>F8&gt;$D8</formula>
    </cfRule>
  </conditionalFormatting>
  <conditionalFormatting sqref="F60">
    <cfRule type="expression" dxfId="18" priority="3" stopIfTrue="1">
      <formula>F60&gt;$D84</formula>
    </cfRule>
    <cfRule type="expression" dxfId="17" priority="4" stopIfTrue="1">
      <formula>F60&lt;$D84</formula>
    </cfRule>
    <cfRule type="expression" dxfId="16" priority="5" stopIfTrue="1">
      <formula>F60&gt;$D61</formula>
    </cfRule>
    <cfRule type="expression" dxfId="15" priority="6" stopIfTrue="1">
      <formula>F60&lt;$D61</formula>
    </cfRule>
    <cfRule type="expression" dxfId="14" priority="7" stopIfTrue="1">
      <formula>F60&gt;$D62</formula>
    </cfRule>
    <cfRule type="expression" dxfId="13" priority="8" stopIfTrue="1">
      <formula>F60&lt;$D62</formula>
    </cfRule>
  </conditionalFormatting>
  <conditionalFormatting sqref="F51:N54 F55:J58">
    <cfRule type="expression" dxfId="12" priority="21" stopIfTrue="1">
      <formula>F51&gt;$D52</formula>
    </cfRule>
    <cfRule type="expression" dxfId="11" priority="22" stopIfTrue="1">
      <formula>F51&lt;$D52</formula>
    </cfRule>
  </conditionalFormatting>
  <conditionalFormatting sqref="F51:N58">
    <cfRule type="expression" dxfId="10" priority="19" stopIfTrue="1">
      <formula>F51&gt;$D75</formula>
    </cfRule>
    <cfRule type="expression" dxfId="9" priority="20" stopIfTrue="1">
      <formula>F51&lt;$D75</formula>
    </cfRule>
    <cfRule type="expression" dxfId="8" priority="25" stopIfTrue="1">
      <formula>F51&gt;$D53</formula>
    </cfRule>
    <cfRule type="expression" dxfId="7" priority="26" stopIfTrue="1">
      <formula>F51&lt;$D53</formula>
    </cfRule>
  </conditionalFormatting>
  <conditionalFormatting sqref="F55:N58">
    <cfRule type="expression" dxfId="6" priority="23" stopIfTrue="1">
      <formula>F55&gt;$D64</formula>
    </cfRule>
    <cfRule type="expression" dxfId="5" priority="24" stopIfTrue="1">
      <formula>F55&lt;$D64</formula>
    </cfRule>
  </conditionalFormatting>
  <conditionalFormatting sqref="F8:BF51 T52:BF52 T53:X60 AH53:BF60 F60 T61:BF67 F62:J67 F68:BF74 F75:J82 T75:BF82 F83:BF84">
    <cfRule type="expression" dxfId="4" priority="17" stopIfTrue="1">
      <formula>F8&lt;$D8</formula>
    </cfRule>
  </conditionalFormatting>
  <conditionalFormatting sqref="BQ8:BQ49">
    <cfRule type="cellIs" dxfId="3" priority="272" stopIfTrue="1" operator="greaterThan">
      <formula>$C$15</formula>
    </cfRule>
    <cfRule type="cellIs" dxfId="2" priority="273" stopIfTrue="1" operator="between">
      <formula>$C$14</formula>
      <formula>$D$14</formula>
    </cfRule>
    <cfRule type="cellIs" dxfId="1" priority="274" stopIfTrue="1" operator="between">
      <formula>$C$13</formula>
      <formula>$D$13</formula>
    </cfRule>
    <cfRule type="cellIs" dxfId="0" priority="275" stopIfTrue="1" operator="between">
      <formula>$C$12</formula>
      <formula>$D$12</formula>
    </cfRule>
  </conditionalFormatting>
  <pageMargins left="0.25" right="0.25" top="0.75" bottom="0.75" header="0.3" footer="0.3"/>
  <pageSetup paperSize="8" scale="53" orientation="landscape" r:id="rId1"/>
  <headerFooter>
    <oddFooter>&amp;C_x000D_&amp;1#&amp;"Calibri"&amp;10&amp;K000000 AXA IM - RESTRICTED</oddFooter>
  </headerFooter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3B25876D8E7B548AEE675EB0F71CEB1" ma:contentTypeVersion="14" ma:contentTypeDescription="Crée un document." ma:contentTypeScope="" ma:versionID="0db185f041031a43d76b410795739995">
  <xsd:schema xmlns:xsd="http://www.w3.org/2001/XMLSchema" xmlns:xs="http://www.w3.org/2001/XMLSchema" xmlns:p="http://schemas.microsoft.com/office/2006/metadata/properties" xmlns:ns3="e32ed9c3-5cdd-4f31-9188-84a8d9cd7126" xmlns:ns4="b3bca893-6aa9-4cb7-97ae-c3c732939478" targetNamespace="http://schemas.microsoft.com/office/2006/metadata/properties" ma:root="true" ma:fieldsID="c969aac3433a4c08ad5165128bed01f8" ns3:_="" ns4:_="">
    <xsd:import namespace="e32ed9c3-5cdd-4f31-9188-84a8d9cd7126"/>
    <xsd:import namespace="b3bca893-6aa9-4cb7-97ae-c3c732939478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GenerationTime" minOccurs="0"/>
                <xsd:element ref="ns3:MediaServiceEventHashCode" minOccurs="0"/>
                <xsd:element ref="ns3:MediaServiceSystemTags" minOccurs="0"/>
                <xsd:element ref="ns3:MediaServiceOCR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2ed9c3-5cdd-4f31-9188-84a8d9cd7126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ystemTags" ma:index="19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bca893-6aa9-4cb7-97ae-c3c732939478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Partage du hachage d’indicateu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32ed9c3-5cdd-4f31-9188-84a8d9cd7126" xsi:nil="true"/>
  </documentManagement>
</p:properties>
</file>

<file path=customXml/itemProps1.xml><?xml version="1.0" encoding="utf-8"?>
<ds:datastoreItem xmlns:ds="http://schemas.openxmlformats.org/officeDocument/2006/customXml" ds:itemID="{2F12A5E9-A0DC-4897-87FC-9742663FFCC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B848B2E-25ED-4391-B25A-C94846CCB86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32ed9c3-5cdd-4f31-9188-84a8d9cd7126"/>
    <ds:schemaRef ds:uri="b3bca893-6aa9-4cb7-97ae-c3c73293947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457DC5C-F912-4D54-BC47-420A321C75DA}">
  <ds:schemaRefs>
    <ds:schemaRef ds:uri="http://purl.org/dc/elements/1.1/"/>
    <ds:schemaRef ds:uri="http://schemas.openxmlformats.org/package/2006/metadata/core-properties"/>
    <ds:schemaRef ds:uri="http://www.w3.org/XML/1998/namespace"/>
    <ds:schemaRef ds:uri="b3bca893-6aa9-4cb7-97ae-c3c732939478"/>
    <ds:schemaRef ds:uri="e32ed9c3-5cdd-4f31-9188-84a8d9cd7126"/>
    <ds:schemaRef ds:uri="http://schemas.microsoft.com/office/infopath/2007/PartnerControls"/>
    <ds:schemaRef ds:uri="http://schemas.microsoft.com/office/2006/metadata/properties"/>
    <ds:schemaRef ds:uri="http://schemas.microsoft.com/office/2006/documentManagement/typ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REGLES</vt:lpstr>
      <vt:lpstr>paramètres</vt:lpstr>
      <vt:lpstr>detail par semaine</vt:lpstr>
      <vt:lpstr>MODU 2025</vt:lpstr>
      <vt:lpstr>'MODU 2025'!Print_Area</vt:lpstr>
      <vt:lpstr>'MODU 2025'!Print_Titles</vt:lpstr>
    </vt:vector>
  </TitlesOfParts>
  <Company>SOBAL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EBT</dc:creator>
  <cp:lastModifiedBy>da Silva, Arnaud</cp:lastModifiedBy>
  <cp:lastPrinted>2024-12-13T17:02:17Z</cp:lastPrinted>
  <dcterms:created xsi:type="dcterms:W3CDTF">2009-01-09T13:17:25Z</dcterms:created>
  <dcterms:modified xsi:type="dcterms:W3CDTF">2025-04-01T19:11:30Z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3b89073-f537-4fe2-a4ef-71907f8c184f_Enabled">
    <vt:lpwstr>true</vt:lpwstr>
  </property>
  <property fmtid="{D5CDD505-2E9C-101B-9397-08002B2CF9AE}" pid="3" name="MSIP_Label_f3b89073-f537-4fe2-a4ef-71907f8c184f_SetDate">
    <vt:lpwstr>2025-02-24T10:18:09Z</vt:lpwstr>
  </property>
  <property fmtid="{D5CDD505-2E9C-101B-9397-08002B2CF9AE}" pid="4" name="MSIP_Label_f3b89073-f537-4fe2-a4ef-71907f8c184f_Method">
    <vt:lpwstr>Standard</vt:lpwstr>
  </property>
  <property fmtid="{D5CDD505-2E9C-101B-9397-08002B2CF9AE}" pid="5" name="MSIP_Label_f3b89073-f537-4fe2-a4ef-71907f8c184f_Name">
    <vt:lpwstr>INTERNAL</vt:lpwstr>
  </property>
  <property fmtid="{D5CDD505-2E9C-101B-9397-08002B2CF9AE}" pid="6" name="MSIP_Label_f3b89073-f537-4fe2-a4ef-71907f8c184f_SiteId">
    <vt:lpwstr>85f3dce2-9de5-43ba-8d73-76ef63954d34</vt:lpwstr>
  </property>
  <property fmtid="{D5CDD505-2E9C-101B-9397-08002B2CF9AE}" pid="7" name="MSIP_Label_f3b89073-f537-4fe2-a4ef-71907f8c184f_ActionId">
    <vt:lpwstr>2d9cf771-74d0-4ecc-9119-acc53dd01a48</vt:lpwstr>
  </property>
  <property fmtid="{D5CDD505-2E9C-101B-9397-08002B2CF9AE}" pid="8" name="MSIP_Label_f3b89073-f537-4fe2-a4ef-71907f8c184f_ContentBits">
    <vt:lpwstr>2</vt:lpwstr>
  </property>
  <property fmtid="{D5CDD505-2E9C-101B-9397-08002B2CF9AE}" pid="9" name="ContentTypeId">
    <vt:lpwstr>0x01010003B25876D8E7B548AEE675EB0F71CEB1</vt:lpwstr>
  </property>
</Properties>
</file>